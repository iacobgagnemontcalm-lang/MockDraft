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iacobgagne-montcalm/Desktop/untitled folder 2/"/>
    </mc:Choice>
  </mc:AlternateContent>
  <xr:revisionPtr revIDLastSave="0" documentId="8_{161FA30D-1436-894A-8C6F-C180FB7BFEF0}" xr6:coauthVersionLast="47" xr6:coauthVersionMax="47" xr10:uidLastSave="{00000000-0000-0000-0000-000000000000}"/>
  <bookViews>
    <workbookView xWindow="0" yWindow="0" windowWidth="28800" windowHeight="18000" activeTab="4" xr2:uid="{00000000-000D-0000-FFFF-FFFF00000000}"/>
  </bookViews>
  <sheets>
    <sheet name="Main" sheetId="1" r:id="rId1"/>
    <sheet name="Team" sheetId="2" r:id="rId2"/>
    <sheet name="Picks" sheetId="3" r:id="rId3"/>
    <sheet name="Fantasypro" sheetId="4" r:id="rId4"/>
    <sheet name="Keeper" sheetId="5" r:id="rId5"/>
    <sheet name="Draft" sheetId="6" r:id="rId6"/>
    <sheet name="Tiers_Risk" sheetId="7" r:id="rId7"/>
    <sheet name="ALL PPR Drafts" sheetId="8" r:id="rId8"/>
    <sheet name="WR tier" sheetId="9" state="hidden" r:id="rId9"/>
    <sheet name="RB tier" sheetId="10" state="hidden" r:id="rId10"/>
    <sheet name="Risk Analysis " sheetId="11" r:id="rId11"/>
    <sheet name="Drafts Order_AVG" sheetId="12" r:id="rId12"/>
    <sheet name="Drafts Order_ECR" sheetId="13" r:id="rId13"/>
    <sheet name="Tiers_AVG" sheetId="14" r:id="rId14"/>
  </sheets>
  <definedNames>
    <definedName name="_xlnm._FilterDatabase" localSheetId="7" hidden="1">'ALL PPR Drafts'!$B$1:$I$998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4" l="1"/>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J14" i="14"/>
  <c r="I14" i="14"/>
  <c r="H14" i="14"/>
  <c r="G14" i="14"/>
  <c r="F14" i="14"/>
  <c r="E14" i="14"/>
  <c r="D14" i="14"/>
  <c r="C14" i="14"/>
  <c r="B14" i="14"/>
  <c r="L13" i="14"/>
  <c r="K13" i="14"/>
  <c r="J13" i="14"/>
  <c r="I13" i="14"/>
  <c r="H13" i="14"/>
  <c r="G13" i="14"/>
  <c r="F13" i="14"/>
  <c r="E13" i="14"/>
  <c r="D13" i="14"/>
  <c r="C13" i="14"/>
  <c r="B13" i="14"/>
  <c r="G12" i="14"/>
  <c r="F12" i="14"/>
  <c r="E12" i="14"/>
  <c r="D12" i="14"/>
  <c r="C12" i="14"/>
  <c r="B12" i="14"/>
  <c r="I11" i="14"/>
  <c r="H11" i="14"/>
  <c r="G11" i="14"/>
  <c r="F11" i="14"/>
  <c r="E11" i="14"/>
  <c r="D11" i="14"/>
  <c r="C11" i="14"/>
  <c r="B11" i="14"/>
  <c r="H10" i="14"/>
  <c r="G10" i="14"/>
  <c r="F10" i="14"/>
  <c r="E10" i="14"/>
  <c r="D10" i="14"/>
  <c r="C10" i="14"/>
  <c r="B10" i="14"/>
  <c r="L9" i="14"/>
  <c r="K9" i="14"/>
  <c r="J9" i="14"/>
  <c r="I9" i="14"/>
  <c r="H9" i="14"/>
  <c r="G9" i="14"/>
  <c r="F9" i="14"/>
  <c r="E9" i="14"/>
  <c r="D9" i="14"/>
  <c r="C9" i="14"/>
  <c r="B9" i="14"/>
  <c r="J8" i="14"/>
  <c r="I8" i="14"/>
  <c r="H8" i="14"/>
  <c r="G8" i="14"/>
  <c r="F8" i="14"/>
  <c r="E8" i="14"/>
  <c r="D8" i="14"/>
  <c r="C8" i="14"/>
  <c r="B8" i="14"/>
  <c r="O7" i="14"/>
  <c r="N7" i="14"/>
  <c r="M7" i="14"/>
  <c r="L7" i="14"/>
  <c r="K7" i="14"/>
  <c r="J7" i="14"/>
  <c r="I7" i="14"/>
  <c r="H7" i="14"/>
  <c r="G7" i="14"/>
  <c r="F7" i="14"/>
  <c r="E7" i="14"/>
  <c r="D7" i="14"/>
  <c r="C7" i="14"/>
  <c r="B7" i="14"/>
  <c r="E6" i="14"/>
  <c r="D6" i="14"/>
  <c r="C6" i="14"/>
  <c r="B6" i="14"/>
  <c r="J5" i="14"/>
  <c r="I5" i="14"/>
  <c r="H5" i="14"/>
  <c r="G5" i="14"/>
  <c r="F5" i="14"/>
  <c r="E5" i="14"/>
  <c r="D5" i="14"/>
  <c r="C5" i="14"/>
  <c r="B5" i="14"/>
  <c r="H4" i="14"/>
  <c r="G4" i="14"/>
  <c r="F4" i="14"/>
  <c r="E4" i="14"/>
  <c r="D4" i="14"/>
  <c r="C4" i="14"/>
  <c r="B4" i="14"/>
  <c r="J3" i="14"/>
  <c r="I3" i="14"/>
  <c r="H3" i="14"/>
  <c r="G3" i="14"/>
  <c r="F3" i="14"/>
  <c r="E3" i="14"/>
  <c r="D3" i="14"/>
  <c r="C3" i="14"/>
  <c r="B3" i="14"/>
  <c r="B17" i="13"/>
  <c r="B16" i="13"/>
  <c r="B15" i="13"/>
  <c r="B14" i="13"/>
  <c r="B13" i="13"/>
  <c r="B12" i="13"/>
  <c r="B11" i="13"/>
  <c r="B10" i="13"/>
  <c r="B9" i="13"/>
  <c r="B8" i="13"/>
  <c r="B7" i="13"/>
  <c r="B6" i="13"/>
  <c r="B5" i="13"/>
  <c r="B4" i="13"/>
  <c r="B3" i="13"/>
  <c r="B12" i="12"/>
  <c r="B11" i="12"/>
  <c r="B10" i="12"/>
  <c r="B9" i="12"/>
  <c r="B8" i="12"/>
  <c r="B7" i="12"/>
  <c r="B6" i="12"/>
  <c r="B5" i="12"/>
  <c r="B4" i="12"/>
  <c r="B3" i="12"/>
  <c r="E6" i="11"/>
  <c r="D6" i="11"/>
  <c r="C6" i="11"/>
  <c r="B6" i="11"/>
  <c r="E5" i="11"/>
  <c r="D5" i="11"/>
  <c r="C5" i="11"/>
  <c r="B5" i="11"/>
  <c r="E4" i="11"/>
  <c r="D4" i="11"/>
  <c r="C4" i="11"/>
  <c r="B4" i="11"/>
  <c r="E3" i="11"/>
  <c r="D3" i="11"/>
  <c r="C3" i="11"/>
  <c r="B3" i="11"/>
  <c r="E2" i="11"/>
  <c r="D2" i="11"/>
  <c r="C2" i="11"/>
  <c r="B2" i="11"/>
  <c r="H376" i="8"/>
  <c r="G376" i="8"/>
  <c r="F376" i="8"/>
  <c r="E376" i="8"/>
  <c r="D376" i="8"/>
  <c r="H375" i="8"/>
  <c r="G375" i="8"/>
  <c r="F375" i="8"/>
  <c r="E375" i="8"/>
  <c r="D375" i="8"/>
  <c r="H374" i="8"/>
  <c r="G374" i="8"/>
  <c r="F374" i="8"/>
  <c r="E374" i="8"/>
  <c r="D374" i="8"/>
  <c r="H373" i="8"/>
  <c r="G373" i="8"/>
  <c r="F373" i="8"/>
  <c r="E373" i="8"/>
  <c r="D373" i="8"/>
  <c r="H372" i="8"/>
  <c r="G372" i="8"/>
  <c r="F372" i="8"/>
  <c r="E372" i="8"/>
  <c r="D372" i="8"/>
  <c r="H371" i="8"/>
  <c r="G371" i="8"/>
  <c r="F371" i="8"/>
  <c r="E371" i="8"/>
  <c r="D371" i="8"/>
  <c r="H370" i="8"/>
  <c r="G370" i="8"/>
  <c r="F370" i="8"/>
  <c r="E370" i="8"/>
  <c r="D370" i="8"/>
  <c r="H369" i="8"/>
  <c r="G369" i="8"/>
  <c r="F369" i="8"/>
  <c r="E369" i="8"/>
  <c r="D369" i="8"/>
  <c r="H368" i="8"/>
  <c r="G368" i="8"/>
  <c r="F368" i="8"/>
  <c r="E368" i="8"/>
  <c r="D368" i="8"/>
  <c r="H367" i="8"/>
  <c r="G367" i="8"/>
  <c r="F367" i="8"/>
  <c r="E367" i="8"/>
  <c r="D367" i="8"/>
  <c r="H366" i="8"/>
  <c r="G366" i="8"/>
  <c r="F366" i="8"/>
  <c r="E366" i="8"/>
  <c r="D366" i="8"/>
  <c r="H365" i="8"/>
  <c r="G365" i="8"/>
  <c r="F365" i="8"/>
  <c r="E365" i="8"/>
  <c r="D365" i="8"/>
  <c r="H364" i="8"/>
  <c r="G364" i="8"/>
  <c r="F364" i="8"/>
  <c r="E364" i="8"/>
  <c r="D364" i="8"/>
  <c r="H363" i="8"/>
  <c r="G363" i="8"/>
  <c r="F363" i="8"/>
  <c r="E363" i="8"/>
  <c r="D363" i="8"/>
  <c r="H362" i="8"/>
  <c r="G362" i="8"/>
  <c r="F362" i="8"/>
  <c r="E362" i="8"/>
  <c r="D362" i="8"/>
  <c r="H361" i="8"/>
  <c r="G361" i="8"/>
  <c r="F361" i="8"/>
  <c r="E361" i="8"/>
  <c r="D361" i="8"/>
  <c r="H360" i="8"/>
  <c r="G360" i="8"/>
  <c r="F360" i="8"/>
  <c r="E360" i="8"/>
  <c r="D360" i="8"/>
  <c r="H359" i="8"/>
  <c r="G359" i="8"/>
  <c r="F359" i="8"/>
  <c r="E359" i="8"/>
  <c r="D359" i="8"/>
  <c r="H358" i="8"/>
  <c r="G358" i="8"/>
  <c r="F358" i="8"/>
  <c r="E358" i="8"/>
  <c r="D358" i="8"/>
  <c r="H357" i="8"/>
  <c r="G357" i="8"/>
  <c r="F357" i="8"/>
  <c r="E357" i="8"/>
  <c r="D357" i="8"/>
  <c r="H356" i="8"/>
  <c r="G356" i="8"/>
  <c r="F356" i="8"/>
  <c r="E356" i="8"/>
  <c r="D356" i="8"/>
  <c r="C356" i="8" s="1"/>
  <c r="H355" i="8"/>
  <c r="G355" i="8"/>
  <c r="F355" i="8"/>
  <c r="E355" i="8"/>
  <c r="D355" i="8"/>
  <c r="C355" i="8" s="1"/>
  <c r="H354" i="8"/>
  <c r="G354" i="8"/>
  <c r="E354" i="8"/>
  <c r="D354" i="8"/>
  <c r="C354" i="8" s="1"/>
  <c r="H353" i="8"/>
  <c r="G353" i="8"/>
  <c r="E353" i="8"/>
  <c r="D353" i="8"/>
  <c r="C353" i="8" s="1"/>
  <c r="H352" i="8"/>
  <c r="G352" i="8"/>
  <c r="E352" i="8"/>
  <c r="D352" i="8"/>
  <c r="C352" i="8" s="1"/>
  <c r="H351" i="8"/>
  <c r="G351" i="8"/>
  <c r="E351" i="8"/>
  <c r="D351" i="8"/>
  <c r="C351" i="8" s="1"/>
  <c r="H350" i="8"/>
  <c r="G350" i="8"/>
  <c r="E350" i="8"/>
  <c r="D350" i="8"/>
  <c r="C350" i="8" s="1"/>
  <c r="H349" i="8"/>
  <c r="G349" i="8"/>
  <c r="E349" i="8"/>
  <c r="D349" i="8"/>
  <c r="C349" i="8" s="1"/>
  <c r="H348" i="8"/>
  <c r="G348" i="8"/>
  <c r="E348" i="8"/>
  <c r="D348" i="8"/>
  <c r="C348" i="8" s="1"/>
  <c r="H347" i="8"/>
  <c r="G347" i="8"/>
  <c r="E347" i="8"/>
  <c r="D347" i="8"/>
  <c r="C347" i="8" s="1"/>
  <c r="H346" i="8"/>
  <c r="G346" i="8"/>
  <c r="E346" i="8"/>
  <c r="D346" i="8"/>
  <c r="C346" i="8" s="1"/>
  <c r="H345" i="8"/>
  <c r="G345" i="8"/>
  <c r="E345" i="8"/>
  <c r="D345" i="8"/>
  <c r="C345" i="8" s="1"/>
  <c r="H344" i="8"/>
  <c r="G344" i="8"/>
  <c r="E344" i="8"/>
  <c r="D344" i="8"/>
  <c r="C344" i="8" s="1"/>
  <c r="H343" i="8"/>
  <c r="G343" i="8"/>
  <c r="E343" i="8"/>
  <c r="D343" i="8"/>
  <c r="C343" i="8" s="1"/>
  <c r="H342" i="8"/>
  <c r="G342" i="8"/>
  <c r="E342" i="8"/>
  <c r="D342" i="8"/>
  <c r="C342" i="8" s="1"/>
  <c r="H341" i="8"/>
  <c r="G341" i="8"/>
  <c r="E341" i="8"/>
  <c r="D341" i="8"/>
  <c r="C341" i="8" s="1"/>
  <c r="H340" i="8"/>
  <c r="G340" i="8"/>
  <c r="E340" i="8"/>
  <c r="D340" i="8"/>
  <c r="C340" i="8" s="1"/>
  <c r="H339" i="8"/>
  <c r="G339" i="8"/>
  <c r="E339" i="8"/>
  <c r="D339" i="8"/>
  <c r="C339" i="8" s="1"/>
  <c r="H338" i="8"/>
  <c r="G338" i="8"/>
  <c r="E338" i="8"/>
  <c r="D338" i="8"/>
  <c r="C338" i="8" s="1"/>
  <c r="H337" i="8"/>
  <c r="G337" i="8"/>
  <c r="E337" i="8"/>
  <c r="D337" i="8"/>
  <c r="C337" i="8" s="1"/>
  <c r="H336" i="8"/>
  <c r="G336" i="8"/>
  <c r="E336" i="8"/>
  <c r="D336" i="8"/>
  <c r="C336" i="8" s="1"/>
  <c r="H335" i="8"/>
  <c r="G335" i="8"/>
  <c r="E335" i="8"/>
  <c r="D335" i="8"/>
  <c r="C335" i="8" s="1"/>
  <c r="H334" i="8"/>
  <c r="G334" i="8"/>
  <c r="E334" i="8"/>
  <c r="D334" i="8"/>
  <c r="C334" i="8" s="1"/>
  <c r="H333" i="8"/>
  <c r="G333" i="8"/>
  <c r="E333" i="8"/>
  <c r="D333" i="8"/>
  <c r="C333" i="8" s="1"/>
  <c r="H332" i="8"/>
  <c r="G332" i="8"/>
  <c r="E332" i="8"/>
  <c r="D332" i="8"/>
  <c r="C332" i="8" s="1"/>
  <c r="H331" i="8"/>
  <c r="G331" i="8"/>
  <c r="E331" i="8"/>
  <c r="D331" i="8"/>
  <c r="C331" i="8" s="1"/>
  <c r="H330" i="8"/>
  <c r="G330" i="8"/>
  <c r="E330" i="8"/>
  <c r="D330" i="8"/>
  <c r="C330" i="8" s="1"/>
  <c r="H329" i="8"/>
  <c r="G329" i="8"/>
  <c r="E329" i="8"/>
  <c r="D329" i="8"/>
  <c r="C329" i="8" s="1"/>
  <c r="H328" i="8"/>
  <c r="G328" i="8"/>
  <c r="E328" i="8"/>
  <c r="D328" i="8"/>
  <c r="C328" i="8" s="1"/>
  <c r="H327" i="8"/>
  <c r="G327" i="8"/>
  <c r="E327" i="8"/>
  <c r="D327" i="8"/>
  <c r="C327" i="8" s="1"/>
  <c r="H326" i="8"/>
  <c r="G326" i="8"/>
  <c r="E326" i="8"/>
  <c r="D326" i="8"/>
  <c r="C326" i="8" s="1"/>
  <c r="H325" i="8"/>
  <c r="G325" i="8"/>
  <c r="E325" i="8"/>
  <c r="D325" i="8"/>
  <c r="C325" i="8" s="1"/>
  <c r="H324" i="8"/>
  <c r="G324" i="8"/>
  <c r="E324" i="8"/>
  <c r="D324" i="8"/>
  <c r="C324" i="8" s="1"/>
  <c r="H323" i="8"/>
  <c r="G323" i="8"/>
  <c r="E323" i="8"/>
  <c r="D323" i="8"/>
  <c r="C323" i="8" s="1"/>
  <c r="H322" i="8"/>
  <c r="G322" i="8"/>
  <c r="E322" i="8"/>
  <c r="D322" i="8"/>
  <c r="C322" i="8" s="1"/>
  <c r="H321" i="8"/>
  <c r="G321" i="8"/>
  <c r="E321" i="8"/>
  <c r="D321" i="8"/>
  <c r="C321" i="8" s="1"/>
  <c r="H320" i="8"/>
  <c r="G320" i="8"/>
  <c r="E320" i="8"/>
  <c r="D320" i="8"/>
  <c r="C320" i="8" s="1"/>
  <c r="H319" i="8"/>
  <c r="G319" i="8"/>
  <c r="E319" i="8"/>
  <c r="D319" i="8"/>
  <c r="C319" i="8" s="1"/>
  <c r="H318" i="8"/>
  <c r="G318" i="8"/>
  <c r="E318" i="8"/>
  <c r="D318" i="8"/>
  <c r="C318" i="8" s="1"/>
  <c r="H317" i="8"/>
  <c r="G317" i="8"/>
  <c r="E317" i="8"/>
  <c r="D317" i="8"/>
  <c r="C317" i="8" s="1"/>
  <c r="H316" i="8"/>
  <c r="G316" i="8"/>
  <c r="E316" i="8"/>
  <c r="D316" i="8"/>
  <c r="C316" i="8" s="1"/>
  <c r="H315" i="8"/>
  <c r="G315" i="8"/>
  <c r="E315" i="8"/>
  <c r="D315" i="8"/>
  <c r="C315" i="8" s="1"/>
  <c r="H314" i="8"/>
  <c r="G314" i="8"/>
  <c r="E314" i="8"/>
  <c r="D314" i="8"/>
  <c r="C314" i="8" s="1"/>
  <c r="H313" i="8"/>
  <c r="G313" i="8"/>
  <c r="E313" i="8"/>
  <c r="D313" i="8"/>
  <c r="C313" i="8" s="1"/>
  <c r="H312" i="8"/>
  <c r="G312" i="8"/>
  <c r="E312" i="8"/>
  <c r="D312" i="8"/>
  <c r="C312" i="8" s="1"/>
  <c r="H311" i="8"/>
  <c r="G311" i="8"/>
  <c r="E311" i="8"/>
  <c r="D311" i="8"/>
  <c r="C311" i="8" s="1"/>
  <c r="H310" i="8"/>
  <c r="G310" i="8"/>
  <c r="E310" i="8"/>
  <c r="D310" i="8"/>
  <c r="C310" i="8" s="1"/>
  <c r="H309" i="8"/>
  <c r="G309" i="8"/>
  <c r="E309" i="8"/>
  <c r="D309" i="8"/>
  <c r="C309" i="8" s="1"/>
  <c r="H308" i="8"/>
  <c r="G308" i="8"/>
  <c r="E308" i="8"/>
  <c r="D308" i="8"/>
  <c r="C308" i="8" s="1"/>
  <c r="H307" i="8"/>
  <c r="G307" i="8"/>
  <c r="E307" i="8"/>
  <c r="D307" i="8"/>
  <c r="C307" i="8" s="1"/>
  <c r="H306" i="8"/>
  <c r="G306" i="8"/>
  <c r="E306" i="8"/>
  <c r="D306" i="8"/>
  <c r="C306" i="8" s="1"/>
  <c r="H305" i="8"/>
  <c r="G305" i="8"/>
  <c r="E305" i="8"/>
  <c r="D305" i="8"/>
  <c r="C305" i="8" s="1"/>
  <c r="H304" i="8"/>
  <c r="G304" i="8"/>
  <c r="E304" i="8"/>
  <c r="D304" i="8"/>
  <c r="C304" i="8" s="1"/>
  <c r="H303" i="8"/>
  <c r="G303" i="8"/>
  <c r="E303" i="8"/>
  <c r="D303" i="8"/>
  <c r="C303" i="8" s="1"/>
  <c r="H302" i="8"/>
  <c r="G302" i="8"/>
  <c r="E302" i="8"/>
  <c r="D302" i="8"/>
  <c r="C302" i="8" s="1"/>
  <c r="H301" i="8"/>
  <c r="G301" i="8"/>
  <c r="E301" i="8"/>
  <c r="D301" i="8"/>
  <c r="C301" i="8" s="1"/>
  <c r="H300" i="8"/>
  <c r="G300" i="8"/>
  <c r="E300" i="8"/>
  <c r="D300" i="8"/>
  <c r="C300" i="8" s="1"/>
  <c r="H299" i="8"/>
  <c r="G299" i="8"/>
  <c r="E299" i="8"/>
  <c r="D299" i="8"/>
  <c r="C299" i="8" s="1"/>
  <c r="H298" i="8"/>
  <c r="G298" i="8"/>
  <c r="E298" i="8"/>
  <c r="D298" i="8"/>
  <c r="C298" i="8" s="1"/>
  <c r="H297" i="8"/>
  <c r="G297" i="8"/>
  <c r="E297" i="8"/>
  <c r="D297" i="8"/>
  <c r="C297" i="8" s="1"/>
  <c r="H296" i="8"/>
  <c r="G296" i="8"/>
  <c r="E296" i="8"/>
  <c r="D296" i="8"/>
  <c r="C296" i="8" s="1"/>
  <c r="H295" i="8"/>
  <c r="G295" i="8"/>
  <c r="E295" i="8"/>
  <c r="D295" i="8"/>
  <c r="C295" i="8" s="1"/>
  <c r="H294" i="8"/>
  <c r="G294" i="8"/>
  <c r="E294" i="8"/>
  <c r="D294" i="8"/>
  <c r="C294" i="8" s="1"/>
  <c r="H293" i="8"/>
  <c r="G293" i="8"/>
  <c r="E293" i="8"/>
  <c r="D293" i="8"/>
  <c r="C293" i="8" s="1"/>
  <c r="H292" i="8"/>
  <c r="G292" i="8"/>
  <c r="E292" i="8"/>
  <c r="D292" i="8"/>
  <c r="C292" i="8" s="1"/>
  <c r="H291" i="8"/>
  <c r="G291" i="8"/>
  <c r="E291" i="8"/>
  <c r="D291" i="8"/>
  <c r="C291" i="8" s="1"/>
  <c r="H290" i="8"/>
  <c r="G290" i="8"/>
  <c r="E290" i="8"/>
  <c r="D290" i="8"/>
  <c r="C290" i="8" s="1"/>
  <c r="H289" i="8"/>
  <c r="G289" i="8"/>
  <c r="E289" i="8"/>
  <c r="D289" i="8"/>
  <c r="C289" i="8" s="1"/>
  <c r="H288" i="8"/>
  <c r="G288" i="8"/>
  <c r="E288" i="8"/>
  <c r="D288" i="8"/>
  <c r="C288" i="8" s="1"/>
  <c r="H287" i="8"/>
  <c r="G287" i="8"/>
  <c r="E287" i="8"/>
  <c r="D287" i="8"/>
  <c r="C287" i="8" s="1"/>
  <c r="H286" i="8"/>
  <c r="G286" i="8"/>
  <c r="E286" i="8"/>
  <c r="D286" i="8"/>
  <c r="C286" i="8" s="1"/>
  <c r="H285" i="8"/>
  <c r="G285" i="8"/>
  <c r="E285" i="8"/>
  <c r="D285" i="8"/>
  <c r="C285" i="8" s="1"/>
  <c r="H284" i="8"/>
  <c r="G284" i="8"/>
  <c r="E284" i="8"/>
  <c r="D284" i="8"/>
  <c r="C284" i="8" s="1"/>
  <c r="H283" i="8"/>
  <c r="G283" i="8"/>
  <c r="E283" i="8"/>
  <c r="D283" i="8"/>
  <c r="C283" i="8" s="1"/>
  <c r="H282" i="8"/>
  <c r="G282" i="8"/>
  <c r="E282" i="8"/>
  <c r="D282" i="8"/>
  <c r="C282" i="8" s="1"/>
  <c r="H281" i="8"/>
  <c r="G281" i="8"/>
  <c r="E281" i="8"/>
  <c r="D281" i="8"/>
  <c r="C281" i="8" s="1"/>
  <c r="H280" i="8"/>
  <c r="G280" i="8"/>
  <c r="E280" i="8"/>
  <c r="D280" i="8"/>
  <c r="C280" i="8" s="1"/>
  <c r="H279" i="8"/>
  <c r="G279" i="8"/>
  <c r="E279" i="8"/>
  <c r="D279" i="8"/>
  <c r="C279" i="8" s="1"/>
  <c r="H278" i="8"/>
  <c r="G278" i="8"/>
  <c r="E278" i="8"/>
  <c r="D278" i="8"/>
  <c r="C278" i="8" s="1"/>
  <c r="H277" i="8"/>
  <c r="G277" i="8"/>
  <c r="E277" i="8"/>
  <c r="D277" i="8"/>
  <c r="C277" i="8" s="1"/>
  <c r="H276" i="8"/>
  <c r="G276" i="8"/>
  <c r="E276" i="8"/>
  <c r="D276" i="8"/>
  <c r="C276" i="8" s="1"/>
  <c r="H275" i="8"/>
  <c r="G275" i="8"/>
  <c r="E275" i="8"/>
  <c r="D275" i="8"/>
  <c r="C275" i="8" s="1"/>
  <c r="H274" i="8"/>
  <c r="G274" i="8"/>
  <c r="E274" i="8"/>
  <c r="D274" i="8"/>
  <c r="C274" i="8" s="1"/>
  <c r="H273" i="8"/>
  <c r="G273" i="8"/>
  <c r="E273" i="8"/>
  <c r="D273" i="8"/>
  <c r="C273" i="8" s="1"/>
  <c r="H272" i="8"/>
  <c r="G272" i="8"/>
  <c r="E272" i="8"/>
  <c r="D272" i="8"/>
  <c r="C272" i="8" s="1"/>
  <c r="H271" i="8"/>
  <c r="G271" i="8"/>
  <c r="E271" i="8"/>
  <c r="D271" i="8"/>
  <c r="C271" i="8" s="1"/>
  <c r="H270" i="8"/>
  <c r="G270" i="8"/>
  <c r="E270" i="8"/>
  <c r="D270" i="8"/>
  <c r="C270" i="8" s="1"/>
  <c r="H269" i="8"/>
  <c r="G269" i="8"/>
  <c r="E269" i="8"/>
  <c r="D269" i="8"/>
  <c r="C269" i="8" s="1"/>
  <c r="H268" i="8"/>
  <c r="G268" i="8"/>
  <c r="E268" i="8"/>
  <c r="D268" i="8"/>
  <c r="C268" i="8" s="1"/>
  <c r="H267" i="8"/>
  <c r="G267" i="8"/>
  <c r="E267" i="8"/>
  <c r="D267" i="8"/>
  <c r="C267" i="8" s="1"/>
  <c r="H266" i="8"/>
  <c r="G266" i="8"/>
  <c r="E266" i="8"/>
  <c r="D266" i="8"/>
  <c r="C266" i="8" s="1"/>
  <c r="H265" i="8"/>
  <c r="G265" i="8"/>
  <c r="E265" i="8"/>
  <c r="D265" i="8"/>
  <c r="C265" i="8" s="1"/>
  <c r="H264" i="8"/>
  <c r="G264" i="8"/>
  <c r="E264" i="8"/>
  <c r="D264" i="8"/>
  <c r="C264" i="8" s="1"/>
  <c r="H263" i="8"/>
  <c r="G263" i="8"/>
  <c r="E263" i="8"/>
  <c r="D263" i="8"/>
  <c r="C263" i="8" s="1"/>
  <c r="H262" i="8"/>
  <c r="G262" i="8"/>
  <c r="E262" i="8"/>
  <c r="D262" i="8"/>
  <c r="C262" i="8" s="1"/>
  <c r="H261" i="8"/>
  <c r="G261" i="8"/>
  <c r="E261" i="8"/>
  <c r="D261" i="8"/>
  <c r="C261" i="8" s="1"/>
  <c r="H260" i="8"/>
  <c r="G260" i="8"/>
  <c r="E260" i="8"/>
  <c r="D260" i="8"/>
  <c r="C260" i="8" s="1"/>
  <c r="H259" i="8"/>
  <c r="G259" i="8"/>
  <c r="E259" i="8"/>
  <c r="D259" i="8"/>
  <c r="C259" i="8" s="1"/>
  <c r="H258" i="8"/>
  <c r="G258" i="8"/>
  <c r="E258" i="8"/>
  <c r="D258" i="8"/>
  <c r="C258" i="8" s="1"/>
  <c r="H257" i="8"/>
  <c r="G257" i="8"/>
  <c r="E257" i="8"/>
  <c r="D257" i="8"/>
  <c r="C257" i="8" s="1"/>
  <c r="H256" i="8"/>
  <c r="G256" i="8"/>
  <c r="E256" i="8"/>
  <c r="D256" i="8"/>
  <c r="C256" i="8" s="1"/>
  <c r="H255" i="8"/>
  <c r="G255" i="8"/>
  <c r="E255" i="8"/>
  <c r="D255" i="8"/>
  <c r="C255" i="8" s="1"/>
  <c r="H254" i="8"/>
  <c r="G254" i="8"/>
  <c r="E254" i="8"/>
  <c r="D254" i="8"/>
  <c r="C254" i="8" s="1"/>
  <c r="H253" i="8"/>
  <c r="G253" i="8"/>
  <c r="E253" i="8"/>
  <c r="D253" i="8"/>
  <c r="C253" i="8" s="1"/>
  <c r="H252" i="8"/>
  <c r="G252" i="8"/>
  <c r="E252" i="8"/>
  <c r="D252" i="8"/>
  <c r="C252" i="8" s="1"/>
  <c r="H251" i="8"/>
  <c r="G251" i="8"/>
  <c r="E251" i="8"/>
  <c r="D251" i="8"/>
  <c r="C251" i="8" s="1"/>
  <c r="H250" i="8"/>
  <c r="G250" i="8"/>
  <c r="E250" i="8"/>
  <c r="D250" i="8"/>
  <c r="C250" i="8" s="1"/>
  <c r="H249" i="8"/>
  <c r="G249" i="8"/>
  <c r="E249" i="8"/>
  <c r="D249" i="8"/>
  <c r="C249" i="8" s="1"/>
  <c r="H248" i="8"/>
  <c r="G248" i="8"/>
  <c r="E248" i="8"/>
  <c r="D248" i="8"/>
  <c r="C248" i="8" s="1"/>
  <c r="H247" i="8"/>
  <c r="G247" i="8"/>
  <c r="E247" i="8"/>
  <c r="D247" i="8"/>
  <c r="C247" i="8" s="1"/>
  <c r="H246" i="8"/>
  <c r="G246" i="8"/>
  <c r="E246" i="8"/>
  <c r="D246" i="8"/>
  <c r="C246" i="8" s="1"/>
  <c r="H245" i="8"/>
  <c r="G245" i="8"/>
  <c r="E245" i="8"/>
  <c r="D245" i="8"/>
  <c r="C245" i="8" s="1"/>
  <c r="H244" i="8"/>
  <c r="G244" i="8"/>
  <c r="E244" i="8"/>
  <c r="D244" i="8"/>
  <c r="C244" i="8" s="1"/>
  <c r="H243" i="8"/>
  <c r="G243" i="8"/>
  <c r="E243" i="8"/>
  <c r="D243" i="8"/>
  <c r="C243" i="8" s="1"/>
  <c r="H242" i="8"/>
  <c r="G242" i="8"/>
  <c r="E242" i="8"/>
  <c r="D242" i="8"/>
  <c r="C242" i="8" s="1"/>
  <c r="H241" i="8"/>
  <c r="G241" i="8"/>
  <c r="E241" i="8"/>
  <c r="D241" i="8"/>
  <c r="C241" i="8" s="1"/>
  <c r="H240" i="8"/>
  <c r="G240" i="8"/>
  <c r="E240" i="8"/>
  <c r="D240" i="8"/>
  <c r="C240" i="8" s="1"/>
  <c r="H239" i="8"/>
  <c r="G239" i="8"/>
  <c r="E239" i="8"/>
  <c r="D239" i="8"/>
  <c r="C239" i="8" s="1"/>
  <c r="H238" i="8"/>
  <c r="G238" i="8"/>
  <c r="E238" i="8"/>
  <c r="D238" i="8"/>
  <c r="C238" i="8" s="1"/>
  <c r="H237" i="8"/>
  <c r="G237" i="8"/>
  <c r="E237" i="8"/>
  <c r="D237" i="8"/>
  <c r="C237" i="8" s="1"/>
  <c r="H236" i="8"/>
  <c r="G236" i="8"/>
  <c r="E236" i="8"/>
  <c r="D236" i="8"/>
  <c r="C236" i="8" s="1"/>
  <c r="H235" i="8"/>
  <c r="G235" i="8"/>
  <c r="E235" i="8"/>
  <c r="D235" i="8"/>
  <c r="C235" i="8"/>
  <c r="H234" i="8"/>
  <c r="G234" i="8"/>
  <c r="E234" i="8"/>
  <c r="D234" i="8"/>
  <c r="C234" i="8" s="1"/>
  <c r="H233" i="8"/>
  <c r="G233" i="8"/>
  <c r="E233" i="8"/>
  <c r="D233" i="8"/>
  <c r="C233" i="8" s="1"/>
  <c r="H232" i="8"/>
  <c r="G232" i="8"/>
  <c r="E232" i="8"/>
  <c r="D232" i="8"/>
  <c r="C232" i="8" s="1"/>
  <c r="H231" i="8"/>
  <c r="G231" i="8"/>
  <c r="E231" i="8"/>
  <c r="D231" i="8"/>
  <c r="C231" i="8"/>
  <c r="H230" i="8"/>
  <c r="G230" i="8"/>
  <c r="E230" i="8"/>
  <c r="D230" i="8"/>
  <c r="C230" i="8" s="1"/>
  <c r="H229" i="8"/>
  <c r="G229" i="8"/>
  <c r="E229" i="8"/>
  <c r="D229" i="8"/>
  <c r="C229" i="8"/>
  <c r="H228" i="8"/>
  <c r="G228" i="8"/>
  <c r="E228" i="8"/>
  <c r="D228" i="8"/>
  <c r="C228" i="8"/>
  <c r="H227" i="8"/>
  <c r="G227" i="8"/>
  <c r="E227" i="8"/>
  <c r="D227" i="8"/>
  <c r="C227" i="8" s="1"/>
  <c r="H226" i="8"/>
  <c r="G226" i="8"/>
  <c r="E226" i="8"/>
  <c r="D226" i="8"/>
  <c r="C226" i="8" s="1"/>
  <c r="H225" i="8"/>
  <c r="G225" i="8"/>
  <c r="E225" i="8"/>
  <c r="D225" i="8"/>
  <c r="C225" i="8"/>
  <c r="H224" i="8"/>
  <c r="G224" i="8"/>
  <c r="E224" i="8"/>
  <c r="D224" i="8"/>
  <c r="C224" i="8" s="1"/>
  <c r="H223" i="8"/>
  <c r="G223" i="8"/>
  <c r="E223" i="8"/>
  <c r="D223" i="8"/>
  <c r="C223" i="8"/>
  <c r="H222" i="8"/>
  <c r="G222" i="8"/>
  <c r="E222" i="8"/>
  <c r="D222" i="8"/>
  <c r="C222" i="8" s="1"/>
  <c r="H221" i="8"/>
  <c r="G221" i="8"/>
  <c r="E221" i="8"/>
  <c r="D221" i="8"/>
  <c r="C221" i="8" s="1"/>
  <c r="H220" i="8"/>
  <c r="G220" i="8"/>
  <c r="E220" i="8"/>
  <c r="D220" i="8"/>
  <c r="C220" i="8" s="1"/>
  <c r="H219" i="8"/>
  <c r="G219" i="8"/>
  <c r="E219" i="8"/>
  <c r="D219" i="8"/>
  <c r="C219" i="8"/>
  <c r="H218" i="8"/>
  <c r="G218" i="8"/>
  <c r="E218" i="8"/>
  <c r="D218" i="8"/>
  <c r="C218" i="8" s="1"/>
  <c r="H217" i="8"/>
  <c r="G217" i="8"/>
  <c r="E217" i="8"/>
  <c r="D217" i="8"/>
  <c r="C217" i="8"/>
  <c r="H216" i="8"/>
  <c r="G216" i="8"/>
  <c r="E216" i="8"/>
  <c r="D216" i="8"/>
  <c r="C216" i="8"/>
  <c r="H215" i="8"/>
  <c r="G215" i="8"/>
  <c r="E215" i="8"/>
  <c r="D215" i="8"/>
  <c r="C215" i="8" s="1"/>
  <c r="H214" i="8"/>
  <c r="G214" i="8"/>
  <c r="E214" i="8"/>
  <c r="D214" i="8"/>
  <c r="C214" i="8" s="1"/>
  <c r="H213" i="8"/>
  <c r="G213" i="8"/>
  <c r="E213" i="8"/>
  <c r="D213" i="8"/>
  <c r="C213" i="8"/>
  <c r="H212" i="8"/>
  <c r="G212" i="8"/>
  <c r="E212" i="8"/>
  <c r="D212" i="8"/>
  <c r="C212" i="8" s="1"/>
  <c r="H211" i="8"/>
  <c r="G211" i="8"/>
  <c r="E211" i="8"/>
  <c r="D211" i="8"/>
  <c r="C211" i="8"/>
  <c r="H210" i="8"/>
  <c r="G210" i="8"/>
  <c r="E210" i="8"/>
  <c r="D210" i="8"/>
  <c r="C210" i="8" s="1"/>
  <c r="H209" i="8"/>
  <c r="G209" i="8"/>
  <c r="E209" i="8"/>
  <c r="D209" i="8"/>
  <c r="C209" i="8" s="1"/>
  <c r="H208" i="8"/>
  <c r="G208" i="8"/>
  <c r="E208" i="8"/>
  <c r="D208" i="8"/>
  <c r="C208" i="8" s="1"/>
  <c r="H207" i="8"/>
  <c r="G207" i="8"/>
  <c r="E207" i="8"/>
  <c r="D207" i="8"/>
  <c r="C207" i="8"/>
  <c r="H206" i="8"/>
  <c r="G206" i="8"/>
  <c r="E206" i="8"/>
  <c r="D206" i="8"/>
  <c r="C206" i="8" s="1"/>
  <c r="H205" i="8"/>
  <c r="G205" i="8"/>
  <c r="E205" i="8"/>
  <c r="D205" i="8"/>
  <c r="C205" i="8"/>
  <c r="H204" i="8"/>
  <c r="G204" i="8"/>
  <c r="E204" i="8"/>
  <c r="D204" i="8"/>
  <c r="C204" i="8"/>
  <c r="H203" i="8"/>
  <c r="G203" i="8"/>
  <c r="E203" i="8"/>
  <c r="D203" i="8"/>
  <c r="C203" i="8" s="1"/>
  <c r="H202" i="8"/>
  <c r="G202" i="8"/>
  <c r="E202" i="8"/>
  <c r="D202" i="8"/>
  <c r="C202" i="8" s="1"/>
  <c r="H201" i="8"/>
  <c r="G201" i="8"/>
  <c r="E201" i="8"/>
  <c r="D201" i="8"/>
  <c r="C201" i="8"/>
  <c r="H200" i="8"/>
  <c r="G200" i="8"/>
  <c r="E200" i="8"/>
  <c r="D200" i="8"/>
  <c r="C200" i="8" s="1"/>
  <c r="H199" i="8"/>
  <c r="G199" i="8"/>
  <c r="E199" i="8"/>
  <c r="D199" i="8"/>
  <c r="C199" i="8"/>
  <c r="H198" i="8"/>
  <c r="G198" i="8"/>
  <c r="E198" i="8"/>
  <c r="D198" i="8"/>
  <c r="C198" i="8" s="1"/>
  <c r="H197" i="8"/>
  <c r="G197" i="8"/>
  <c r="E197" i="8"/>
  <c r="D197" i="8"/>
  <c r="C197" i="8" s="1"/>
  <c r="H196" i="8"/>
  <c r="G196" i="8"/>
  <c r="E196" i="8"/>
  <c r="D196" i="8"/>
  <c r="C196" i="8" s="1"/>
  <c r="H195" i="8"/>
  <c r="G195" i="8"/>
  <c r="E195" i="8"/>
  <c r="D195" i="8"/>
  <c r="C195" i="8"/>
  <c r="H194" i="8"/>
  <c r="G194" i="8"/>
  <c r="E194" i="8"/>
  <c r="D194" i="8"/>
  <c r="C194" i="8" s="1"/>
  <c r="H193" i="8"/>
  <c r="G193" i="8"/>
  <c r="E193" i="8"/>
  <c r="D193" i="8"/>
  <c r="C193" i="8"/>
  <c r="H192" i="8"/>
  <c r="G192" i="8"/>
  <c r="E192" i="8"/>
  <c r="D192" i="8"/>
  <c r="C192" i="8"/>
  <c r="H191" i="8"/>
  <c r="G191" i="8"/>
  <c r="E191" i="8"/>
  <c r="D191" i="8"/>
  <c r="C191" i="8" s="1"/>
  <c r="H190" i="8"/>
  <c r="G190" i="8"/>
  <c r="E190" i="8"/>
  <c r="D190" i="8"/>
  <c r="C190" i="8" s="1"/>
  <c r="H189" i="8"/>
  <c r="G189" i="8"/>
  <c r="E189" i="8"/>
  <c r="D189" i="8"/>
  <c r="C189" i="8"/>
  <c r="H188" i="8"/>
  <c r="G188" i="8"/>
  <c r="E188" i="8"/>
  <c r="D188" i="8"/>
  <c r="C188" i="8" s="1"/>
  <c r="H187" i="8"/>
  <c r="G187" i="8"/>
  <c r="E187" i="8"/>
  <c r="D187" i="8"/>
  <c r="C187" i="8"/>
  <c r="H186" i="8"/>
  <c r="G186" i="8"/>
  <c r="E186" i="8"/>
  <c r="D186" i="8"/>
  <c r="C186" i="8" s="1"/>
  <c r="H185" i="8"/>
  <c r="G185" i="8"/>
  <c r="E185" i="8"/>
  <c r="D185" i="8"/>
  <c r="C185" i="8" s="1"/>
  <c r="H184" i="8"/>
  <c r="G184" i="8"/>
  <c r="E184" i="8"/>
  <c r="D184" i="8"/>
  <c r="C184" i="8" s="1"/>
  <c r="H183" i="8"/>
  <c r="G183" i="8"/>
  <c r="E183" i="8"/>
  <c r="D183" i="8"/>
  <c r="C183" i="8"/>
  <c r="H182" i="8"/>
  <c r="G182" i="8"/>
  <c r="E182" i="8"/>
  <c r="D182" i="8"/>
  <c r="C182" i="8" s="1"/>
  <c r="H181" i="8"/>
  <c r="G181" i="8"/>
  <c r="E181" i="8"/>
  <c r="D181" i="8"/>
  <c r="C181" i="8"/>
  <c r="H180" i="8"/>
  <c r="G180" i="8"/>
  <c r="E180" i="8"/>
  <c r="D180" i="8"/>
  <c r="C180" i="8"/>
  <c r="H179" i="8"/>
  <c r="G179" i="8"/>
  <c r="E179" i="8"/>
  <c r="D179" i="8"/>
  <c r="C179" i="8" s="1"/>
  <c r="H178" i="8"/>
  <c r="G178" i="8"/>
  <c r="E178" i="8"/>
  <c r="D178" i="8"/>
  <c r="C178" i="8" s="1"/>
  <c r="H177" i="8"/>
  <c r="G177" i="8"/>
  <c r="E177" i="8"/>
  <c r="D177" i="8"/>
  <c r="C177" i="8"/>
  <c r="H176" i="8"/>
  <c r="G176" i="8"/>
  <c r="E176" i="8"/>
  <c r="D176" i="8"/>
  <c r="C176" i="8" s="1"/>
  <c r="H175" i="8"/>
  <c r="G175" i="8"/>
  <c r="E175" i="8"/>
  <c r="D175" i="8"/>
  <c r="C175" i="8"/>
  <c r="H174" i="8"/>
  <c r="G174" i="8"/>
  <c r="E174" i="8"/>
  <c r="D174" i="8"/>
  <c r="C174" i="8" s="1"/>
  <c r="H173" i="8"/>
  <c r="G173" i="8"/>
  <c r="E173" i="8"/>
  <c r="D173" i="8"/>
  <c r="C173" i="8" s="1"/>
  <c r="H172" i="8"/>
  <c r="G172" i="8"/>
  <c r="E172" i="8"/>
  <c r="D172" i="8"/>
  <c r="C172" i="8" s="1"/>
  <c r="H171" i="8"/>
  <c r="G171" i="8"/>
  <c r="E171" i="8"/>
  <c r="D171" i="8"/>
  <c r="C171" i="8"/>
  <c r="H170" i="8"/>
  <c r="G170" i="8"/>
  <c r="E170" i="8"/>
  <c r="D170" i="8"/>
  <c r="C170" i="8" s="1"/>
  <c r="H169" i="8"/>
  <c r="G169" i="8"/>
  <c r="E169" i="8"/>
  <c r="D169" i="8"/>
  <c r="C169" i="8"/>
  <c r="H168" i="8"/>
  <c r="G168" i="8"/>
  <c r="E168" i="8"/>
  <c r="D168" i="8"/>
  <c r="C168" i="8"/>
  <c r="H167" i="8"/>
  <c r="G167" i="8"/>
  <c r="E167" i="8"/>
  <c r="D167" i="8"/>
  <c r="C167" i="8" s="1"/>
  <c r="H166" i="8"/>
  <c r="G166" i="8"/>
  <c r="E166" i="8"/>
  <c r="D166" i="8"/>
  <c r="C166" i="8" s="1"/>
  <c r="H165" i="8"/>
  <c r="G165" i="8"/>
  <c r="E165" i="8"/>
  <c r="D165" i="8"/>
  <c r="C165" i="8"/>
  <c r="H164" i="8"/>
  <c r="G164" i="8"/>
  <c r="E164" i="8"/>
  <c r="D164" i="8"/>
  <c r="C164" i="8"/>
  <c r="H163" i="8"/>
  <c r="G163" i="8"/>
  <c r="E163" i="8"/>
  <c r="D163" i="8"/>
  <c r="C163" i="8" s="1"/>
  <c r="H162" i="8"/>
  <c r="G162" i="8"/>
  <c r="E162" i="8"/>
  <c r="D162" i="8"/>
  <c r="C162" i="8"/>
  <c r="H161" i="8"/>
  <c r="G161" i="8"/>
  <c r="E161" i="8"/>
  <c r="D161" i="8"/>
  <c r="C161" i="8" s="1"/>
  <c r="H160" i="8"/>
  <c r="G160" i="8"/>
  <c r="E160" i="8"/>
  <c r="D160" i="8"/>
  <c r="C160" i="8" s="1"/>
  <c r="H159" i="8"/>
  <c r="G159" i="8"/>
  <c r="E159" i="8"/>
  <c r="D159" i="8"/>
  <c r="C159" i="8" s="1"/>
  <c r="H158" i="8"/>
  <c r="G158" i="8"/>
  <c r="E158" i="8"/>
  <c r="D158" i="8"/>
  <c r="C158" i="8"/>
  <c r="H157" i="8"/>
  <c r="G157" i="8"/>
  <c r="E157" i="8"/>
  <c r="D157" i="8"/>
  <c r="C157" i="8" s="1"/>
  <c r="H156" i="8"/>
  <c r="G156" i="8"/>
  <c r="E156" i="8"/>
  <c r="D156" i="8"/>
  <c r="C156" i="8"/>
  <c r="H155" i="8"/>
  <c r="G155" i="8"/>
  <c r="E155" i="8"/>
  <c r="D155" i="8"/>
  <c r="C155" i="8" s="1"/>
  <c r="H154" i="8"/>
  <c r="G154" i="8"/>
  <c r="E154" i="8"/>
  <c r="D154" i="8"/>
  <c r="C154" i="8" s="1"/>
  <c r="H153" i="8"/>
  <c r="G153" i="8"/>
  <c r="E153" i="8"/>
  <c r="D153" i="8"/>
  <c r="C153" i="8" s="1"/>
  <c r="H152" i="8"/>
  <c r="G152" i="8"/>
  <c r="E152" i="8"/>
  <c r="D152" i="8"/>
  <c r="C152" i="8" s="1"/>
  <c r="H151" i="8"/>
  <c r="G151" i="8"/>
  <c r="E151" i="8"/>
  <c r="D151" i="8"/>
  <c r="C151" i="8"/>
  <c r="H150" i="8"/>
  <c r="G150" i="8"/>
  <c r="E150" i="8"/>
  <c r="D150" i="8"/>
  <c r="C150" i="8" s="1"/>
  <c r="H149" i="8"/>
  <c r="G149" i="8"/>
  <c r="E149" i="8"/>
  <c r="D149" i="8"/>
  <c r="C149" i="8"/>
  <c r="H148" i="8"/>
  <c r="G148" i="8"/>
  <c r="E148" i="8"/>
  <c r="D148" i="8"/>
  <c r="C148" i="8"/>
  <c r="H147" i="8"/>
  <c r="G147" i="8"/>
  <c r="E147" i="8"/>
  <c r="D147" i="8"/>
  <c r="C147" i="8"/>
  <c r="H146" i="8"/>
  <c r="G146" i="8"/>
  <c r="E146" i="8"/>
  <c r="D146" i="8"/>
  <c r="C146" i="8" s="1"/>
  <c r="H145" i="8"/>
  <c r="G145" i="8"/>
  <c r="E145" i="8"/>
  <c r="D145" i="8"/>
  <c r="C145" i="8"/>
  <c r="H144" i="8"/>
  <c r="G144" i="8"/>
  <c r="E144" i="8"/>
  <c r="D144" i="8"/>
  <c r="C144" i="8" s="1"/>
  <c r="H143" i="8"/>
  <c r="G143" i="8"/>
  <c r="E143" i="8"/>
  <c r="D143" i="8"/>
  <c r="C143" i="8"/>
  <c r="H142" i="8"/>
  <c r="G142" i="8"/>
  <c r="E142" i="8"/>
  <c r="D142" i="8"/>
  <c r="C142" i="8"/>
  <c r="H141" i="8"/>
  <c r="G141" i="8"/>
  <c r="E141" i="8"/>
  <c r="D141" i="8"/>
  <c r="C141" i="8"/>
  <c r="H140" i="8"/>
  <c r="G140" i="8"/>
  <c r="E140" i="8"/>
  <c r="D140" i="8"/>
  <c r="C140" i="8" s="1"/>
  <c r="H139" i="8"/>
  <c r="G139" i="8"/>
  <c r="E139" i="8"/>
  <c r="D139" i="8"/>
  <c r="C139" i="8"/>
  <c r="H138" i="8"/>
  <c r="G138" i="8"/>
  <c r="E138" i="8"/>
  <c r="D138" i="8"/>
  <c r="C138" i="8" s="1"/>
  <c r="H137" i="8"/>
  <c r="G137" i="8"/>
  <c r="E137" i="8"/>
  <c r="D137" i="8"/>
  <c r="C137" i="8"/>
  <c r="H136" i="8"/>
  <c r="G136" i="8"/>
  <c r="E136" i="8"/>
  <c r="D136" i="8"/>
  <c r="C136" i="8"/>
  <c r="H135" i="8"/>
  <c r="G135" i="8"/>
  <c r="E135" i="8"/>
  <c r="D135" i="8"/>
  <c r="C135" i="8"/>
  <c r="H134" i="8"/>
  <c r="G134" i="8"/>
  <c r="E134" i="8"/>
  <c r="D134" i="8"/>
  <c r="C134" i="8" s="1"/>
  <c r="H133" i="8"/>
  <c r="G133" i="8"/>
  <c r="E133" i="8"/>
  <c r="D133" i="8"/>
  <c r="C133" i="8"/>
  <c r="H132" i="8"/>
  <c r="G132" i="8"/>
  <c r="E132" i="8"/>
  <c r="D132" i="8"/>
  <c r="C132" i="8" s="1"/>
  <c r="H131" i="8"/>
  <c r="G131" i="8"/>
  <c r="E131" i="8"/>
  <c r="D131" i="8"/>
  <c r="C131" i="8"/>
  <c r="H130" i="8"/>
  <c r="G130" i="8"/>
  <c r="E130" i="8"/>
  <c r="D130" i="8"/>
  <c r="C130" i="8"/>
  <c r="H129" i="8"/>
  <c r="G129" i="8"/>
  <c r="E129" i="8"/>
  <c r="D129" i="8"/>
  <c r="C129" i="8"/>
  <c r="H128" i="8"/>
  <c r="G128" i="8"/>
  <c r="E128" i="8"/>
  <c r="D128" i="8"/>
  <c r="C128" i="8" s="1"/>
  <c r="H127" i="8"/>
  <c r="G127" i="8"/>
  <c r="E127" i="8"/>
  <c r="D127" i="8"/>
  <c r="C127" i="8"/>
  <c r="H126" i="8"/>
  <c r="G126" i="8"/>
  <c r="E126" i="8"/>
  <c r="D126" i="8"/>
  <c r="C126" i="8" s="1"/>
  <c r="H125" i="8"/>
  <c r="G125" i="8"/>
  <c r="E125" i="8"/>
  <c r="D125" i="8"/>
  <c r="C125" i="8"/>
  <c r="H124" i="8"/>
  <c r="G124" i="8"/>
  <c r="E124" i="8"/>
  <c r="D124" i="8"/>
  <c r="C124" i="8"/>
  <c r="H123" i="8"/>
  <c r="G123" i="8"/>
  <c r="E123" i="8"/>
  <c r="D123" i="8"/>
  <c r="C123" i="8"/>
  <c r="H122" i="8"/>
  <c r="G122" i="8"/>
  <c r="E122" i="8"/>
  <c r="D122" i="8"/>
  <c r="C122" i="8" s="1"/>
  <c r="H121" i="8"/>
  <c r="G121" i="8"/>
  <c r="E121" i="8"/>
  <c r="D121" i="8"/>
  <c r="C121" i="8"/>
  <c r="H120" i="8"/>
  <c r="G120" i="8"/>
  <c r="E120" i="8"/>
  <c r="D120" i="8"/>
  <c r="C120" i="8" s="1"/>
  <c r="H119" i="8"/>
  <c r="G119" i="8"/>
  <c r="E119" i="8"/>
  <c r="D119" i="8"/>
  <c r="C119" i="8"/>
  <c r="H118" i="8"/>
  <c r="G118" i="8"/>
  <c r="E118" i="8"/>
  <c r="D118" i="8"/>
  <c r="C118" i="8"/>
  <c r="H117" i="8"/>
  <c r="G117" i="8"/>
  <c r="E117" i="8"/>
  <c r="D117" i="8"/>
  <c r="C117" i="8"/>
  <c r="H116" i="8"/>
  <c r="G116" i="8"/>
  <c r="E116" i="8"/>
  <c r="D116" i="8"/>
  <c r="C116" i="8" s="1"/>
  <c r="H115" i="8"/>
  <c r="G115" i="8"/>
  <c r="E115" i="8"/>
  <c r="D115" i="8"/>
  <c r="C115" i="8"/>
  <c r="H114" i="8"/>
  <c r="G114" i="8"/>
  <c r="E114" i="8"/>
  <c r="D114" i="8"/>
  <c r="C114" i="8" s="1"/>
  <c r="H113" i="8"/>
  <c r="G113" i="8"/>
  <c r="E113" i="8"/>
  <c r="D113" i="8"/>
  <c r="C113" i="8"/>
  <c r="H112" i="8"/>
  <c r="G112" i="8"/>
  <c r="E112" i="8"/>
  <c r="D112" i="8"/>
  <c r="C112" i="8"/>
  <c r="H111" i="8"/>
  <c r="G111" i="8"/>
  <c r="E111" i="8"/>
  <c r="D111" i="8"/>
  <c r="C111" i="8"/>
  <c r="H110" i="8"/>
  <c r="G110" i="8"/>
  <c r="E110" i="8"/>
  <c r="D110" i="8"/>
  <c r="C110" i="8" s="1"/>
  <c r="H109" i="8"/>
  <c r="G109" i="8"/>
  <c r="E109" i="8"/>
  <c r="D109" i="8"/>
  <c r="C109" i="8"/>
  <c r="H108" i="8"/>
  <c r="G108" i="8"/>
  <c r="E108" i="8"/>
  <c r="D108" i="8"/>
  <c r="C108" i="8" s="1"/>
  <c r="H107" i="8"/>
  <c r="G107" i="8"/>
  <c r="E107" i="8"/>
  <c r="D107" i="8"/>
  <c r="C107" i="8"/>
  <c r="H106" i="8"/>
  <c r="G106" i="8"/>
  <c r="E106" i="8"/>
  <c r="D106" i="8"/>
  <c r="C106" i="8"/>
  <c r="H105" i="8"/>
  <c r="G105" i="8"/>
  <c r="E105" i="8"/>
  <c r="D105" i="8"/>
  <c r="C105" i="8"/>
  <c r="H104" i="8"/>
  <c r="G104" i="8"/>
  <c r="E104" i="8"/>
  <c r="D104" i="8"/>
  <c r="C104" i="8" s="1"/>
  <c r="H103" i="8"/>
  <c r="G103" i="8"/>
  <c r="E103" i="8"/>
  <c r="D103" i="8"/>
  <c r="C103" i="8"/>
  <c r="H102" i="8"/>
  <c r="G102" i="8"/>
  <c r="E102" i="8"/>
  <c r="D102" i="8"/>
  <c r="C102" i="8" s="1"/>
  <c r="H101" i="8"/>
  <c r="G101" i="8"/>
  <c r="E101" i="8"/>
  <c r="D101" i="8"/>
  <c r="C101" i="8"/>
  <c r="H100" i="8"/>
  <c r="G100" i="8"/>
  <c r="E100" i="8"/>
  <c r="D100" i="8"/>
  <c r="C100" i="8"/>
  <c r="H99" i="8"/>
  <c r="G99" i="8"/>
  <c r="E99" i="8"/>
  <c r="D99" i="8"/>
  <c r="C99" i="8"/>
  <c r="H98" i="8"/>
  <c r="G98" i="8"/>
  <c r="E98" i="8"/>
  <c r="D98" i="8"/>
  <c r="C98" i="8" s="1"/>
  <c r="H97" i="8"/>
  <c r="G97" i="8"/>
  <c r="E97" i="8"/>
  <c r="D97" i="8"/>
  <c r="C97" i="8"/>
  <c r="H96" i="8"/>
  <c r="G96" i="8"/>
  <c r="E96" i="8"/>
  <c r="D96" i="8"/>
  <c r="C96" i="8" s="1"/>
  <c r="H95" i="8"/>
  <c r="G95" i="8"/>
  <c r="E95" i="8"/>
  <c r="D95" i="8"/>
  <c r="C95" i="8"/>
  <c r="H94" i="8"/>
  <c r="G94" i="8"/>
  <c r="E94" i="8"/>
  <c r="D94" i="8"/>
  <c r="C94" i="8"/>
  <c r="H93" i="8"/>
  <c r="G93" i="8"/>
  <c r="E93" i="8"/>
  <c r="D93" i="8"/>
  <c r="C93" i="8"/>
  <c r="H92" i="8"/>
  <c r="G92" i="8"/>
  <c r="E92" i="8"/>
  <c r="D92" i="8"/>
  <c r="C92" i="8" s="1"/>
  <c r="H91" i="8"/>
  <c r="G91" i="8"/>
  <c r="E91" i="8"/>
  <c r="D91" i="8"/>
  <c r="C91" i="8" s="1"/>
  <c r="H90" i="8"/>
  <c r="G90" i="8"/>
  <c r="E90" i="8"/>
  <c r="D90" i="8"/>
  <c r="C90" i="8"/>
  <c r="H89" i="8"/>
  <c r="G89" i="8"/>
  <c r="E89" i="8"/>
  <c r="D89" i="8"/>
  <c r="C89" i="8" s="1"/>
  <c r="H88" i="8"/>
  <c r="G88" i="8"/>
  <c r="E88" i="8"/>
  <c r="D88" i="8"/>
  <c r="C88" i="8"/>
  <c r="H87" i="8"/>
  <c r="G87" i="8"/>
  <c r="E87" i="8"/>
  <c r="D87" i="8"/>
  <c r="C87" i="8"/>
  <c r="H86" i="8"/>
  <c r="G86" i="8"/>
  <c r="E86" i="8"/>
  <c r="D86" i="8"/>
  <c r="C86" i="8"/>
  <c r="H85" i="8"/>
  <c r="G85" i="8"/>
  <c r="E85" i="8"/>
  <c r="D85" i="8"/>
  <c r="C85" i="8" s="1"/>
  <c r="H84" i="8"/>
  <c r="G84" i="8"/>
  <c r="E84" i="8"/>
  <c r="D84" i="8"/>
  <c r="C84" i="8"/>
  <c r="H83" i="8"/>
  <c r="G83" i="8"/>
  <c r="E83" i="8"/>
  <c r="D83" i="8"/>
  <c r="C83" i="8"/>
  <c r="H82" i="8"/>
  <c r="G82" i="8"/>
  <c r="E82" i="8"/>
  <c r="D82" i="8"/>
  <c r="C82" i="8"/>
  <c r="H81" i="8"/>
  <c r="G81" i="8"/>
  <c r="E81" i="8"/>
  <c r="D81" i="8"/>
  <c r="C81" i="8" s="1"/>
  <c r="H80" i="8"/>
  <c r="G80" i="8"/>
  <c r="E80" i="8"/>
  <c r="D80" i="8"/>
  <c r="C80" i="8"/>
  <c r="H79" i="8"/>
  <c r="G79" i="8"/>
  <c r="E79" i="8"/>
  <c r="D79" i="8"/>
  <c r="C79" i="8" s="1"/>
  <c r="H78" i="8"/>
  <c r="G78" i="8"/>
  <c r="E78" i="8"/>
  <c r="D78" i="8"/>
  <c r="C78" i="8"/>
  <c r="H77" i="8"/>
  <c r="G77" i="8"/>
  <c r="E77" i="8"/>
  <c r="D77" i="8"/>
  <c r="C77" i="8" s="1"/>
  <c r="H76" i="8"/>
  <c r="G76" i="8"/>
  <c r="E76" i="8"/>
  <c r="D76" i="8"/>
  <c r="C76" i="8" s="1"/>
  <c r="H75" i="8"/>
  <c r="G75" i="8"/>
  <c r="E75" i="8"/>
  <c r="D75" i="8"/>
  <c r="C75" i="8" s="1"/>
  <c r="H74" i="8"/>
  <c r="G74" i="8"/>
  <c r="E74" i="8"/>
  <c r="D74" i="8"/>
  <c r="C74" i="8"/>
  <c r="H73" i="8"/>
  <c r="G73" i="8"/>
  <c r="E73" i="8"/>
  <c r="D73" i="8"/>
  <c r="C73" i="8" s="1"/>
  <c r="H72" i="8"/>
  <c r="G72" i="8"/>
  <c r="E72" i="8"/>
  <c r="D72" i="8"/>
  <c r="C72" i="8"/>
  <c r="H71" i="8"/>
  <c r="G71" i="8"/>
  <c r="E71" i="8"/>
  <c r="D71" i="8"/>
  <c r="C71" i="8"/>
  <c r="H70" i="8"/>
  <c r="G70" i="8"/>
  <c r="E70" i="8"/>
  <c r="D70" i="8"/>
  <c r="C70" i="8"/>
  <c r="H69" i="8"/>
  <c r="G69" i="8"/>
  <c r="E69" i="8"/>
  <c r="D69" i="8"/>
  <c r="C69" i="8" s="1"/>
  <c r="H68" i="8"/>
  <c r="G68" i="8"/>
  <c r="E68" i="8"/>
  <c r="D68" i="8"/>
  <c r="C68" i="8"/>
  <c r="H67" i="8"/>
  <c r="G67" i="8"/>
  <c r="E67" i="8"/>
  <c r="D67" i="8"/>
  <c r="C67" i="8" s="1"/>
  <c r="H66" i="8"/>
  <c r="G66" i="8"/>
  <c r="E66" i="8"/>
  <c r="D66" i="8"/>
  <c r="C66" i="8"/>
  <c r="H65" i="8"/>
  <c r="G65" i="8"/>
  <c r="E65" i="8"/>
  <c r="D65" i="8"/>
  <c r="C65" i="8" s="1"/>
  <c r="H64" i="8"/>
  <c r="G64" i="8"/>
  <c r="E64" i="8"/>
  <c r="D64" i="8"/>
  <c r="C64" i="8" s="1"/>
  <c r="H63" i="8"/>
  <c r="G63" i="8"/>
  <c r="E63" i="8"/>
  <c r="D63" i="8"/>
  <c r="C63" i="8" s="1"/>
  <c r="H62" i="8"/>
  <c r="G62" i="8"/>
  <c r="E62" i="8"/>
  <c r="D62" i="8"/>
  <c r="C62" i="8"/>
  <c r="H61" i="8"/>
  <c r="G61" i="8"/>
  <c r="E61" i="8"/>
  <c r="D61" i="8"/>
  <c r="C61" i="8" s="1"/>
  <c r="H60" i="8"/>
  <c r="G60" i="8"/>
  <c r="E60" i="8"/>
  <c r="D60" i="8"/>
  <c r="C60" i="8"/>
  <c r="H59" i="8"/>
  <c r="G59" i="8"/>
  <c r="E59" i="8"/>
  <c r="D59" i="8"/>
  <c r="C59" i="8"/>
  <c r="H58" i="8"/>
  <c r="G58" i="8"/>
  <c r="E58" i="8"/>
  <c r="D58" i="8"/>
  <c r="C58" i="8"/>
  <c r="H57" i="8"/>
  <c r="G57" i="8"/>
  <c r="E57" i="8"/>
  <c r="D57" i="8"/>
  <c r="C57" i="8" s="1"/>
  <c r="H56" i="8"/>
  <c r="G56" i="8"/>
  <c r="E56" i="8"/>
  <c r="D56" i="8"/>
  <c r="C56" i="8"/>
  <c r="H55" i="8"/>
  <c r="G55" i="8"/>
  <c r="E55" i="8"/>
  <c r="D55" i="8"/>
  <c r="C55" i="8" s="1"/>
  <c r="H54" i="8"/>
  <c r="G54" i="8"/>
  <c r="E54" i="8"/>
  <c r="D54" i="8"/>
  <c r="C54" i="8"/>
  <c r="H53" i="8"/>
  <c r="G53" i="8"/>
  <c r="E53" i="8"/>
  <c r="D53" i="8"/>
  <c r="C53" i="8" s="1"/>
  <c r="H52" i="8"/>
  <c r="G52" i="8"/>
  <c r="E52" i="8"/>
  <c r="D52" i="8"/>
  <c r="C52" i="8" s="1"/>
  <c r="H51" i="8"/>
  <c r="G51" i="8"/>
  <c r="E51" i="8"/>
  <c r="D51" i="8"/>
  <c r="C51" i="8"/>
  <c r="H50" i="8"/>
  <c r="G50" i="8"/>
  <c r="E50" i="8"/>
  <c r="D50" i="8"/>
  <c r="C50" i="8"/>
  <c r="H49" i="8"/>
  <c r="G49" i="8"/>
  <c r="E49" i="8"/>
  <c r="D49" i="8"/>
  <c r="C49" i="8" s="1"/>
  <c r="H48" i="8"/>
  <c r="G48" i="8"/>
  <c r="E48" i="8"/>
  <c r="D48" i="8"/>
  <c r="C48" i="8"/>
  <c r="H47" i="8"/>
  <c r="G47" i="8"/>
  <c r="E47" i="8"/>
  <c r="D47" i="8"/>
  <c r="C47" i="8"/>
  <c r="H46" i="8"/>
  <c r="G46" i="8"/>
  <c r="E46" i="8"/>
  <c r="D46" i="8"/>
  <c r="C46" i="8" s="1"/>
  <c r="H45" i="8"/>
  <c r="G45" i="8"/>
  <c r="E45" i="8"/>
  <c r="D45" i="8"/>
  <c r="C45" i="8"/>
  <c r="H44" i="8"/>
  <c r="G44" i="8"/>
  <c r="E44" i="8"/>
  <c r="D44" i="8"/>
  <c r="C44" i="8" s="1"/>
  <c r="H43" i="8"/>
  <c r="G43" i="8"/>
  <c r="E43" i="8"/>
  <c r="D43" i="8"/>
  <c r="C43" i="8"/>
  <c r="H42" i="8"/>
  <c r="G42" i="8"/>
  <c r="E42" i="8"/>
  <c r="D42" i="8"/>
  <c r="C42" i="8"/>
  <c r="H41" i="8"/>
  <c r="G41" i="8"/>
  <c r="E41" i="8"/>
  <c r="D41" i="8"/>
  <c r="H40" i="8"/>
  <c r="G40" i="8"/>
  <c r="E40" i="8"/>
  <c r="D40" i="8"/>
  <c r="C40" i="8"/>
  <c r="H39" i="8"/>
  <c r="G39" i="8"/>
  <c r="E39" i="8"/>
  <c r="D39" i="8"/>
  <c r="C39" i="8" s="1"/>
  <c r="H38" i="8"/>
  <c r="G38" i="8"/>
  <c r="E38" i="8"/>
  <c r="D38" i="8"/>
  <c r="C38" i="8"/>
  <c r="H37" i="8"/>
  <c r="G37" i="8"/>
  <c r="E37" i="8"/>
  <c r="D37" i="8"/>
  <c r="C37" i="8" s="1"/>
  <c r="H36" i="8"/>
  <c r="G36" i="8"/>
  <c r="E36" i="8"/>
  <c r="D36" i="8"/>
  <c r="H35" i="8"/>
  <c r="G35" i="8"/>
  <c r="E35" i="8"/>
  <c r="D35" i="8"/>
  <c r="C35" i="8"/>
  <c r="H34" i="8"/>
  <c r="G34" i="8"/>
  <c r="E34" i="8"/>
  <c r="D34" i="8"/>
  <c r="C34" i="8"/>
  <c r="H33" i="8"/>
  <c r="G33" i="8"/>
  <c r="E33" i="8"/>
  <c r="D33" i="8"/>
  <c r="C33" i="8"/>
  <c r="H32" i="8"/>
  <c r="G32" i="8"/>
  <c r="E32" i="8"/>
  <c r="D32" i="8"/>
  <c r="C32" i="8" s="1"/>
  <c r="H31" i="8"/>
  <c r="G31" i="8"/>
  <c r="E31" i="8"/>
  <c r="D31" i="8"/>
  <c r="C31" i="8"/>
  <c r="H30" i="8"/>
  <c r="G30" i="8"/>
  <c r="F30" i="8"/>
  <c r="I29" i="8" s="1"/>
  <c r="E30" i="8"/>
  <c r="D30" i="8"/>
  <c r="C30" i="8" s="1"/>
  <c r="H29" i="8"/>
  <c r="G29" i="8"/>
  <c r="F29" i="8"/>
  <c r="E29" i="8"/>
  <c r="D29" i="8"/>
  <c r="C29" i="8"/>
  <c r="I28" i="8"/>
  <c r="H28" i="8"/>
  <c r="G28" i="8"/>
  <c r="F28" i="8"/>
  <c r="E28" i="8"/>
  <c r="D28" i="8"/>
  <c r="C28" i="8"/>
  <c r="H27" i="8"/>
  <c r="G27" i="8"/>
  <c r="E27" i="8"/>
  <c r="D27" i="8"/>
  <c r="C27" i="8"/>
  <c r="H26" i="8"/>
  <c r="G26" i="8"/>
  <c r="E26" i="8"/>
  <c r="D26" i="8"/>
  <c r="H25" i="8"/>
  <c r="G25" i="8"/>
  <c r="E25" i="8"/>
  <c r="D25" i="8"/>
  <c r="C25" i="8"/>
  <c r="H24" i="8"/>
  <c r="G24" i="8"/>
  <c r="E24" i="8"/>
  <c r="D24" i="8"/>
  <c r="C24" i="8" s="1"/>
  <c r="H23" i="8"/>
  <c r="G23" i="8"/>
  <c r="E23" i="8"/>
  <c r="D23" i="8"/>
  <c r="C23" i="8"/>
  <c r="H22" i="8"/>
  <c r="G22" i="8"/>
  <c r="E22" i="8"/>
  <c r="D22" i="8"/>
  <c r="C22" i="8" s="1"/>
  <c r="H21" i="8"/>
  <c r="G21" i="8"/>
  <c r="E21" i="8"/>
  <c r="D21" i="8"/>
  <c r="C21" i="8"/>
  <c r="H20" i="8"/>
  <c r="G20" i="8"/>
  <c r="E20" i="8"/>
  <c r="D20" i="8"/>
  <c r="C20" i="8"/>
  <c r="H19" i="8"/>
  <c r="G19" i="8"/>
  <c r="E19" i="8"/>
  <c r="D19" i="8"/>
  <c r="C19" i="8"/>
  <c r="H18" i="8"/>
  <c r="G18" i="8"/>
  <c r="E18" i="8"/>
  <c r="D18" i="8"/>
  <c r="C18" i="8" s="1"/>
  <c r="H17" i="8"/>
  <c r="G17" i="8"/>
  <c r="E17" i="8"/>
  <c r="D17" i="8"/>
  <c r="C17" i="8"/>
  <c r="H16" i="8"/>
  <c r="G16" i="8"/>
  <c r="E16" i="8"/>
  <c r="D16" i="8"/>
  <c r="C16" i="8" s="1"/>
  <c r="H15" i="8"/>
  <c r="G15" i="8"/>
  <c r="E15" i="8"/>
  <c r="D15" i="8"/>
  <c r="C15" i="8"/>
  <c r="H14" i="8"/>
  <c r="G14" i="8"/>
  <c r="E14" i="8"/>
  <c r="D14" i="8"/>
  <c r="C14" i="8"/>
  <c r="H13" i="8"/>
  <c r="G13" i="8"/>
  <c r="E13" i="8"/>
  <c r="D13" i="8"/>
  <c r="C13" i="8"/>
  <c r="H12" i="8"/>
  <c r="G12" i="8"/>
  <c r="E12" i="8"/>
  <c r="D12" i="8"/>
  <c r="C12" i="8" s="1"/>
  <c r="H11" i="8"/>
  <c r="G11" i="8"/>
  <c r="E11" i="8"/>
  <c r="D11" i="8"/>
  <c r="C11" i="8"/>
  <c r="H10" i="8"/>
  <c r="G10" i="8"/>
  <c r="E10" i="8"/>
  <c r="D10" i="8"/>
  <c r="C10" i="8" s="1"/>
  <c r="H9" i="8"/>
  <c r="G9" i="8"/>
  <c r="E9" i="8"/>
  <c r="D9" i="8"/>
  <c r="C9" i="8"/>
  <c r="H8" i="8"/>
  <c r="G8" i="8"/>
  <c r="E8" i="8"/>
  <c r="D8" i="8"/>
  <c r="C8" i="8"/>
  <c r="H7" i="8"/>
  <c r="G7" i="8"/>
  <c r="E7" i="8"/>
  <c r="D7" i="8"/>
  <c r="C7" i="8"/>
  <c r="H6" i="8"/>
  <c r="G6" i="8"/>
  <c r="E6" i="8"/>
  <c r="D6" i="8"/>
  <c r="C6" i="8" s="1"/>
  <c r="H5" i="8"/>
  <c r="G5" i="8"/>
  <c r="E5" i="8"/>
  <c r="D5" i="8"/>
  <c r="C5" i="8"/>
  <c r="H4" i="8"/>
  <c r="G4" i="8"/>
  <c r="E4" i="8"/>
  <c r="D4" i="8"/>
  <c r="C4" i="8" s="1"/>
  <c r="H3" i="8"/>
  <c r="G3" i="8"/>
  <c r="E3" i="8"/>
  <c r="D3" i="8"/>
  <c r="C3" i="8"/>
  <c r="H2" i="8"/>
  <c r="G2" i="8"/>
  <c r="E2" i="8"/>
  <c r="D2" i="8"/>
  <c r="C2" i="8"/>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J14" i="7"/>
  <c r="I14" i="7"/>
  <c r="H14" i="7"/>
  <c r="G14" i="7"/>
  <c r="F14" i="7"/>
  <c r="E14" i="7"/>
  <c r="D14" i="7"/>
  <c r="C14" i="7"/>
  <c r="B14" i="7"/>
  <c r="L13" i="7"/>
  <c r="K13" i="7"/>
  <c r="J13" i="7"/>
  <c r="I13" i="7"/>
  <c r="H13" i="7"/>
  <c r="G13" i="7"/>
  <c r="F13" i="7"/>
  <c r="E13" i="7"/>
  <c r="D13" i="7"/>
  <c r="C13" i="7"/>
  <c r="B13" i="7"/>
  <c r="G12" i="7"/>
  <c r="F12" i="7"/>
  <c r="E12" i="7"/>
  <c r="D12" i="7"/>
  <c r="C12" i="7"/>
  <c r="B12" i="7"/>
  <c r="K11" i="7"/>
  <c r="J11" i="7"/>
  <c r="I11" i="7"/>
  <c r="H11" i="7"/>
  <c r="G11" i="7"/>
  <c r="F11" i="7"/>
  <c r="E11" i="7"/>
  <c r="D11" i="7"/>
  <c r="C11" i="7"/>
  <c r="B11" i="7"/>
  <c r="I10" i="7"/>
  <c r="H10" i="7"/>
  <c r="G10" i="7"/>
  <c r="F10" i="7"/>
  <c r="E10" i="7"/>
  <c r="D10" i="7"/>
  <c r="C10" i="7"/>
  <c r="B10" i="7"/>
  <c r="L9" i="7"/>
  <c r="K9" i="7"/>
  <c r="J9" i="7"/>
  <c r="I9" i="7"/>
  <c r="H9" i="7"/>
  <c r="G9" i="7"/>
  <c r="F9" i="7"/>
  <c r="E9" i="7"/>
  <c r="D9" i="7"/>
  <c r="C9" i="7"/>
  <c r="B9" i="7"/>
  <c r="K8" i="7"/>
  <c r="J8" i="7"/>
  <c r="I8" i="7"/>
  <c r="H8" i="7"/>
  <c r="G8" i="7"/>
  <c r="F8" i="7"/>
  <c r="E8" i="7"/>
  <c r="D8" i="7"/>
  <c r="C8" i="7"/>
  <c r="B8" i="7"/>
  <c r="O7" i="7"/>
  <c r="N7" i="7"/>
  <c r="M7" i="7"/>
  <c r="L7" i="7"/>
  <c r="K7" i="7"/>
  <c r="J7" i="7"/>
  <c r="I7" i="7"/>
  <c r="H7" i="7"/>
  <c r="G7" i="7"/>
  <c r="F7" i="7"/>
  <c r="E7" i="7"/>
  <c r="D7" i="7"/>
  <c r="C7" i="7"/>
  <c r="B7" i="7"/>
  <c r="F6" i="7"/>
  <c r="E6" i="7"/>
  <c r="D6" i="7"/>
  <c r="C6" i="7"/>
  <c r="B6" i="7"/>
  <c r="L5" i="7"/>
  <c r="K5" i="7"/>
  <c r="J5" i="7"/>
  <c r="I5" i="7"/>
  <c r="H5" i="7"/>
  <c r="G5" i="7"/>
  <c r="F5" i="7"/>
  <c r="E5" i="7"/>
  <c r="D5" i="7"/>
  <c r="C5" i="7"/>
  <c r="B5" i="7"/>
  <c r="K4" i="7"/>
  <c r="J4" i="7"/>
  <c r="I4" i="7"/>
  <c r="H4" i="7"/>
  <c r="G4" i="7"/>
  <c r="F4" i="7"/>
  <c r="E4" i="7"/>
  <c r="D4" i="7"/>
  <c r="C4" i="7"/>
  <c r="B4" i="7"/>
  <c r="K3" i="7"/>
  <c r="J3" i="7"/>
  <c r="I3" i="7"/>
  <c r="H3" i="7"/>
  <c r="G3" i="7"/>
  <c r="F3" i="7"/>
  <c r="E3" i="7"/>
  <c r="D3" i="7"/>
  <c r="C3" i="7"/>
  <c r="B3" i="7"/>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293" i="6"/>
  <c r="B292" i="6"/>
  <c r="B291" i="6"/>
  <c r="B290" i="6"/>
  <c r="B289" i="6"/>
  <c r="B288" i="6"/>
  <c r="B287" i="6"/>
  <c r="B286"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236" i="6"/>
  <c r="B235" i="6"/>
  <c r="B234" i="6"/>
  <c r="B233" i="6"/>
  <c r="B232" i="6"/>
  <c r="B231" i="6"/>
  <c r="B230" i="6"/>
  <c r="B229" i="6"/>
  <c r="B228" i="6"/>
  <c r="B227" i="6"/>
  <c r="B226" i="6"/>
  <c r="B225" i="6"/>
  <c r="B224" i="6"/>
  <c r="B223" i="6"/>
  <c r="B222" i="6"/>
  <c r="B221" i="6"/>
  <c r="B220" i="6"/>
  <c r="B219" i="6"/>
  <c r="B218" i="6"/>
  <c r="B217" i="6"/>
  <c r="B216" i="6"/>
  <c r="B215" i="6"/>
  <c r="B214" i="6"/>
  <c r="B213" i="6"/>
  <c r="B212" i="6"/>
  <c r="B211" i="6"/>
  <c r="B210" i="6"/>
  <c r="B209" i="6"/>
  <c r="B208" i="6"/>
  <c r="B207" i="6"/>
  <c r="B206" i="6"/>
  <c r="B205" i="6"/>
  <c r="B204" i="6"/>
  <c r="B203" i="6"/>
  <c r="B202" i="6"/>
  <c r="B201" i="6"/>
  <c r="B200" i="6"/>
  <c r="B199" i="6"/>
  <c r="B198" i="6"/>
  <c r="B197" i="6"/>
  <c r="B196" i="6"/>
  <c r="B195" i="6"/>
  <c r="B194" i="6"/>
  <c r="B193" i="6"/>
  <c r="B192" i="6"/>
  <c r="B191" i="6"/>
  <c r="B190" i="6"/>
  <c r="B189" i="6"/>
  <c r="B188" i="6"/>
  <c r="B187" i="6"/>
  <c r="B186" i="6"/>
  <c r="B185" i="6"/>
  <c r="B184" i="6"/>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B3" i="6"/>
  <c r="B2" i="6"/>
  <c r="K352" i="4"/>
  <c r="F354" i="8" s="1"/>
  <c r="K351" i="4"/>
  <c r="F353" i="8" s="1"/>
  <c r="K350" i="4"/>
  <c r="F352" i="8" s="1"/>
  <c r="K349" i="4"/>
  <c r="F351" i="8" s="1"/>
  <c r="K348" i="4"/>
  <c r="F350" i="8" s="1"/>
  <c r="K347" i="4"/>
  <c r="F349" i="8" s="1"/>
  <c r="K346" i="4"/>
  <c r="F348" i="8" s="1"/>
  <c r="K345" i="4"/>
  <c r="F347" i="8" s="1"/>
  <c r="K344" i="4"/>
  <c r="F346" i="8" s="1"/>
  <c r="K343" i="4"/>
  <c r="F345" i="8" s="1"/>
  <c r="K342" i="4"/>
  <c r="F344" i="8" s="1"/>
  <c r="K341" i="4"/>
  <c r="F343" i="8" s="1"/>
  <c r="K340" i="4"/>
  <c r="F342" i="8" s="1"/>
  <c r="K339" i="4"/>
  <c r="F341" i="8" s="1"/>
  <c r="K338" i="4"/>
  <c r="F340" i="8" s="1"/>
  <c r="K337" i="4"/>
  <c r="F339" i="8" s="1"/>
  <c r="K336" i="4"/>
  <c r="F338" i="8" s="1"/>
  <c r="K335" i="4"/>
  <c r="F337" i="8" s="1"/>
  <c r="K334" i="4"/>
  <c r="F336" i="8" s="1"/>
  <c r="K333" i="4"/>
  <c r="F335" i="8" s="1"/>
  <c r="K332" i="4"/>
  <c r="F334" i="8" s="1"/>
  <c r="K331" i="4"/>
  <c r="F333" i="8" s="1"/>
  <c r="K330" i="4"/>
  <c r="F332" i="8" s="1"/>
  <c r="K329" i="4"/>
  <c r="F331" i="8" s="1"/>
  <c r="K328" i="4"/>
  <c r="F330" i="8" s="1"/>
  <c r="K327" i="4"/>
  <c r="F329" i="8" s="1"/>
  <c r="K326" i="4"/>
  <c r="F328" i="8" s="1"/>
  <c r="K325" i="4"/>
  <c r="F327" i="8" s="1"/>
  <c r="K324" i="4"/>
  <c r="F326" i="8" s="1"/>
  <c r="K323" i="4"/>
  <c r="F325" i="8" s="1"/>
  <c r="K322" i="4"/>
  <c r="F324" i="8" s="1"/>
  <c r="K321" i="4"/>
  <c r="F323" i="8" s="1"/>
  <c r="K320" i="4"/>
  <c r="F322" i="8" s="1"/>
  <c r="K319" i="4"/>
  <c r="F321" i="8" s="1"/>
  <c r="K318" i="4"/>
  <c r="F320" i="8" s="1"/>
  <c r="K317" i="4"/>
  <c r="F319" i="8" s="1"/>
  <c r="K316" i="4"/>
  <c r="F318" i="8" s="1"/>
  <c r="K315" i="4"/>
  <c r="F317" i="8" s="1"/>
  <c r="K314" i="4"/>
  <c r="F316" i="8" s="1"/>
  <c r="K313" i="4"/>
  <c r="F315" i="8" s="1"/>
  <c r="K312" i="4"/>
  <c r="F314" i="8" s="1"/>
  <c r="K311" i="4"/>
  <c r="F313" i="8" s="1"/>
  <c r="K310" i="4"/>
  <c r="F312" i="8" s="1"/>
  <c r="K309" i="4"/>
  <c r="F311" i="8" s="1"/>
  <c r="K308" i="4"/>
  <c r="F310" i="8" s="1"/>
  <c r="K307" i="4"/>
  <c r="F309" i="8" s="1"/>
  <c r="K306" i="4"/>
  <c r="F308" i="8" s="1"/>
  <c r="K305" i="4"/>
  <c r="F307" i="8" s="1"/>
  <c r="K304" i="4"/>
  <c r="F306" i="8" s="1"/>
  <c r="K303" i="4"/>
  <c r="F305" i="8" s="1"/>
  <c r="K302" i="4"/>
  <c r="F304" i="8" s="1"/>
  <c r="K301" i="4"/>
  <c r="F303" i="8" s="1"/>
  <c r="K300" i="4"/>
  <c r="F302" i="8" s="1"/>
  <c r="K299" i="4"/>
  <c r="F301" i="8" s="1"/>
  <c r="K298" i="4"/>
  <c r="F300" i="8" s="1"/>
  <c r="K297" i="4"/>
  <c r="F299" i="8" s="1"/>
  <c r="K296" i="4"/>
  <c r="F298" i="8" s="1"/>
  <c r="K295" i="4"/>
  <c r="F297" i="8" s="1"/>
  <c r="K294" i="4"/>
  <c r="F296" i="8" s="1"/>
  <c r="K293" i="4"/>
  <c r="F295" i="8" s="1"/>
  <c r="K292" i="4"/>
  <c r="F294" i="8" s="1"/>
  <c r="K291" i="4"/>
  <c r="F293" i="8" s="1"/>
  <c r="K290" i="4"/>
  <c r="F292" i="8" s="1"/>
  <c r="K289" i="4"/>
  <c r="F291" i="8" s="1"/>
  <c r="K288" i="4"/>
  <c r="F290" i="8" s="1"/>
  <c r="K287" i="4"/>
  <c r="F289" i="8" s="1"/>
  <c r="K286" i="4"/>
  <c r="F288" i="8" s="1"/>
  <c r="K285" i="4"/>
  <c r="F287" i="8" s="1"/>
  <c r="K284" i="4"/>
  <c r="F286" i="8" s="1"/>
  <c r="K283" i="4"/>
  <c r="F285" i="8" s="1"/>
  <c r="K282" i="4"/>
  <c r="F284" i="8" s="1"/>
  <c r="K281" i="4"/>
  <c r="F283" i="8" s="1"/>
  <c r="K280" i="4"/>
  <c r="F282" i="8" s="1"/>
  <c r="K279" i="4"/>
  <c r="F281" i="8" s="1"/>
  <c r="K278" i="4"/>
  <c r="F280" i="8" s="1"/>
  <c r="K277" i="4"/>
  <c r="F279" i="8" s="1"/>
  <c r="K276" i="4"/>
  <c r="F278" i="8" s="1"/>
  <c r="K275" i="4"/>
  <c r="F277" i="8" s="1"/>
  <c r="K274" i="4"/>
  <c r="F276" i="8" s="1"/>
  <c r="K273" i="4"/>
  <c r="F275" i="8" s="1"/>
  <c r="K272" i="4"/>
  <c r="F274" i="8" s="1"/>
  <c r="K271" i="4"/>
  <c r="F273" i="8" s="1"/>
  <c r="K270" i="4"/>
  <c r="F272" i="8" s="1"/>
  <c r="K269" i="4"/>
  <c r="F271" i="8" s="1"/>
  <c r="K268" i="4"/>
  <c r="F270" i="8" s="1"/>
  <c r="K267" i="4"/>
  <c r="F269" i="8" s="1"/>
  <c r="K266" i="4"/>
  <c r="F268" i="8" s="1"/>
  <c r="K265" i="4"/>
  <c r="F267" i="8" s="1"/>
  <c r="K264" i="4"/>
  <c r="F266" i="8" s="1"/>
  <c r="K263" i="4"/>
  <c r="F265" i="8" s="1"/>
  <c r="K262" i="4"/>
  <c r="F264" i="8" s="1"/>
  <c r="K261" i="4"/>
  <c r="F263" i="8" s="1"/>
  <c r="K260" i="4"/>
  <c r="F262" i="8" s="1"/>
  <c r="K259" i="4"/>
  <c r="F261" i="8" s="1"/>
  <c r="K258" i="4"/>
  <c r="F260" i="8" s="1"/>
  <c r="K257" i="4"/>
  <c r="F259" i="8" s="1"/>
  <c r="K256" i="4"/>
  <c r="F258" i="8" s="1"/>
  <c r="K255" i="4"/>
  <c r="F257" i="8" s="1"/>
  <c r="K254" i="4"/>
  <c r="F256" i="8" s="1"/>
  <c r="K253" i="4"/>
  <c r="F255" i="8" s="1"/>
  <c r="K252" i="4"/>
  <c r="F254" i="8" s="1"/>
  <c r="K251" i="4"/>
  <c r="F253" i="8" s="1"/>
  <c r="K250" i="4"/>
  <c r="F252" i="8" s="1"/>
  <c r="K249" i="4"/>
  <c r="F251" i="8" s="1"/>
  <c r="K248" i="4"/>
  <c r="F250" i="8" s="1"/>
  <c r="K247" i="4"/>
  <c r="F249" i="8" s="1"/>
  <c r="K246" i="4"/>
  <c r="F248" i="8" s="1"/>
  <c r="K245" i="4"/>
  <c r="F247" i="8" s="1"/>
  <c r="K244" i="4"/>
  <c r="F246" i="8" s="1"/>
  <c r="K243" i="4"/>
  <c r="F245" i="8" s="1"/>
  <c r="K242" i="4"/>
  <c r="F244" i="8" s="1"/>
  <c r="K241" i="4"/>
  <c r="F243" i="8" s="1"/>
  <c r="K240" i="4"/>
  <c r="F242" i="8" s="1"/>
  <c r="K239" i="4"/>
  <c r="F241" i="8" s="1"/>
  <c r="K238" i="4"/>
  <c r="F240" i="8" s="1"/>
  <c r="K237" i="4"/>
  <c r="F239" i="8" s="1"/>
  <c r="K236" i="4"/>
  <c r="F238" i="8" s="1"/>
  <c r="K235" i="4"/>
  <c r="F237" i="8" s="1"/>
  <c r="K234" i="4"/>
  <c r="F236" i="8" s="1"/>
  <c r="I235" i="8" s="1"/>
  <c r="K233" i="4"/>
  <c r="F235" i="8" s="1"/>
  <c r="I234" i="8" s="1"/>
  <c r="K232" i="4"/>
  <c r="F234" i="8" s="1"/>
  <c r="I233" i="8" s="1"/>
  <c r="K231" i="4"/>
  <c r="F233" i="8" s="1"/>
  <c r="I232" i="8" s="1"/>
  <c r="K230" i="4"/>
  <c r="F232" i="8" s="1"/>
  <c r="I231" i="8" s="1"/>
  <c r="K229" i="4"/>
  <c r="F231" i="8" s="1"/>
  <c r="I230" i="8" s="1"/>
  <c r="K228" i="4"/>
  <c r="F230" i="8" s="1"/>
  <c r="I229" i="8" s="1"/>
  <c r="K227" i="4"/>
  <c r="F229" i="8" s="1"/>
  <c r="I228" i="8" s="1"/>
  <c r="K226" i="4"/>
  <c r="F228" i="8" s="1"/>
  <c r="I227" i="8" s="1"/>
  <c r="K225" i="4"/>
  <c r="F227" i="8" s="1"/>
  <c r="I226" i="8" s="1"/>
  <c r="K224" i="4"/>
  <c r="F226" i="8" s="1"/>
  <c r="I225" i="8" s="1"/>
  <c r="K223" i="4"/>
  <c r="F225" i="8" s="1"/>
  <c r="I224" i="8" s="1"/>
  <c r="K222" i="4"/>
  <c r="F224" i="8" s="1"/>
  <c r="I223" i="8" s="1"/>
  <c r="K221" i="4"/>
  <c r="F223" i="8" s="1"/>
  <c r="I222" i="8" s="1"/>
  <c r="K220" i="4"/>
  <c r="F222" i="8" s="1"/>
  <c r="I221" i="8" s="1"/>
  <c r="K219" i="4"/>
  <c r="F221" i="8" s="1"/>
  <c r="I220" i="8" s="1"/>
  <c r="K218" i="4"/>
  <c r="F220" i="8" s="1"/>
  <c r="I219" i="8" s="1"/>
  <c r="K217" i="4"/>
  <c r="F219" i="8" s="1"/>
  <c r="I218" i="8" s="1"/>
  <c r="K216" i="4"/>
  <c r="F218" i="8" s="1"/>
  <c r="I217" i="8" s="1"/>
  <c r="K215" i="4"/>
  <c r="F217" i="8" s="1"/>
  <c r="I216" i="8" s="1"/>
  <c r="K214" i="4"/>
  <c r="F216" i="8" s="1"/>
  <c r="I215" i="8" s="1"/>
  <c r="K213" i="4"/>
  <c r="F215" i="8" s="1"/>
  <c r="I214" i="8" s="1"/>
  <c r="K212" i="4"/>
  <c r="F214" i="8" s="1"/>
  <c r="I213" i="8" s="1"/>
  <c r="K211" i="4"/>
  <c r="F213" i="8" s="1"/>
  <c r="I212" i="8" s="1"/>
  <c r="K210" i="4"/>
  <c r="F212" i="8" s="1"/>
  <c r="I211" i="8" s="1"/>
  <c r="K209" i="4"/>
  <c r="F211" i="8" s="1"/>
  <c r="I210" i="8" s="1"/>
  <c r="K208" i="4"/>
  <c r="F210" i="8" s="1"/>
  <c r="I209" i="8" s="1"/>
  <c r="K207" i="4"/>
  <c r="F209" i="8" s="1"/>
  <c r="I208" i="8" s="1"/>
  <c r="K206" i="4"/>
  <c r="F208" i="8" s="1"/>
  <c r="I207" i="8" s="1"/>
  <c r="K205" i="4"/>
  <c r="F207" i="8" s="1"/>
  <c r="I206" i="8" s="1"/>
  <c r="K204" i="4"/>
  <c r="F206" i="8" s="1"/>
  <c r="I205" i="8" s="1"/>
  <c r="K203" i="4"/>
  <c r="F205" i="8" s="1"/>
  <c r="I204" i="8" s="1"/>
  <c r="K202" i="4"/>
  <c r="F204" i="8" s="1"/>
  <c r="I203" i="8" s="1"/>
  <c r="K201" i="4"/>
  <c r="F203" i="8" s="1"/>
  <c r="I202" i="8" s="1"/>
  <c r="K200" i="4"/>
  <c r="F202" i="8" s="1"/>
  <c r="I201" i="8" s="1"/>
  <c r="K199" i="4"/>
  <c r="F201" i="8" s="1"/>
  <c r="I200" i="8" s="1"/>
  <c r="K198" i="4"/>
  <c r="F200" i="8" s="1"/>
  <c r="I199" i="8" s="1"/>
  <c r="K197" i="4"/>
  <c r="F199" i="8" s="1"/>
  <c r="I198" i="8" s="1"/>
  <c r="K196" i="4"/>
  <c r="F198" i="8" s="1"/>
  <c r="I197" i="8" s="1"/>
  <c r="K195" i="4"/>
  <c r="F197" i="8" s="1"/>
  <c r="I196" i="8" s="1"/>
  <c r="K194" i="4"/>
  <c r="F196" i="8" s="1"/>
  <c r="I195" i="8" s="1"/>
  <c r="K193" i="4"/>
  <c r="F195" i="8" s="1"/>
  <c r="I194" i="8" s="1"/>
  <c r="K192" i="4"/>
  <c r="F194" i="8" s="1"/>
  <c r="I193" i="8" s="1"/>
  <c r="K191" i="4"/>
  <c r="F193" i="8" s="1"/>
  <c r="I192" i="8" s="1"/>
  <c r="K190" i="4"/>
  <c r="F192" i="8" s="1"/>
  <c r="I191" i="8" s="1"/>
  <c r="K189" i="4"/>
  <c r="F191" i="8" s="1"/>
  <c r="I190" i="8" s="1"/>
  <c r="K188" i="4"/>
  <c r="F190" i="8" s="1"/>
  <c r="I189" i="8" s="1"/>
  <c r="K187" i="4"/>
  <c r="F189" i="8" s="1"/>
  <c r="I188" i="8" s="1"/>
  <c r="K186" i="4"/>
  <c r="F188" i="8" s="1"/>
  <c r="I187" i="8" s="1"/>
  <c r="K185" i="4"/>
  <c r="F187" i="8" s="1"/>
  <c r="I186" i="8" s="1"/>
  <c r="K184" i="4"/>
  <c r="F186" i="8" s="1"/>
  <c r="I185" i="8" s="1"/>
  <c r="K183" i="4"/>
  <c r="F185" i="8" s="1"/>
  <c r="I184" i="8" s="1"/>
  <c r="K182" i="4"/>
  <c r="F184" i="8" s="1"/>
  <c r="I183" i="8" s="1"/>
  <c r="K181" i="4"/>
  <c r="F183" i="8" s="1"/>
  <c r="I182" i="8" s="1"/>
  <c r="K180" i="4"/>
  <c r="F182" i="8" s="1"/>
  <c r="I181" i="8" s="1"/>
  <c r="K179" i="4"/>
  <c r="F181" i="8" s="1"/>
  <c r="I180" i="8" s="1"/>
  <c r="K178" i="4"/>
  <c r="F180" i="8" s="1"/>
  <c r="I179" i="8" s="1"/>
  <c r="K177" i="4"/>
  <c r="F179" i="8" s="1"/>
  <c r="I178" i="8" s="1"/>
  <c r="K176" i="4"/>
  <c r="F178" i="8" s="1"/>
  <c r="I177" i="8" s="1"/>
  <c r="K175" i="4"/>
  <c r="F177" i="8" s="1"/>
  <c r="I176" i="8" s="1"/>
  <c r="K174" i="4"/>
  <c r="F176" i="8" s="1"/>
  <c r="I175" i="8" s="1"/>
  <c r="K173" i="4"/>
  <c r="F175" i="8" s="1"/>
  <c r="I174" i="8" s="1"/>
  <c r="K172" i="4"/>
  <c r="F174" i="8" s="1"/>
  <c r="I173" i="8" s="1"/>
  <c r="K171" i="4"/>
  <c r="F173" i="8" s="1"/>
  <c r="I172" i="8" s="1"/>
  <c r="K170" i="4"/>
  <c r="F172" i="8" s="1"/>
  <c r="I171" i="8" s="1"/>
  <c r="K169" i="4"/>
  <c r="F171" i="8" s="1"/>
  <c r="I170" i="8" s="1"/>
  <c r="K168" i="4"/>
  <c r="F170" i="8" s="1"/>
  <c r="I169" i="8" s="1"/>
  <c r="K167" i="4"/>
  <c r="F169" i="8" s="1"/>
  <c r="I168" i="8" s="1"/>
  <c r="K166" i="4"/>
  <c r="F168" i="8" s="1"/>
  <c r="I167" i="8" s="1"/>
  <c r="K165" i="4"/>
  <c r="F167" i="8" s="1"/>
  <c r="I166" i="8" s="1"/>
  <c r="K164" i="4"/>
  <c r="F166" i="8" s="1"/>
  <c r="I165" i="8" s="1"/>
  <c r="K163" i="4"/>
  <c r="F165" i="8" s="1"/>
  <c r="I164" i="8" s="1"/>
  <c r="K162" i="4"/>
  <c r="F164" i="8" s="1"/>
  <c r="I163" i="8" s="1"/>
  <c r="K161" i="4"/>
  <c r="F163" i="8" s="1"/>
  <c r="I162" i="8" s="1"/>
  <c r="K160" i="4"/>
  <c r="F162" i="8" s="1"/>
  <c r="I161" i="8" s="1"/>
  <c r="K159" i="4"/>
  <c r="F161" i="8" s="1"/>
  <c r="I160" i="8" s="1"/>
  <c r="K158" i="4"/>
  <c r="F160" i="8" s="1"/>
  <c r="I159" i="8" s="1"/>
  <c r="K157" i="4"/>
  <c r="F159" i="8" s="1"/>
  <c r="I158" i="8" s="1"/>
  <c r="K156" i="4"/>
  <c r="F158" i="8" s="1"/>
  <c r="I157" i="8" s="1"/>
  <c r="K155" i="4"/>
  <c r="F157" i="8" s="1"/>
  <c r="I156" i="8" s="1"/>
  <c r="K154" i="4"/>
  <c r="F156" i="8" s="1"/>
  <c r="I155" i="8" s="1"/>
  <c r="K153" i="4"/>
  <c r="F155" i="8" s="1"/>
  <c r="I154" i="8" s="1"/>
  <c r="K152" i="4"/>
  <c r="F154" i="8" s="1"/>
  <c r="I153" i="8" s="1"/>
  <c r="K151" i="4"/>
  <c r="F153" i="8" s="1"/>
  <c r="K150" i="4"/>
  <c r="F152" i="8" s="1"/>
  <c r="I151" i="8" s="1"/>
  <c r="K149" i="4"/>
  <c r="F151" i="8" s="1"/>
  <c r="I150" i="8" s="1"/>
  <c r="K148" i="4"/>
  <c r="F150" i="8" s="1"/>
  <c r="I149" i="8" s="1"/>
  <c r="K147" i="4"/>
  <c r="F149" i="8" s="1"/>
  <c r="I148" i="8" s="1"/>
  <c r="K146" i="4"/>
  <c r="F148" i="8" s="1"/>
  <c r="I147" i="8" s="1"/>
  <c r="K145" i="4"/>
  <c r="F147" i="8" s="1"/>
  <c r="I146" i="8" s="1"/>
  <c r="K144" i="4"/>
  <c r="F146" i="8" s="1"/>
  <c r="I145" i="8" s="1"/>
  <c r="K143" i="4"/>
  <c r="F145" i="8" s="1"/>
  <c r="I144" i="8" s="1"/>
  <c r="K142" i="4"/>
  <c r="F144" i="8" s="1"/>
  <c r="I143" i="8" s="1"/>
  <c r="K141" i="4"/>
  <c r="F143" i="8" s="1"/>
  <c r="I142" i="8" s="1"/>
  <c r="K140" i="4"/>
  <c r="F142" i="8" s="1"/>
  <c r="I141" i="8" s="1"/>
  <c r="K139" i="4"/>
  <c r="F141" i="8" s="1"/>
  <c r="I140" i="8" s="1"/>
  <c r="K138" i="4"/>
  <c r="F140" i="8" s="1"/>
  <c r="I139" i="8" s="1"/>
  <c r="K137" i="4"/>
  <c r="F139" i="8" s="1"/>
  <c r="I138" i="8" s="1"/>
  <c r="K136" i="4"/>
  <c r="F138" i="8" s="1"/>
  <c r="I137" i="8" s="1"/>
  <c r="K135" i="4"/>
  <c r="F137" i="8" s="1"/>
  <c r="I136" i="8" s="1"/>
  <c r="K134" i="4"/>
  <c r="F136" i="8" s="1"/>
  <c r="I135" i="8" s="1"/>
  <c r="K133" i="4"/>
  <c r="F135" i="8" s="1"/>
  <c r="I134" i="8" s="1"/>
  <c r="K132" i="4"/>
  <c r="F134" i="8" s="1"/>
  <c r="I133" i="8" s="1"/>
  <c r="K131" i="4"/>
  <c r="F133" i="8" s="1"/>
  <c r="I132" i="8" s="1"/>
  <c r="K130" i="4"/>
  <c r="F132" i="8" s="1"/>
  <c r="I131" i="8" s="1"/>
  <c r="K129" i="4"/>
  <c r="F131" i="8" s="1"/>
  <c r="I130" i="8" s="1"/>
  <c r="K128" i="4"/>
  <c r="F130" i="8" s="1"/>
  <c r="I129" i="8" s="1"/>
  <c r="K127" i="4"/>
  <c r="F129" i="8" s="1"/>
  <c r="I128" i="8" s="1"/>
  <c r="K126" i="4"/>
  <c r="F128" i="8" s="1"/>
  <c r="I127" i="8" s="1"/>
  <c r="K125" i="4"/>
  <c r="F127" i="8" s="1"/>
  <c r="I126" i="8" s="1"/>
  <c r="K124" i="4"/>
  <c r="F126" i="8" s="1"/>
  <c r="I125" i="8" s="1"/>
  <c r="K123" i="4"/>
  <c r="F125" i="8" s="1"/>
  <c r="I124" i="8" s="1"/>
  <c r="K122" i="4"/>
  <c r="F124" i="8" s="1"/>
  <c r="I123" i="8" s="1"/>
  <c r="K121" i="4"/>
  <c r="F123" i="8" s="1"/>
  <c r="I122" i="8" s="1"/>
  <c r="K120" i="4"/>
  <c r="F122" i="8" s="1"/>
  <c r="I121" i="8" s="1"/>
  <c r="K119" i="4"/>
  <c r="F121" i="8" s="1"/>
  <c r="I120" i="8" s="1"/>
  <c r="K118" i="4"/>
  <c r="F120" i="8" s="1"/>
  <c r="I119" i="8" s="1"/>
  <c r="K117" i="4"/>
  <c r="F119" i="8" s="1"/>
  <c r="I118" i="8" s="1"/>
  <c r="K116" i="4"/>
  <c r="F118" i="8" s="1"/>
  <c r="I117" i="8" s="1"/>
  <c r="K115" i="4"/>
  <c r="F117" i="8" s="1"/>
  <c r="I116" i="8" s="1"/>
  <c r="K114" i="4"/>
  <c r="F116" i="8" s="1"/>
  <c r="I115" i="8" s="1"/>
  <c r="K113" i="4"/>
  <c r="F115" i="8" s="1"/>
  <c r="I114" i="8" s="1"/>
  <c r="K112" i="4"/>
  <c r="F114" i="8" s="1"/>
  <c r="I113" i="8" s="1"/>
  <c r="K111" i="4"/>
  <c r="F113" i="8" s="1"/>
  <c r="I112" i="8" s="1"/>
  <c r="K110" i="4"/>
  <c r="F112" i="8" s="1"/>
  <c r="I111" i="8" s="1"/>
  <c r="K109" i="4"/>
  <c r="F111" i="8" s="1"/>
  <c r="I110" i="8" s="1"/>
  <c r="K108" i="4"/>
  <c r="F110" i="8" s="1"/>
  <c r="I109" i="8" s="1"/>
  <c r="K107" i="4"/>
  <c r="F109" i="8" s="1"/>
  <c r="I108" i="8" s="1"/>
  <c r="K106" i="4"/>
  <c r="F108" i="8" s="1"/>
  <c r="I107" i="8" s="1"/>
  <c r="K105" i="4"/>
  <c r="F107" i="8" s="1"/>
  <c r="I106" i="8" s="1"/>
  <c r="K104" i="4"/>
  <c r="F106" i="8" s="1"/>
  <c r="I105" i="8" s="1"/>
  <c r="K103" i="4"/>
  <c r="F105" i="8" s="1"/>
  <c r="I104" i="8" s="1"/>
  <c r="K102" i="4"/>
  <c r="F104" i="8" s="1"/>
  <c r="I103" i="8" s="1"/>
  <c r="K101" i="4"/>
  <c r="F103" i="8" s="1"/>
  <c r="I102" i="8" s="1"/>
  <c r="K100" i="4"/>
  <c r="F102" i="8" s="1"/>
  <c r="I101" i="8" s="1"/>
  <c r="K99" i="4"/>
  <c r="F101" i="8" s="1"/>
  <c r="I100" i="8" s="1"/>
  <c r="K98" i="4"/>
  <c r="F100" i="8" s="1"/>
  <c r="I99" i="8" s="1"/>
  <c r="K97" i="4"/>
  <c r="F99" i="8" s="1"/>
  <c r="I98" i="8" s="1"/>
  <c r="K96" i="4"/>
  <c r="F98" i="8" s="1"/>
  <c r="I97" i="8" s="1"/>
  <c r="K95" i="4"/>
  <c r="F97" i="8" s="1"/>
  <c r="I96" i="8" s="1"/>
  <c r="K94" i="4"/>
  <c r="F96" i="8" s="1"/>
  <c r="I95" i="8" s="1"/>
  <c r="K93" i="4"/>
  <c r="F95" i="8" s="1"/>
  <c r="I94" i="8" s="1"/>
  <c r="K92" i="4"/>
  <c r="F94" i="8" s="1"/>
  <c r="I93" i="8" s="1"/>
  <c r="K91" i="4"/>
  <c r="F93" i="8" s="1"/>
  <c r="I92" i="8" s="1"/>
  <c r="K90" i="4"/>
  <c r="F92" i="8" s="1"/>
  <c r="K89" i="4"/>
  <c r="K88" i="4"/>
  <c r="F91" i="8" s="1"/>
  <c r="I90" i="8" s="1"/>
  <c r="K87" i="4"/>
  <c r="F90" i="8" s="1"/>
  <c r="I89" i="8" s="1"/>
  <c r="K86" i="4"/>
  <c r="F89" i="8" s="1"/>
  <c r="I88" i="8" s="1"/>
  <c r="K85" i="4"/>
  <c r="F88" i="8" s="1"/>
  <c r="I87" i="8" s="1"/>
  <c r="K84" i="4"/>
  <c r="F87" i="8" s="1"/>
  <c r="I86" i="8" s="1"/>
  <c r="K83" i="4"/>
  <c r="F86" i="8" s="1"/>
  <c r="I85" i="8" s="1"/>
  <c r="K82" i="4"/>
  <c r="F85" i="8" s="1"/>
  <c r="I84" i="8" s="1"/>
  <c r="K81" i="4"/>
  <c r="F84" i="8" s="1"/>
  <c r="I83" i="8" s="1"/>
  <c r="K80" i="4"/>
  <c r="F83" i="8" s="1"/>
  <c r="I82" i="8" s="1"/>
  <c r="K79" i="4"/>
  <c r="F82" i="8" s="1"/>
  <c r="I81" i="8" s="1"/>
  <c r="K78" i="4"/>
  <c r="F81" i="8" s="1"/>
  <c r="I80" i="8" s="1"/>
  <c r="K77" i="4"/>
  <c r="F80" i="8" s="1"/>
  <c r="I79" i="8" s="1"/>
  <c r="K76" i="4"/>
  <c r="F79" i="8" s="1"/>
  <c r="I78" i="8" s="1"/>
  <c r="K75" i="4"/>
  <c r="F78" i="8" s="1"/>
  <c r="I77" i="8" s="1"/>
  <c r="K74" i="4"/>
  <c r="F77" i="8" s="1"/>
  <c r="I76" i="8" s="1"/>
  <c r="K73" i="4"/>
  <c r="F76" i="8" s="1"/>
  <c r="I75" i="8" s="1"/>
  <c r="K72" i="4"/>
  <c r="F75" i="8" s="1"/>
  <c r="I74" i="8" s="1"/>
  <c r="K71" i="4"/>
  <c r="F74" i="8" s="1"/>
  <c r="I73" i="8" s="1"/>
  <c r="K70" i="4"/>
  <c r="F73" i="8" s="1"/>
  <c r="I72" i="8" s="1"/>
  <c r="K69" i="4"/>
  <c r="F72" i="8" s="1"/>
  <c r="I71" i="8" s="1"/>
  <c r="K68" i="4"/>
  <c r="F71" i="8" s="1"/>
  <c r="I70" i="8" s="1"/>
  <c r="K67" i="4"/>
  <c r="F70" i="8" s="1"/>
  <c r="I69" i="8" s="1"/>
  <c r="K66" i="4"/>
  <c r="F69" i="8" s="1"/>
  <c r="I68" i="8" s="1"/>
  <c r="K65" i="4"/>
  <c r="F68" i="8" s="1"/>
  <c r="I67" i="8" s="1"/>
  <c r="K64" i="4"/>
  <c r="F67" i="8" s="1"/>
  <c r="I66" i="8" s="1"/>
  <c r="K63" i="4"/>
  <c r="F66" i="8" s="1"/>
  <c r="I65" i="8" s="1"/>
  <c r="K62" i="4"/>
  <c r="F65" i="8" s="1"/>
  <c r="I64" i="8" s="1"/>
  <c r="K61" i="4"/>
  <c r="F64" i="8" s="1"/>
  <c r="I63" i="8" s="1"/>
  <c r="K60" i="4"/>
  <c r="F63" i="8" s="1"/>
  <c r="I62" i="8" s="1"/>
  <c r="K59" i="4"/>
  <c r="F62" i="8" s="1"/>
  <c r="I61" i="8" s="1"/>
  <c r="K58" i="4"/>
  <c r="F61" i="8" s="1"/>
  <c r="I60" i="8" s="1"/>
  <c r="K57" i="4"/>
  <c r="F60" i="8" s="1"/>
  <c r="I59" i="8" s="1"/>
  <c r="K56" i="4"/>
  <c r="F59" i="8" s="1"/>
  <c r="I58" i="8" s="1"/>
  <c r="K55" i="4"/>
  <c r="F58" i="8" s="1"/>
  <c r="I57" i="8" s="1"/>
  <c r="K54" i="4"/>
  <c r="F57" i="8" s="1"/>
  <c r="I56" i="8" s="1"/>
  <c r="K53" i="4"/>
  <c r="F56" i="8" s="1"/>
  <c r="I55" i="8" s="1"/>
  <c r="K52" i="4"/>
  <c r="F55" i="8" s="1"/>
  <c r="I54" i="8" s="1"/>
  <c r="K51" i="4"/>
  <c r="F54" i="8" s="1"/>
  <c r="I53" i="8" s="1"/>
  <c r="K50" i="4"/>
  <c r="F53" i="8" s="1"/>
  <c r="I52" i="8" s="1"/>
  <c r="K49" i="4"/>
  <c r="F52" i="8" s="1"/>
  <c r="I51" i="8" s="1"/>
  <c r="K48" i="4"/>
  <c r="F51" i="8" s="1"/>
  <c r="I50" i="8" s="1"/>
  <c r="K47" i="4"/>
  <c r="F50" i="8" s="1"/>
  <c r="I49" i="8" s="1"/>
  <c r="K46" i="4"/>
  <c r="F49" i="8" s="1"/>
  <c r="I48" i="8" s="1"/>
  <c r="K45" i="4"/>
  <c r="F48" i="8" s="1"/>
  <c r="I47" i="8" s="1"/>
  <c r="K44" i="4"/>
  <c r="F47" i="8" s="1"/>
  <c r="I46" i="8" s="1"/>
  <c r="K43" i="4"/>
  <c r="F46" i="8" s="1"/>
  <c r="I45" i="8" s="1"/>
  <c r="K42" i="4"/>
  <c r="F45" i="8" s="1"/>
  <c r="I44" i="8" s="1"/>
  <c r="K41" i="4"/>
  <c r="F44" i="8" s="1"/>
  <c r="I43" i="8" s="1"/>
  <c r="K40" i="4"/>
  <c r="F43" i="8" s="1"/>
  <c r="I42" i="8" s="1"/>
  <c r="K39" i="4"/>
  <c r="F42" i="8" s="1"/>
  <c r="I41" i="8" s="1"/>
  <c r="K38" i="4"/>
  <c r="F41" i="8" s="1"/>
  <c r="I40" i="8" s="1"/>
  <c r="K37" i="4"/>
  <c r="F40" i="8" s="1"/>
  <c r="I39" i="8" s="1"/>
  <c r="K36" i="4"/>
  <c r="F39" i="8" s="1"/>
  <c r="I38" i="8" s="1"/>
  <c r="K35" i="4"/>
  <c r="F38" i="8" s="1"/>
  <c r="I37" i="8" s="1"/>
  <c r="K34" i="4"/>
  <c r="F37" i="8" s="1"/>
  <c r="I36" i="8" s="1"/>
  <c r="K33" i="4"/>
  <c r="F36" i="8" s="1"/>
  <c r="I35" i="8" s="1"/>
  <c r="K32" i="4"/>
  <c r="F35" i="8" s="1"/>
  <c r="I34" i="8" s="1"/>
  <c r="K31" i="4"/>
  <c r="F34" i="8" s="1"/>
  <c r="I33" i="8" s="1"/>
  <c r="K30" i="4"/>
  <c r="F33" i="8" s="1"/>
  <c r="I32" i="8" s="1"/>
  <c r="K29" i="4"/>
  <c r="F32" i="8" s="1"/>
  <c r="I31" i="8" s="1"/>
  <c r="K28" i="4"/>
  <c r="F31" i="8" s="1"/>
  <c r="I30" i="8" s="1"/>
  <c r="K27" i="4"/>
  <c r="F27" i="8" s="1"/>
  <c r="I26" i="8" s="1"/>
  <c r="K26" i="4"/>
  <c r="F26" i="8" s="1"/>
  <c r="I25" i="8" s="1"/>
  <c r="K25" i="4"/>
  <c r="F25" i="8" s="1"/>
  <c r="I24" i="8" s="1"/>
  <c r="K24" i="4"/>
  <c r="F24" i="8" s="1"/>
  <c r="I23" i="8" s="1"/>
  <c r="K23" i="4"/>
  <c r="F23" i="8" s="1"/>
  <c r="I22" i="8" s="1"/>
  <c r="K22" i="4"/>
  <c r="F22" i="8" s="1"/>
  <c r="I21" i="8" s="1"/>
  <c r="K21" i="4"/>
  <c r="F21" i="8" s="1"/>
  <c r="I20" i="8" s="1"/>
  <c r="K20" i="4"/>
  <c r="F20" i="8" s="1"/>
  <c r="I19" i="8" s="1"/>
  <c r="K19" i="4"/>
  <c r="F19" i="8" s="1"/>
  <c r="I18" i="8" s="1"/>
  <c r="K18" i="4"/>
  <c r="F18" i="8" s="1"/>
  <c r="I17" i="8" s="1"/>
  <c r="K17" i="4"/>
  <c r="F17" i="8" s="1"/>
  <c r="I16" i="8" s="1"/>
  <c r="K16" i="4"/>
  <c r="F16" i="8" s="1"/>
  <c r="I15" i="8" s="1"/>
  <c r="K15" i="4"/>
  <c r="F15" i="8" s="1"/>
  <c r="I14" i="8" s="1"/>
  <c r="K14" i="4"/>
  <c r="F14" i="8" s="1"/>
  <c r="I13" i="8" s="1"/>
  <c r="K13" i="4"/>
  <c r="F13" i="8" s="1"/>
  <c r="I12" i="8" s="1"/>
  <c r="K12" i="4"/>
  <c r="F12" i="8" s="1"/>
  <c r="I11" i="8" s="1"/>
  <c r="K11" i="4"/>
  <c r="F11" i="8" s="1"/>
  <c r="I10" i="8" s="1"/>
  <c r="K10" i="4"/>
  <c r="F10" i="8" s="1"/>
  <c r="I9" i="8" s="1"/>
  <c r="K9" i="4"/>
  <c r="F9" i="8" s="1"/>
  <c r="I8" i="8" s="1"/>
  <c r="K8" i="4"/>
  <c r="F8" i="8" s="1"/>
  <c r="I7" i="8" s="1"/>
  <c r="K7" i="4"/>
  <c r="F7" i="8" s="1"/>
  <c r="I6" i="8" s="1"/>
  <c r="K6" i="4"/>
  <c r="F6" i="8" s="1"/>
  <c r="I5" i="8" s="1"/>
  <c r="K5" i="4"/>
  <c r="F5" i="8" s="1"/>
  <c r="I4" i="8" s="1"/>
  <c r="K4" i="4"/>
  <c r="F4" i="8" s="1"/>
  <c r="I3" i="8" s="1"/>
  <c r="K3" i="4"/>
  <c r="F3" i="8" s="1"/>
  <c r="I2" i="8" s="1"/>
  <c r="K2" i="4"/>
  <c r="F2" i="8" s="1"/>
  <c r="K13" i="2"/>
  <c r="J13" i="2"/>
  <c r="I13" i="2"/>
  <c r="H13" i="2"/>
  <c r="G13" i="2"/>
  <c r="F13" i="2"/>
  <c r="E13" i="2"/>
  <c r="D13" i="2"/>
  <c r="C13" i="2"/>
  <c r="B13" i="2"/>
  <c r="K12" i="2"/>
  <c r="J12" i="2"/>
  <c r="I12" i="2"/>
  <c r="H12" i="2"/>
  <c r="G12" i="2"/>
  <c r="F12" i="2"/>
  <c r="E12" i="2"/>
  <c r="D12" i="2"/>
  <c r="C12" i="2"/>
  <c r="B12" i="2"/>
  <c r="K11" i="2"/>
  <c r="J11" i="2"/>
  <c r="I11" i="2"/>
  <c r="H11" i="2"/>
  <c r="G11" i="2"/>
  <c r="F11" i="2"/>
  <c r="E11" i="2"/>
  <c r="D11" i="2"/>
  <c r="C11" i="2"/>
  <c r="B11" i="2"/>
  <c r="K10" i="2"/>
  <c r="J10" i="2"/>
  <c r="I10" i="2"/>
  <c r="H10" i="2"/>
  <c r="G10" i="2"/>
  <c r="F10" i="2"/>
  <c r="E10" i="2"/>
  <c r="D10" i="2"/>
  <c r="C10" i="2"/>
  <c r="B10" i="2"/>
  <c r="K9" i="2"/>
  <c r="J9" i="2"/>
  <c r="I9" i="2"/>
  <c r="H9" i="2"/>
  <c r="G9" i="2"/>
  <c r="F9" i="2"/>
  <c r="E9" i="2"/>
  <c r="D9" i="2"/>
  <c r="C9" i="2"/>
  <c r="B9" i="2"/>
  <c r="K8" i="2"/>
  <c r="J8" i="2"/>
  <c r="I8" i="2"/>
  <c r="H8" i="2"/>
  <c r="G8" i="2"/>
  <c r="F8" i="2"/>
  <c r="E8" i="2"/>
  <c r="D8" i="2"/>
  <c r="C8" i="2"/>
  <c r="B8" i="2"/>
  <c r="K7" i="2"/>
  <c r="J7" i="2"/>
  <c r="I7" i="2"/>
  <c r="H7" i="2"/>
  <c r="G7" i="2"/>
  <c r="F7" i="2"/>
  <c r="E7" i="2"/>
  <c r="D7" i="2"/>
  <c r="C7" i="2"/>
  <c r="B7" i="2"/>
  <c r="K6" i="2"/>
  <c r="J6" i="2"/>
  <c r="I6" i="2"/>
  <c r="H6" i="2"/>
  <c r="G6" i="2"/>
  <c r="F6" i="2"/>
  <c r="E6" i="2"/>
  <c r="D6" i="2"/>
  <c r="C6" i="2"/>
  <c r="B6" i="2"/>
  <c r="K5" i="2"/>
  <c r="I5" i="2"/>
  <c r="H5" i="2"/>
  <c r="G5" i="2"/>
  <c r="F5" i="2"/>
  <c r="E5" i="2"/>
  <c r="D5" i="2"/>
  <c r="C5" i="2"/>
  <c r="B5" i="2"/>
  <c r="K4" i="2"/>
  <c r="J4" i="2"/>
  <c r="I4" i="2"/>
  <c r="H4" i="2"/>
  <c r="G4" i="2"/>
  <c r="F4" i="2"/>
  <c r="E4" i="2"/>
  <c r="D4" i="2"/>
  <c r="C4" i="2"/>
  <c r="B4" i="2"/>
  <c r="K3" i="2"/>
  <c r="J3" i="2"/>
  <c r="I3" i="2"/>
  <c r="H3" i="2"/>
  <c r="G3" i="2"/>
  <c r="F3" i="2"/>
  <c r="E3" i="2"/>
  <c r="D3" i="2"/>
  <c r="C3" i="2"/>
  <c r="B3" i="2"/>
  <c r="K2" i="2"/>
  <c r="J2" i="2"/>
  <c r="I2" i="2"/>
  <c r="H2" i="2"/>
  <c r="G2" i="2"/>
  <c r="F2" i="2"/>
  <c r="E2" i="2"/>
  <c r="D2" i="2"/>
  <c r="C2" i="2"/>
  <c r="B2" i="2"/>
</calcChain>
</file>

<file path=xl/sharedStrings.xml><?xml version="1.0" encoding="utf-8"?>
<sst xmlns="http://schemas.openxmlformats.org/spreadsheetml/2006/main" count="2042" uniqueCount="1018">
  <si>
    <t>Abusing Fantasy Draft Rankings - 2025</t>
  </si>
  <si>
    <t>Finding Values</t>
  </si>
  <si>
    <t>Contact for questions:</t>
  </si>
  <si>
    <t>Extras</t>
  </si>
  <si>
    <t>During drafts, the rankings you see will automatically be sorted by the host site's draft rankings. In each tab, the colored tabs will portray how much higher or lower the draft site has the player ranked. Typically if they're ranked higher on the site, they're going to be drafted higher, and vice versa if they are ranked lower - the site ranks influence the draft. These pages will help you during the draft to figure out if it's too early to take a player based on FantasyPros rankings.</t>
  </si>
  <si>
    <t>Twitter</t>
  </si>
  <si>
    <t>Newsletter</t>
  </si>
  <si>
    <t>Reddit</t>
  </si>
  <si>
    <t>Color Codes</t>
  </si>
  <si>
    <t>Jump To Page</t>
  </si>
  <si>
    <t>All Draft Comparisons</t>
  </si>
  <si>
    <t>Good Value (Blue)</t>
  </si>
  <si>
    <t>QB</t>
  </si>
  <si>
    <t>ESPN Standard</t>
  </si>
  <si>
    <t>Standard</t>
  </si>
  <si>
    <t>Poor Value (Orange)</t>
  </si>
  <si>
    <t>RB</t>
  </si>
  <si>
    <t>ESPN .5PPR</t>
  </si>
  <si>
    <t>Half PPR</t>
  </si>
  <si>
    <t>WR</t>
  </si>
  <si>
    <t>ESPN PPR</t>
  </si>
  <si>
    <t>PPR</t>
  </si>
  <si>
    <t>TE</t>
  </si>
  <si>
    <t>Yahoo Standard</t>
  </si>
  <si>
    <t>Yahoo .5PPR</t>
  </si>
  <si>
    <t>Date of Last Update</t>
  </si>
  <si>
    <t>Yahoo PPR</t>
  </si>
  <si>
    <t>- Insert an x to the left of player names to cross that player off, marking them as drafted.</t>
  </si>
  <si>
    <t>Sleeper Standard</t>
  </si>
  <si>
    <r>
      <t xml:space="preserve">   - In order to edit the sheet, </t>
    </r>
    <r>
      <rPr>
        <b/>
        <sz val="10"/>
        <rFont val="Arial"/>
        <family val="2"/>
      </rPr>
      <t>make a copy by going to File &gt; Make a copy</t>
    </r>
  </si>
  <si>
    <t>Sleeper .5PPR</t>
  </si>
  <si>
    <t>Make a Copy</t>
  </si>
  <si>
    <t>Sleeper PPR</t>
  </si>
  <si>
    <t>Copy</t>
  </si>
  <si>
    <t>Sources</t>
  </si>
  <si>
    <t>NFL</t>
  </si>
  <si>
    <t>- ESPN draft rankings come from their mock drafts</t>
  </si>
  <si>
    <t>CBS PPR</t>
  </si>
  <si>
    <t>- Yahoo x-rank draft rankings come from their mock drafts</t>
  </si>
  <si>
    <t>Fleaflicker</t>
  </si>
  <si>
    <r>
      <t xml:space="preserve">- </t>
    </r>
    <r>
      <rPr>
        <u/>
        <sz val="10"/>
        <color rgb="FF1155CC"/>
        <rFont val="Arial"/>
        <family val="2"/>
      </rPr>
      <t>Sleeper</t>
    </r>
    <r>
      <rPr>
        <sz val="10"/>
        <color rgb="FF000000"/>
        <rFont val="Arial"/>
        <family val="2"/>
      </rPr>
      <t xml:space="preserve"> draft rankings come from their public </t>
    </r>
    <r>
      <rPr>
        <u/>
        <sz val="10"/>
        <color rgb="FF1155CC"/>
        <rFont val="Arial"/>
        <family val="2"/>
      </rPr>
      <t>ADP sheets</t>
    </r>
  </si>
  <si>
    <t>New in 2025</t>
  </si>
  <si>
    <r>
      <rPr>
        <b/>
        <sz val="10"/>
        <rFont val="Arial"/>
        <family val="2"/>
      </rPr>
      <t xml:space="preserve">Landmine Score: </t>
    </r>
    <r>
      <rPr>
        <sz val="10"/>
        <rFont val="Arial"/>
        <family val="2"/>
      </rPr>
      <t xml:space="preserve">A 0-10 scale rating how risky a player is in your draft room, based on how much earlier they’re ranked on your platform versus expert consensus.
</t>
    </r>
    <r>
      <rPr>
        <b/>
        <sz val="10"/>
        <rFont val="Arial"/>
        <family val="2"/>
      </rPr>
      <t>0 = Great value
10 = Landmine, avoid</t>
    </r>
  </si>
  <si>
    <t>Ben</t>
  </si>
  <si>
    <t>Kev</t>
  </si>
  <si>
    <t>Hugo</t>
  </si>
  <si>
    <t>Iack</t>
  </si>
  <si>
    <t>Thomas</t>
  </si>
  <si>
    <t>Phil</t>
  </si>
  <si>
    <t>JF</t>
  </si>
  <si>
    <t>Jerome</t>
  </si>
  <si>
    <t>Web</t>
  </si>
  <si>
    <t>Fred</t>
  </si>
  <si>
    <t>Jeremiyah Love</t>
  </si>
  <si>
    <t>TouchDownSyndrome75</t>
  </si>
  <si>
    <t>MonsieurExcuses</t>
  </si>
  <si>
    <t>peterbar</t>
  </si>
  <si>
    <t>iackkkk</t>
  </si>
  <si>
    <t>ThomasMonette</t>
  </si>
  <si>
    <t>PhilB10</t>
  </si>
  <si>
    <t>jflafond</t>
  </si>
  <si>
    <t>JeromeJ</t>
  </si>
  <si>
    <t>parleurmouille</t>
  </si>
  <si>
    <t>2026 2nd Rd (jflafond)</t>
  </si>
  <si>
    <t>2026 1st Rd (PhilB10)</t>
  </si>
  <si>
    <t>2026 1st Rd (iackkkk)</t>
  </si>
  <si>
    <t>2026 2nd Rd (parleurmouille)</t>
  </si>
  <si>
    <t>2026 1st Rd</t>
  </si>
  <si>
    <t>2026 2nd Rd</t>
  </si>
  <si>
    <t>2026 3rd Rd (parleurmouille)</t>
  </si>
  <si>
    <t>2026 6th Rd</t>
  </si>
  <si>
    <t>2026 1st Rd (MonsieurExcuses)</t>
  </si>
  <si>
    <t>2026 1st Rd (jflafond)</t>
  </si>
  <si>
    <t>2026 2nd Rd (ThomasMonette)</t>
  </si>
  <si>
    <t>2026 2nd Rd (iackkkk)</t>
  </si>
  <si>
    <t>2026 3rd Rd (MonsieurExcuses)</t>
  </si>
  <si>
    <t>2026 3rd Rd</t>
  </si>
  <si>
    <t>2026 4th Rd</t>
  </si>
  <si>
    <t>2026 3rd Rd (JeromeJ)</t>
  </si>
  <si>
    <t>2026 7th Rd</t>
  </si>
  <si>
    <t>2026 1st Rd (JeromeJ)</t>
  </si>
  <si>
    <t>2026 1st Rd (TouchDownSyndrome75)</t>
  </si>
  <si>
    <t>2026 5th Rd (parleurmouille)</t>
  </si>
  <si>
    <t>2026 5th Rd (TouchDownSyndrome75)</t>
  </si>
  <si>
    <t>2026 5th Rd</t>
  </si>
  <si>
    <t>2026 8th Rd</t>
  </si>
  <si>
    <t>2026 1st Rd (peterbar)</t>
  </si>
  <si>
    <t>2026 3rd Rd (PhilB10)</t>
  </si>
  <si>
    <t>2026 3rd Rd (iackkkk)</t>
  </si>
  <si>
    <t>2026 5th Rd (FredCourville)</t>
  </si>
  <si>
    <t>2026 4th Rd (JeromeJ)</t>
  </si>
  <si>
    <t>2026 9th Rd</t>
  </si>
  <si>
    <t>2026 2nd Rd (JeromeJ)</t>
  </si>
  <si>
    <t>2026 11th Rd</t>
  </si>
  <si>
    <t>2026 3rd Rd (FredCourville)</t>
  </si>
  <si>
    <t>2026 4th Rd (ThomasMonette)</t>
  </si>
  <si>
    <t>2026 5th Rd (ThomasMonette)</t>
  </si>
  <si>
    <t>2026 12th Rd</t>
  </si>
  <si>
    <t>2026 4th Rd (TouchDownSyndrome75)</t>
  </si>
  <si>
    <t>2026 5th Rd (JeromeJ)</t>
  </si>
  <si>
    <t>2026 4th Rd (iackkkk)</t>
  </si>
  <si>
    <t>2026 6th Rd (parleurmouille)</t>
  </si>
  <si>
    <t>2026 13th Rd</t>
  </si>
  <si>
    <t>2026 4th Rd (FredCourville)</t>
  </si>
  <si>
    <t>2026 9th Rd (parleurmouille)</t>
  </si>
  <si>
    <t>2026 10th Rd (JeromeJ)</t>
  </si>
  <si>
    <t>2026 10th Rd</t>
  </si>
  <si>
    <t>2026 14th Rd</t>
  </si>
  <si>
    <t>2026 7th Rd (iackkkk)</t>
  </si>
  <si>
    <t>2026 15th Rd</t>
  </si>
  <si>
    <t>2026 5th Rd (jflafond)</t>
  </si>
  <si>
    <t>2026 8th Rd (parleurmouille)</t>
  </si>
  <si>
    <t>2026 11th Rd (parleurmouille)</t>
  </si>
  <si>
    <t>2026 12th Rd (TouchDownSyndrome75)</t>
  </si>
  <si>
    <t>RK</t>
  </si>
  <si>
    <t>TIERS</t>
  </si>
  <si>
    <t>PLAYER NAME</t>
  </si>
  <si>
    <t>TEAM</t>
  </si>
  <si>
    <t>POS</t>
  </si>
  <si>
    <t>BEST</t>
  </si>
  <si>
    <t>WORST</t>
  </si>
  <si>
    <t>AVG.</t>
  </si>
  <si>
    <t>STD.DEV</t>
  </si>
  <si>
    <t>ECR VS. ADP</t>
  </si>
  <si>
    <t>Bijan Robinson</t>
  </si>
  <si>
    <t>ATL</t>
  </si>
  <si>
    <t>RB1</t>
  </si>
  <si>
    <t>-</t>
  </si>
  <si>
    <t>Puka Nacua</t>
  </si>
  <si>
    <t>LAR</t>
  </si>
  <si>
    <t>WR1</t>
  </si>
  <si>
    <t>Jahmyr Gibbs</t>
  </si>
  <si>
    <t>DET</t>
  </si>
  <si>
    <t>RB2</t>
  </si>
  <si>
    <t>Ja'Marr Chase</t>
  </si>
  <si>
    <t>CIN</t>
  </si>
  <si>
    <t>WR2</t>
  </si>
  <si>
    <t>Jaxon Smith-Njigba</t>
  </si>
  <si>
    <t>SEA</t>
  </si>
  <si>
    <t>WR3</t>
  </si>
  <si>
    <t>Jonathan Taylor</t>
  </si>
  <si>
    <t>IND</t>
  </si>
  <si>
    <t>RB3</t>
  </si>
  <si>
    <t>CeeDee Lamb</t>
  </si>
  <si>
    <t>DAL</t>
  </si>
  <si>
    <t>WR4</t>
  </si>
  <si>
    <t>Amon-Ra St. Brown</t>
  </si>
  <si>
    <t>WR5</t>
  </si>
  <si>
    <t>Christian McCaffrey</t>
  </si>
  <si>
    <t>SF</t>
  </si>
  <si>
    <t>RB4</t>
  </si>
  <si>
    <t>James Cook III</t>
  </si>
  <si>
    <t>BUF</t>
  </si>
  <si>
    <t>RB5</t>
  </si>
  <si>
    <t>Malik Nabers</t>
  </si>
  <si>
    <t>NYG</t>
  </si>
  <si>
    <t>WR6</t>
  </si>
  <si>
    <t>Justin Jefferson</t>
  </si>
  <si>
    <t>MIN</t>
  </si>
  <si>
    <t>WR7</t>
  </si>
  <si>
    <t>Drake London</t>
  </si>
  <si>
    <t>WR8</t>
  </si>
  <si>
    <t>Nico Collins</t>
  </si>
  <si>
    <t>HOU</t>
  </si>
  <si>
    <t>WR9</t>
  </si>
  <si>
    <t>De'Von Achane</t>
  </si>
  <si>
    <t>MIA</t>
  </si>
  <si>
    <t>RB6</t>
  </si>
  <si>
    <t>Ashton Jeanty</t>
  </si>
  <si>
    <t>LV</t>
  </si>
  <si>
    <t>RB7</t>
  </si>
  <si>
    <t>George Pickens</t>
  </si>
  <si>
    <t>WR10</t>
  </si>
  <si>
    <t>FA</t>
  </si>
  <si>
    <t>RB8</t>
  </si>
  <si>
    <t>Brock Bowers</t>
  </si>
  <si>
    <t>TE1</t>
  </si>
  <si>
    <t>Trey McBride</t>
  </si>
  <si>
    <t>ARI</t>
  </si>
  <si>
    <t>TE2</t>
  </si>
  <si>
    <t>Saquon Barkley</t>
  </si>
  <si>
    <t>PHI</t>
  </si>
  <si>
    <t>RB9</t>
  </si>
  <si>
    <t>Chris Olave</t>
  </si>
  <si>
    <t>NO</t>
  </si>
  <si>
    <t>WR11</t>
  </si>
  <si>
    <t>Omarion Hampton</t>
  </si>
  <si>
    <t>LAC</t>
  </si>
  <si>
    <t>RB10</t>
  </si>
  <si>
    <t>Derrick Henry</t>
  </si>
  <si>
    <t>BAL</t>
  </si>
  <si>
    <t>RB11</t>
  </si>
  <si>
    <t>Josh Allen</t>
  </si>
  <si>
    <t>QB1</t>
  </si>
  <si>
    <t>Rashee Rice</t>
  </si>
  <si>
    <t>KC</t>
  </si>
  <si>
    <t>WR12</t>
  </si>
  <si>
    <t>Lamar Jackson</t>
  </si>
  <si>
    <t>QB2</t>
  </si>
  <si>
    <t>Tee Higgins</t>
  </si>
  <si>
    <t>WR13</t>
  </si>
  <si>
    <t>Kenneth Walker III</t>
  </si>
  <si>
    <t>RB12</t>
  </si>
  <si>
    <t>A.J. Brown</t>
  </si>
  <si>
    <t>WR14</t>
  </si>
  <si>
    <t>Tetairoa McMillan</t>
  </si>
  <si>
    <t>CAR</t>
  </si>
  <si>
    <t>WR15</t>
  </si>
  <si>
    <t>Josh Jacobs</t>
  </si>
  <si>
    <t>GB</t>
  </si>
  <si>
    <t>RB13</t>
  </si>
  <si>
    <t>Drake Maye</t>
  </si>
  <si>
    <t>NE</t>
  </si>
  <si>
    <t>QB3</t>
  </si>
  <si>
    <t>Chase Brown</t>
  </si>
  <si>
    <t>RB14</t>
  </si>
  <si>
    <t>Davante Adams</t>
  </si>
  <si>
    <t>WR16</t>
  </si>
  <si>
    <t>Garrett Wilson</t>
  </si>
  <si>
    <t>NYJ</t>
  </si>
  <si>
    <t>WR17</t>
  </si>
  <si>
    <t>Breece Hall</t>
  </si>
  <si>
    <t>RB15</t>
  </si>
  <si>
    <t>Tucker Kraft</t>
  </si>
  <si>
    <t>TE3</t>
  </si>
  <si>
    <t>Kyren Williams</t>
  </si>
  <si>
    <t>RB16</t>
  </si>
  <si>
    <t>Zay Flowers</t>
  </si>
  <si>
    <t>WR18</t>
  </si>
  <si>
    <t>Joe Burrow</t>
  </si>
  <si>
    <t>QB4</t>
  </si>
  <si>
    <t>Javonte Williams</t>
  </si>
  <si>
    <t>RB17</t>
  </si>
  <si>
    <t>Travis Etienne Jr.</t>
  </si>
  <si>
    <t>RB18</t>
  </si>
  <si>
    <t>Jameson Williams</t>
  </si>
  <si>
    <t>WR19</t>
  </si>
  <si>
    <t>Jayden Daniels</t>
  </si>
  <si>
    <t>WAS</t>
  </si>
  <si>
    <t>QB5</t>
  </si>
  <si>
    <t>Carnell Tate</t>
  </si>
  <si>
    <t>WR20</t>
  </si>
  <si>
    <t>Bucky Irving</t>
  </si>
  <si>
    <t>TB</t>
  </si>
  <si>
    <t>RB19</t>
  </si>
  <si>
    <t>Ladd McConkey</t>
  </si>
  <si>
    <t>WR21</t>
  </si>
  <si>
    <t>Terry McLaurin</t>
  </si>
  <si>
    <t>WR22</t>
  </si>
  <si>
    <t>Colston Loveland</t>
  </si>
  <si>
    <t>CHI</t>
  </si>
  <si>
    <t>TE4</t>
  </si>
  <si>
    <t>Jaylen Waddle</t>
  </si>
  <si>
    <t>DEN</t>
  </si>
  <si>
    <t>WR23</t>
  </si>
  <si>
    <t>Christian Watson</t>
  </si>
  <si>
    <t>WR24</t>
  </si>
  <si>
    <t>TreVeyon Henderson</t>
  </si>
  <si>
    <t>RB20</t>
  </si>
  <si>
    <t>Jalen Hurts</t>
  </si>
  <si>
    <t>QB6</t>
  </si>
  <si>
    <t>Luther Burden III</t>
  </si>
  <si>
    <t>WR25</t>
  </si>
  <si>
    <t>Emeka Egbuka</t>
  </si>
  <si>
    <t>WR26</t>
  </si>
  <si>
    <t>Mike Evans</t>
  </si>
  <si>
    <t>WR27</t>
  </si>
  <si>
    <t>DeVonta Smith</t>
  </si>
  <si>
    <t>WR28</t>
  </si>
  <si>
    <t>D'Andre Swift</t>
  </si>
  <si>
    <t>RB21</t>
  </si>
  <si>
    <t>Cam Skattebo</t>
  </si>
  <si>
    <t>RB22</t>
  </si>
  <si>
    <t>Quinshon Judkins</t>
  </si>
  <si>
    <t>CLE</t>
  </si>
  <si>
    <t>RB23</t>
  </si>
  <si>
    <t>Makai Lemon</t>
  </si>
  <si>
    <t>WR29</t>
  </si>
  <si>
    <t>David Montgomery</t>
  </si>
  <si>
    <t>RB24</t>
  </si>
  <si>
    <t>DJ Moore</t>
  </si>
  <si>
    <t>WR30</t>
  </si>
  <si>
    <t>Bhayshul Tuten</t>
  </si>
  <si>
    <t>JAC</t>
  </si>
  <si>
    <t>RB25</t>
  </si>
  <si>
    <t>Jordyn Tyson</t>
  </si>
  <si>
    <t>WR31</t>
  </si>
  <si>
    <t>Rome Odunze</t>
  </si>
  <si>
    <t>WR32</t>
  </si>
  <si>
    <t>RJ Harvey</t>
  </si>
  <si>
    <t>RB26</t>
  </si>
  <si>
    <t>Tyler Warren</t>
  </si>
  <si>
    <t>TE5</t>
  </si>
  <si>
    <t>Alec Pierce</t>
  </si>
  <si>
    <t>WR33</t>
  </si>
  <si>
    <t>Jaxson Dart</t>
  </si>
  <si>
    <t>QB7</t>
  </si>
  <si>
    <t>Caleb Williams</t>
  </si>
  <si>
    <t>QB8</t>
  </si>
  <si>
    <t>Jaylen Warren</t>
  </si>
  <si>
    <t>PIT</t>
  </si>
  <si>
    <t>RB27</t>
  </si>
  <si>
    <t>Courtland Sutton</t>
  </si>
  <si>
    <t>WR34</t>
  </si>
  <si>
    <t>Harold Fannin Jr.</t>
  </si>
  <si>
    <t>TE6</t>
  </si>
  <si>
    <t>DK Metcalf</t>
  </si>
  <si>
    <t>WR35</t>
  </si>
  <si>
    <t>Justin Herbert</t>
  </si>
  <si>
    <t>QB9</t>
  </si>
  <si>
    <t>Kyle Monangai</t>
  </si>
  <si>
    <t>RB28</t>
  </si>
  <si>
    <t>Blake Corum</t>
  </si>
  <si>
    <t>RB29</t>
  </si>
  <si>
    <t>Rico Dowdle</t>
  </si>
  <si>
    <t>RB30</t>
  </si>
  <si>
    <t>Marvin Harrison Jr.</t>
  </si>
  <si>
    <t>WR36</t>
  </si>
  <si>
    <t>Rhamondre Stevenson</t>
  </si>
  <si>
    <t>RB31</t>
  </si>
  <si>
    <t>Sam LaPorta</t>
  </si>
  <si>
    <t>TE7</t>
  </si>
  <si>
    <t>Trevor Lawrence</t>
  </si>
  <si>
    <t>QB10</t>
  </si>
  <si>
    <t>Kyle Pitts Sr.</t>
  </si>
  <si>
    <t>TE8</t>
  </si>
  <si>
    <t>Dak Prescott</t>
  </si>
  <si>
    <t>QB11</t>
  </si>
  <si>
    <t>Tyler Allgeier</t>
  </si>
  <si>
    <t>RB32</t>
  </si>
  <si>
    <t>Brian Thomas Jr.</t>
  </si>
  <si>
    <t>WR37</t>
  </si>
  <si>
    <t>Tony Pollard</t>
  </si>
  <si>
    <t>TEN</t>
  </si>
  <si>
    <t>RB33</t>
  </si>
  <si>
    <t>Brock Purdy</t>
  </si>
  <si>
    <t>QB12</t>
  </si>
  <si>
    <t>Patrick Mahomes II</t>
  </si>
  <si>
    <t>QB13</t>
  </si>
  <si>
    <t>Chuba Hubbard</t>
  </si>
  <si>
    <t>RB34</t>
  </si>
  <si>
    <t>Michael Wilson</t>
  </si>
  <si>
    <t>WR38</t>
  </si>
  <si>
    <t>Jordan Addison</t>
  </si>
  <si>
    <t>WR39</t>
  </si>
  <si>
    <t>Zach Charbonnet</t>
  </si>
  <si>
    <t>RB35</t>
  </si>
  <si>
    <t>Chris Godwin Jr.</t>
  </si>
  <si>
    <t>WR40</t>
  </si>
  <si>
    <t>J.K. Dobbins</t>
  </si>
  <si>
    <t>RB36</t>
  </si>
  <si>
    <t>Dalton Kincaid</t>
  </si>
  <si>
    <t>TE9</t>
  </si>
  <si>
    <t>Jacory Croskey-Merritt</t>
  </si>
  <si>
    <t>RB37</t>
  </si>
  <si>
    <t>Bo Nix</t>
  </si>
  <si>
    <t>QB14</t>
  </si>
  <si>
    <t>Matthew Stafford</t>
  </si>
  <si>
    <t>QB15</t>
  </si>
  <si>
    <t>Ricky Pearsall</t>
  </si>
  <si>
    <t>WR41</t>
  </si>
  <si>
    <t>Parker Washington</t>
  </si>
  <si>
    <t>WR42</t>
  </si>
  <si>
    <t>Quentin Johnston</t>
  </si>
  <si>
    <t>WR43</t>
  </si>
  <si>
    <t>Oronde Gadsden II</t>
  </si>
  <si>
    <t>TE10</t>
  </si>
  <si>
    <t>Michael Pittman Jr.</t>
  </si>
  <si>
    <t>WR44</t>
  </si>
  <si>
    <t>Woody Marks</t>
  </si>
  <si>
    <t>RB38</t>
  </si>
  <si>
    <t>Jordan Love</t>
  </si>
  <si>
    <t>QB16</t>
  </si>
  <si>
    <t>Brandon Aiyuk</t>
  </si>
  <si>
    <t>WR45</t>
  </si>
  <si>
    <t>Jakobi Meyers</t>
  </si>
  <si>
    <t>WR46</t>
  </si>
  <si>
    <t>Jared Goff</t>
  </si>
  <si>
    <t>QB17</t>
  </si>
  <si>
    <t>Aaron Jones Sr.</t>
  </si>
  <si>
    <t>RB39</t>
  </si>
  <si>
    <t>Jake Ferguson</t>
  </si>
  <si>
    <t>TE11</t>
  </si>
  <si>
    <t>Wan'Dale Robinson</t>
  </si>
  <si>
    <t>WR47</t>
  </si>
  <si>
    <t>Denzel Boston</t>
  </si>
  <si>
    <t>WR48</t>
  </si>
  <si>
    <t>Jordan Mason</t>
  </si>
  <si>
    <t>RB40</t>
  </si>
  <si>
    <t>Juwan Johnson</t>
  </si>
  <si>
    <t>TE12</t>
  </si>
  <si>
    <t>James Conner</t>
  </si>
  <si>
    <t>RB41</t>
  </si>
  <si>
    <t>Jayden Higgins</t>
  </si>
  <si>
    <t>WR49</t>
  </si>
  <si>
    <t>Jauan Jennings</t>
  </si>
  <si>
    <t>WR50</t>
  </si>
  <si>
    <t>Malik Willis</t>
  </si>
  <si>
    <t>QB18</t>
  </si>
  <si>
    <t>Brenton Strange</t>
  </si>
  <si>
    <t>TE13</t>
  </si>
  <si>
    <t>Tyler Shough</t>
  </si>
  <si>
    <t>QB19</t>
  </si>
  <si>
    <t>Kyler Murray</t>
  </si>
  <si>
    <t>QB20</t>
  </si>
  <si>
    <t>Baker Mayfield</t>
  </si>
  <si>
    <t>QB21</t>
  </si>
  <si>
    <t>Travis Kelce</t>
  </si>
  <si>
    <t>TE14</t>
  </si>
  <si>
    <t>Dallas Goedert</t>
  </si>
  <si>
    <t>TE15</t>
  </si>
  <si>
    <t>Jadarian Price</t>
  </si>
  <si>
    <t>RB42</t>
  </si>
  <si>
    <t>Braelon Allen</t>
  </si>
  <si>
    <t>RB43</t>
  </si>
  <si>
    <t>Jayden Reed</t>
  </si>
  <si>
    <t>WR51</t>
  </si>
  <si>
    <t>Kenneth Gainwell</t>
  </si>
  <si>
    <t>RB44</t>
  </si>
  <si>
    <t>Romeo Doubs</t>
  </si>
  <si>
    <t>WR52</t>
  </si>
  <si>
    <t>Tyrone Tracy Jr.</t>
  </si>
  <si>
    <t>RB45</t>
  </si>
  <si>
    <t>George Kittle</t>
  </si>
  <si>
    <t>TE16</t>
  </si>
  <si>
    <t>Hunter Henry</t>
  </si>
  <si>
    <t>TE17</t>
  </si>
  <si>
    <t>Xavier Worthy</t>
  </si>
  <si>
    <t>WR53</t>
  </si>
  <si>
    <t>Khalil Shakir</t>
  </si>
  <si>
    <t>WR54</t>
  </si>
  <si>
    <t>C.J. Stroud</t>
  </si>
  <si>
    <t>QB22</t>
  </si>
  <si>
    <t>Josh Downs</t>
  </si>
  <si>
    <t>WR55</t>
  </si>
  <si>
    <t>Emmett Johnson</t>
  </si>
  <si>
    <t>RB46</t>
  </si>
  <si>
    <t>Rachaad White</t>
  </si>
  <si>
    <t>RB47</t>
  </si>
  <si>
    <t>Stefon Diggs</t>
  </si>
  <si>
    <t>WR56</t>
  </si>
  <si>
    <t>Alvin Kamara</t>
  </si>
  <si>
    <t>RB48</t>
  </si>
  <si>
    <t>Tank Bigsby</t>
  </si>
  <si>
    <t>RB49</t>
  </si>
  <si>
    <t>Sam Darnold</t>
  </si>
  <si>
    <t>QB23</t>
  </si>
  <si>
    <t>Houston Texans</t>
  </si>
  <si>
    <t>DST1</t>
  </si>
  <si>
    <t>Jonathon Brooks</t>
  </si>
  <si>
    <t>RB50</t>
  </si>
  <si>
    <t>Isiah Pacheco</t>
  </si>
  <si>
    <t>RB51</t>
  </si>
  <si>
    <t>Dylan Sampson</t>
  </si>
  <si>
    <t>RB52</t>
  </si>
  <si>
    <t>Tyreek Hill</t>
  </si>
  <si>
    <t>WR57</t>
  </si>
  <si>
    <t>Chris Rodriguez Jr.</t>
  </si>
  <si>
    <t>RB53</t>
  </si>
  <si>
    <t>Jalen Coker</t>
  </si>
  <si>
    <t>WR58</t>
  </si>
  <si>
    <t>Deebo Samuel Sr.</t>
  </si>
  <si>
    <t>WR59</t>
  </si>
  <si>
    <t>Omar Cooper Jr.</t>
  </si>
  <si>
    <t>WR60</t>
  </si>
  <si>
    <t>Isaiah Likely</t>
  </si>
  <si>
    <t>TE18</t>
  </si>
  <si>
    <t>Mark Andrews</t>
  </si>
  <si>
    <t>TE19</t>
  </si>
  <si>
    <t>Kenyon Sadiq</t>
  </si>
  <si>
    <t>TE20</t>
  </si>
  <si>
    <t>Cam Ward</t>
  </si>
  <si>
    <t>QB24</t>
  </si>
  <si>
    <t>Kayshon Boutte</t>
  </si>
  <si>
    <t>WR61</t>
  </si>
  <si>
    <t>Denver Broncos</t>
  </si>
  <si>
    <t>DST2</t>
  </si>
  <si>
    <t>Jonah Coleman</t>
  </si>
  <si>
    <t>RB54</t>
  </si>
  <si>
    <t>Tyjae Spears</t>
  </si>
  <si>
    <t>RB55</t>
  </si>
  <si>
    <t>Seattle Seahawks</t>
  </si>
  <si>
    <t>DST3</t>
  </si>
  <si>
    <t>Keaton Mitchell</t>
  </si>
  <si>
    <t>RB56</t>
  </si>
  <si>
    <t>Adonai Mitchell</t>
  </si>
  <si>
    <t>WR62</t>
  </si>
  <si>
    <t>Brian Robinson Jr.</t>
  </si>
  <si>
    <t>RB57</t>
  </si>
  <si>
    <t>Philadelphia Eagles</t>
  </si>
  <si>
    <t>DST4</t>
  </si>
  <si>
    <t>Bryce Young</t>
  </si>
  <si>
    <t>QB25</t>
  </si>
  <si>
    <t>Los Angeles Rams</t>
  </si>
  <si>
    <t>DST5</t>
  </si>
  <si>
    <t>Trey Benson</t>
  </si>
  <si>
    <t>RB58</t>
  </si>
  <si>
    <t>Jerry Jeudy</t>
  </si>
  <si>
    <t>WR63</t>
  </si>
  <si>
    <t>Dalton Schultz</t>
  </si>
  <si>
    <t>TE21</t>
  </si>
  <si>
    <t>Mike Washington Jr.</t>
  </si>
  <si>
    <t>RB59</t>
  </si>
  <si>
    <t>Rashid Shaheed</t>
  </si>
  <si>
    <t>WR64</t>
  </si>
  <si>
    <t>Troy Franklin</t>
  </si>
  <si>
    <t>WR65</t>
  </si>
  <si>
    <t>Kimani Vidal</t>
  </si>
  <si>
    <t>RB60</t>
  </si>
  <si>
    <t>Isaac TeSlaa</t>
  </si>
  <si>
    <t>WR66</t>
  </si>
  <si>
    <t>Tank Dell</t>
  </si>
  <si>
    <t>WR67</t>
  </si>
  <si>
    <t>Minnesota Vikings</t>
  </si>
  <si>
    <t>DST6</t>
  </si>
  <si>
    <t>Travis Hunter</t>
  </si>
  <si>
    <t>WR68</t>
  </si>
  <si>
    <t>Matthew Golden</t>
  </si>
  <si>
    <t>WR69</t>
  </si>
  <si>
    <t>New England Patriots</t>
  </si>
  <si>
    <t>DST7</t>
  </si>
  <si>
    <t>Jacksonville Jaguars</t>
  </si>
  <si>
    <t>DST8</t>
  </si>
  <si>
    <t>Brandon Aubrey</t>
  </si>
  <si>
    <t>K1</t>
  </si>
  <si>
    <t>Chimere Dike</t>
  </si>
  <si>
    <t>WR70</t>
  </si>
  <si>
    <t>Los Angeles Chargers</t>
  </si>
  <si>
    <t>DST9</t>
  </si>
  <si>
    <t>Sean Tucker</t>
  </si>
  <si>
    <t>RB61</t>
  </si>
  <si>
    <t>Green Bay Packers</t>
  </si>
  <si>
    <t>DST10</t>
  </si>
  <si>
    <t>K.C. Concepcion</t>
  </si>
  <si>
    <t>WR71</t>
  </si>
  <si>
    <t>Pittsburgh Steelers</t>
  </si>
  <si>
    <t>DST11</t>
  </si>
  <si>
    <t>Ka'imi Fairbairn</t>
  </si>
  <si>
    <t>K2</t>
  </si>
  <si>
    <t>Emanuel Wilson</t>
  </si>
  <si>
    <t>RB62</t>
  </si>
  <si>
    <t>Cam Little</t>
  </si>
  <si>
    <t>K3</t>
  </si>
  <si>
    <t>Jaylen Wright</t>
  </si>
  <si>
    <t>RB63</t>
  </si>
  <si>
    <t>Elic Ayomanor</t>
  </si>
  <si>
    <t>WR72</t>
  </si>
  <si>
    <t>Cameron Dicker</t>
  </si>
  <si>
    <t>K4</t>
  </si>
  <si>
    <t>Terrance Ferguson</t>
  </si>
  <si>
    <t>TE22</t>
  </si>
  <si>
    <t>Cleveland Browns</t>
  </si>
  <si>
    <t>DST12</t>
  </si>
  <si>
    <t>Jaylin Noel</t>
  </si>
  <si>
    <t>WR73</t>
  </si>
  <si>
    <t>AJ Barner</t>
  </si>
  <si>
    <t>TE23</t>
  </si>
  <si>
    <t>Kyle Williams</t>
  </si>
  <si>
    <t>WR74</t>
  </si>
  <si>
    <t>Daniel Jones</t>
  </si>
  <si>
    <t>QB26</t>
  </si>
  <si>
    <t>Jalen McMillan</t>
  </si>
  <si>
    <t>WR75</t>
  </si>
  <si>
    <t>Jason Myers</t>
  </si>
  <si>
    <t>K5</t>
  </si>
  <si>
    <t>Tyler Loop</t>
  </si>
  <si>
    <t>K6</t>
  </si>
  <si>
    <t>Kaleb Johnson</t>
  </si>
  <si>
    <t>RB64</t>
  </si>
  <si>
    <t>Evan McPherson</t>
  </si>
  <si>
    <t>K7</t>
  </si>
  <si>
    <t>Tre Tucker</t>
  </si>
  <si>
    <t>WR76</t>
  </si>
  <si>
    <t>Tre Harris</t>
  </si>
  <si>
    <t>WR77</t>
  </si>
  <si>
    <t>Ray Davis</t>
  </si>
  <si>
    <t>RB65</t>
  </si>
  <si>
    <t>Jacoby Brissett</t>
  </si>
  <si>
    <t>QB27</t>
  </si>
  <si>
    <t>Kansas City Chiefs</t>
  </si>
  <si>
    <t>DST13</t>
  </si>
  <si>
    <t>Andy Borregales</t>
  </si>
  <si>
    <t>K8</t>
  </si>
  <si>
    <t>Chris Brazzell II</t>
  </si>
  <si>
    <t>WR78</t>
  </si>
  <si>
    <t>Eddy Pineiro</t>
  </si>
  <si>
    <t>K9</t>
  </si>
  <si>
    <t>Nicholas Singleton</t>
  </si>
  <si>
    <t>RB66</t>
  </si>
  <si>
    <t>T.J. Hockenson</t>
  </si>
  <si>
    <t>TE24</t>
  </si>
  <si>
    <t>Kaytron Allen</t>
  </si>
  <si>
    <t>RB67</t>
  </si>
  <si>
    <t>Chase McLaughlin</t>
  </si>
  <si>
    <t>K10</t>
  </si>
  <si>
    <t>Detroit Lions</t>
  </si>
  <si>
    <t>DST14</t>
  </si>
  <si>
    <t>Ryan Flournoy</t>
  </si>
  <si>
    <t>WR79</t>
  </si>
  <si>
    <t>Joe Mixon</t>
  </si>
  <si>
    <t>RB68</t>
  </si>
  <si>
    <t>Buffalo Bills</t>
  </si>
  <si>
    <t>DST15</t>
  </si>
  <si>
    <t>Tory Horton</t>
  </si>
  <si>
    <t>WR80</t>
  </si>
  <si>
    <t>Pat Bryant</t>
  </si>
  <si>
    <t>WR81</t>
  </si>
  <si>
    <t>Eli Stowers</t>
  </si>
  <si>
    <t>TE25</t>
  </si>
  <si>
    <t>Kendre Miller</t>
  </si>
  <si>
    <t>RB69</t>
  </si>
  <si>
    <t>Theo Johnson</t>
  </si>
  <si>
    <t>TE26</t>
  </si>
  <si>
    <t>Calvin Ridley</t>
  </si>
  <si>
    <t>WR82</t>
  </si>
  <si>
    <t>Baltimore Ravens</t>
  </si>
  <si>
    <t>DST16</t>
  </si>
  <si>
    <t>Cairo Santos</t>
  </si>
  <si>
    <t>K11</t>
  </si>
  <si>
    <t>Ollie Gordon II</t>
  </si>
  <si>
    <t>RB70</t>
  </si>
  <si>
    <t>Devin Neal</t>
  </si>
  <si>
    <t>RB71</t>
  </si>
  <si>
    <t>Fernando Mendoza</t>
  </si>
  <si>
    <t>QB28</t>
  </si>
  <si>
    <t>Darnell Mooney</t>
  </si>
  <si>
    <t>WR83</t>
  </si>
  <si>
    <t>Rashod Bateman</t>
  </si>
  <si>
    <t>WR84</t>
  </si>
  <si>
    <t>Elijah Sarratt</t>
  </si>
  <si>
    <t>WR85</t>
  </si>
  <si>
    <t>David Njoku</t>
  </si>
  <si>
    <t>TE27</t>
  </si>
  <si>
    <t>Marvin Mims Jr.</t>
  </si>
  <si>
    <t>WR86</t>
  </si>
  <si>
    <t>Jake Bates</t>
  </si>
  <si>
    <t>K12</t>
  </si>
  <si>
    <t>Mason Taylor</t>
  </si>
  <si>
    <t>TE28</t>
  </si>
  <si>
    <t>Keon Coleman</t>
  </si>
  <si>
    <t>WR87</t>
  </si>
  <si>
    <t>Chig Okonkwo</t>
  </si>
  <si>
    <t>TE29</t>
  </si>
  <si>
    <t>Xavier Legette</t>
  </si>
  <si>
    <t>WR88</t>
  </si>
  <si>
    <t>Harrison Mevis</t>
  </si>
  <si>
    <t>K13</t>
  </si>
  <si>
    <t>Dontayvion Wicks</t>
  </si>
  <si>
    <t>WR89</t>
  </si>
  <si>
    <t>Mack Hollins</t>
  </si>
  <si>
    <t>WR90</t>
  </si>
  <si>
    <t>Isaiah Davis</t>
  </si>
  <si>
    <t>RB72</t>
  </si>
  <si>
    <t>Colby Parkinson</t>
  </si>
  <si>
    <t>TE30</t>
  </si>
  <si>
    <t>George Holani</t>
  </si>
  <si>
    <t>RB73</t>
  </si>
  <si>
    <t>Najee Harris</t>
  </si>
  <si>
    <t>RB74</t>
  </si>
  <si>
    <t>Chris Boswell</t>
  </si>
  <si>
    <t>K14</t>
  </si>
  <si>
    <t>Pat Freiermuth</t>
  </si>
  <si>
    <t>TE31</t>
  </si>
  <si>
    <t>Malachi Fields</t>
  </si>
  <si>
    <t>WR91</t>
  </si>
  <si>
    <t>Harrison Butker</t>
  </si>
  <si>
    <t>K15</t>
  </si>
  <si>
    <t>Ty Johnson</t>
  </si>
  <si>
    <t>RB75</t>
  </si>
  <si>
    <t>Gunnar Helm</t>
  </si>
  <si>
    <t>TE32</t>
  </si>
  <si>
    <t>Isaac Guerendo</t>
  </si>
  <si>
    <t>RB76</t>
  </si>
  <si>
    <t>Cooper Kupp</t>
  </si>
  <si>
    <t>WR92</t>
  </si>
  <si>
    <t>Darius Slayton</t>
  </si>
  <si>
    <t>WR93</t>
  </si>
  <si>
    <t>Michael Penix Jr.</t>
  </si>
  <si>
    <t>QB29</t>
  </si>
  <si>
    <t>Jaydon Blue</t>
  </si>
  <si>
    <t>RB77</t>
  </si>
  <si>
    <t>Zachariah Branch</t>
  </si>
  <si>
    <t>WR94</t>
  </si>
  <si>
    <t>Charlie Smyth</t>
  </si>
  <si>
    <t>K16</t>
  </si>
  <si>
    <t>Germie Bernard</t>
  </si>
  <si>
    <t>WR95</t>
  </si>
  <si>
    <t>Demond Claiborne</t>
  </si>
  <si>
    <t>RB78</t>
  </si>
  <si>
    <t>Atlanta Falcons</t>
  </si>
  <si>
    <t>DST17</t>
  </si>
  <si>
    <t>Keenan Allen</t>
  </si>
  <si>
    <t>WR96</t>
  </si>
  <si>
    <t>Devaughn Vele</t>
  </si>
  <si>
    <t>WR97</t>
  </si>
  <si>
    <t>Jaleel McLaughlin</t>
  </si>
  <si>
    <t>RB79</t>
  </si>
  <si>
    <t>Cade Otton</t>
  </si>
  <si>
    <t>TE33</t>
  </si>
  <si>
    <t>Adam Randall</t>
  </si>
  <si>
    <t>RB80</t>
  </si>
  <si>
    <t>Brashard Smith</t>
  </si>
  <si>
    <t>RB81</t>
  </si>
  <si>
    <t>DJ Giddens</t>
  </si>
  <si>
    <t>RB82</t>
  </si>
  <si>
    <t>Isaiah Bond</t>
  </si>
  <si>
    <t>WR98</t>
  </si>
  <si>
    <t>Malik Davis</t>
  </si>
  <si>
    <t>RB83</t>
  </si>
  <si>
    <t>J.J. McCarthy</t>
  </si>
  <si>
    <t>QB30</t>
  </si>
  <si>
    <t>Jalen Nailor</t>
  </si>
  <si>
    <t>WR99</t>
  </si>
  <si>
    <t>Evan Engram</t>
  </si>
  <si>
    <t>TE34</t>
  </si>
  <si>
    <t>Tyquan Thornton</t>
  </si>
  <si>
    <t>WR100</t>
  </si>
  <si>
    <t>Shedeur Sanders</t>
  </si>
  <si>
    <t>QB31</t>
  </si>
  <si>
    <t>MarShawn Lloyd</t>
  </si>
  <si>
    <t>RB84</t>
  </si>
  <si>
    <t>Wil Lutz</t>
  </si>
  <si>
    <t>K17</t>
  </si>
  <si>
    <t>Andrei Iosivas</t>
  </si>
  <si>
    <t>WR101</t>
  </si>
  <si>
    <t>Jarquez Hunter</t>
  </si>
  <si>
    <t>RB85</t>
  </si>
  <si>
    <t>Jack Bech</t>
  </si>
  <si>
    <t>WR102</t>
  </si>
  <si>
    <t>Hollywood Brown</t>
  </si>
  <si>
    <t>WR103</t>
  </si>
  <si>
    <t>Mike Gesicki</t>
  </si>
  <si>
    <t>TE35</t>
  </si>
  <si>
    <t>Cedric Tillman</t>
  </si>
  <si>
    <t>WR104</t>
  </si>
  <si>
    <t>LeQuint Allen Jr.</t>
  </si>
  <si>
    <t>RB86</t>
  </si>
  <si>
    <t>Devin Singletary</t>
  </si>
  <si>
    <t>RB87</t>
  </si>
  <si>
    <t>Christian Kirk</t>
  </si>
  <si>
    <t>WR105</t>
  </si>
  <si>
    <t>Malik Washington</t>
  </si>
  <si>
    <t>WR106</t>
  </si>
  <si>
    <t>Indianapolis Colts</t>
  </si>
  <si>
    <t>DST18</t>
  </si>
  <si>
    <t>Geno Smith</t>
  </si>
  <si>
    <t>QB32</t>
  </si>
  <si>
    <t>Justice Hill</t>
  </si>
  <si>
    <t>RB88</t>
  </si>
  <si>
    <t>Chris Bell</t>
  </si>
  <si>
    <t>WR107</t>
  </si>
  <si>
    <t>Samaje Perine</t>
  </si>
  <si>
    <t>RB89</t>
  </si>
  <si>
    <t>Tua Tagovailoa</t>
  </si>
  <si>
    <t>QB33</t>
  </si>
  <si>
    <t>Luke McCaffrey</t>
  </si>
  <si>
    <t>WR108</t>
  </si>
  <si>
    <t>Calvin Austin III</t>
  </si>
  <si>
    <t>WR109</t>
  </si>
  <si>
    <t>Chris Brooks</t>
  </si>
  <si>
    <t>RB90</t>
  </si>
  <si>
    <t>Konata Mumpfield</t>
  </si>
  <si>
    <t>WR110</t>
  </si>
  <si>
    <t>Jordan James</t>
  </si>
  <si>
    <t>RB91</t>
  </si>
  <si>
    <t>Audric Estime</t>
  </si>
  <si>
    <t>RB92</t>
  </si>
  <si>
    <t>Jerome Ford</t>
  </si>
  <si>
    <t>RB93</t>
  </si>
  <si>
    <t>New Orleans Saints</t>
  </si>
  <si>
    <t>DST19</t>
  </si>
  <si>
    <t>Kareem Hunt</t>
  </si>
  <si>
    <t>RB94</t>
  </si>
  <si>
    <t>San Francisco 49ers</t>
  </si>
  <si>
    <t>DST20</t>
  </si>
  <si>
    <t>Trevor Etienne</t>
  </si>
  <si>
    <t>RB95</t>
  </si>
  <si>
    <t>Emari Demercado</t>
  </si>
  <si>
    <t>RB96</t>
  </si>
  <si>
    <t>Aaron Rodgers</t>
  </si>
  <si>
    <t>QB34</t>
  </si>
  <si>
    <t>Tahj Brooks</t>
  </si>
  <si>
    <t>RB97</t>
  </si>
  <si>
    <t>Bam Knight</t>
  </si>
  <si>
    <t>RB98</t>
  </si>
  <si>
    <t>Mac Jones</t>
  </si>
  <si>
    <t>QB35</t>
  </si>
  <si>
    <t>Tez Johnson</t>
  </si>
  <si>
    <t>WR111</t>
  </si>
  <si>
    <t>Ty Simpson</t>
  </si>
  <si>
    <t>QB36</t>
  </si>
  <si>
    <t>Nick Chubb</t>
  </si>
  <si>
    <t>RB99</t>
  </si>
  <si>
    <t>Jake Tonges</t>
  </si>
  <si>
    <t>TE36</t>
  </si>
  <si>
    <t>Jalen Royals</t>
  </si>
  <si>
    <t>WR112</t>
  </si>
  <si>
    <t>Will Shipley</t>
  </si>
  <si>
    <t>RB100</t>
  </si>
  <si>
    <t>Will Reichard</t>
  </si>
  <si>
    <t>K18</t>
  </si>
  <si>
    <t>Dont'e Thornton Jr.</t>
  </si>
  <si>
    <t>WR113</t>
  </si>
  <si>
    <t>Michael Carter</t>
  </si>
  <si>
    <t>RB101</t>
  </si>
  <si>
    <t>Tommy Myers</t>
  </si>
  <si>
    <t>TE37</t>
  </si>
  <si>
    <t>Noah Gray</t>
  </si>
  <si>
    <t>TE38</t>
  </si>
  <si>
    <t>DeMario Douglas</t>
  </si>
  <si>
    <t>WR114</t>
  </si>
  <si>
    <t>Olamide Zaccheaus</t>
  </si>
  <si>
    <t>WR115</t>
  </si>
  <si>
    <t>Anthony Richardson Sr.</t>
  </si>
  <si>
    <t>QB37</t>
  </si>
  <si>
    <t>Greg Dulcich</t>
  </si>
  <si>
    <t>TE39</t>
  </si>
  <si>
    <t>Xavier Hutchinson</t>
  </si>
  <si>
    <t>WR116</t>
  </si>
  <si>
    <t>Joshua Palmer</t>
  </si>
  <si>
    <t>WR117</t>
  </si>
  <si>
    <t>Jaylin Lane</t>
  </si>
  <si>
    <t>WR118</t>
  </si>
  <si>
    <t>John Metchie III</t>
  </si>
  <si>
    <t>WR119</t>
  </si>
  <si>
    <t>Darren Waller</t>
  </si>
  <si>
    <t>TE40</t>
  </si>
  <si>
    <t>Austin Ekeler</t>
  </si>
  <si>
    <t>RB102</t>
  </si>
  <si>
    <t>Zane Gonzalez</t>
  </si>
  <si>
    <t>K19</t>
  </si>
  <si>
    <t>John Bates</t>
  </si>
  <si>
    <t>TE41</t>
  </si>
  <si>
    <t>Elijah Arroyo</t>
  </si>
  <si>
    <t>TE42</t>
  </si>
  <si>
    <t>Carolina Panthers</t>
  </si>
  <si>
    <t>DST21</t>
  </si>
  <si>
    <t>Seth McGowan</t>
  </si>
  <si>
    <t>RB103</t>
  </si>
  <si>
    <t>Le'Veon Moss</t>
  </si>
  <si>
    <t>RB104</t>
  </si>
  <si>
    <t>J'Mari Taylor</t>
  </si>
  <si>
    <t>RB105</t>
  </si>
  <si>
    <t>Jahan Dotson</t>
  </si>
  <si>
    <t>WR120</t>
  </si>
  <si>
    <t>Ben Sinnott</t>
  </si>
  <si>
    <t>TE43</t>
  </si>
  <si>
    <t>Kirk Cousins</t>
  </si>
  <si>
    <t>QB38</t>
  </si>
  <si>
    <t>Deshaun Watson</t>
  </si>
  <si>
    <t>QB39</t>
  </si>
  <si>
    <t>Joe Milton III</t>
  </si>
  <si>
    <t>QB40</t>
  </si>
  <si>
    <t>Kalif Raymond</t>
  </si>
  <si>
    <t>WR121</t>
  </si>
  <si>
    <t>Antonio Williams</t>
  </si>
  <si>
    <t>WR122</t>
  </si>
  <si>
    <t>Chicago Bears</t>
  </si>
  <si>
    <t>DST22</t>
  </si>
  <si>
    <t>Jawhar Jordan</t>
  </si>
  <si>
    <t>RB106</t>
  </si>
  <si>
    <t>Darnell Washington</t>
  </si>
  <si>
    <t>TE44</t>
  </si>
  <si>
    <t>Dameon Pierce</t>
  </si>
  <si>
    <t>RB107</t>
  </si>
  <si>
    <t>Raheim Sanders</t>
  </si>
  <si>
    <t>RB108</t>
  </si>
  <si>
    <t>Terrell Jennings</t>
  </si>
  <si>
    <t>RB109</t>
  </si>
  <si>
    <t>Antonio Gibson</t>
  </si>
  <si>
    <t>RB110</t>
  </si>
  <si>
    <t>Justin Fields</t>
  </si>
  <si>
    <t>QB41</t>
  </si>
  <si>
    <t>Tutu Atwell</t>
  </si>
  <si>
    <t>WR123</t>
  </si>
  <si>
    <t>Miami Dolphins</t>
  </si>
  <si>
    <t>DST23</t>
  </si>
  <si>
    <t>Tyler Higbee</t>
  </si>
  <si>
    <t>TE45</t>
  </si>
  <si>
    <t>Michael Mayer</t>
  </si>
  <si>
    <t>TE46</t>
  </si>
  <si>
    <t>Jalen Tolbert</t>
  </si>
  <si>
    <t>WR124</t>
  </si>
  <si>
    <t>Ted Hurst</t>
  </si>
  <si>
    <t>WR125</t>
  </si>
  <si>
    <t>Skyler Bell</t>
  </si>
  <si>
    <t>WR126</t>
  </si>
  <si>
    <t>Ja'Kobi Lane</t>
  </si>
  <si>
    <t>WR127</t>
  </si>
  <si>
    <t>Marcus Mariota</t>
  </si>
  <si>
    <t>QB42</t>
  </si>
  <si>
    <t>Noah Fant</t>
  </si>
  <si>
    <t>TE47</t>
  </si>
  <si>
    <t>Michael Trigg</t>
  </si>
  <si>
    <t>TE48</t>
  </si>
  <si>
    <t>Dawson Knox</t>
  </si>
  <si>
    <t>TE49</t>
  </si>
  <si>
    <t>Joe Flacco</t>
  </si>
  <si>
    <t>QB43</t>
  </si>
  <si>
    <t>Luke Musgrave</t>
  </si>
  <si>
    <t>TE50</t>
  </si>
  <si>
    <t>Max Klare</t>
  </si>
  <si>
    <t>TE51</t>
  </si>
  <si>
    <t>Cole Kmet</t>
  </si>
  <si>
    <t>TE52</t>
  </si>
  <si>
    <t>Ja'Tavion Sanders</t>
  </si>
  <si>
    <t>TE53</t>
  </si>
  <si>
    <t>Jonnu Smith</t>
  </si>
  <si>
    <t>TE54</t>
  </si>
  <si>
    <t>Tyler Badie</t>
  </si>
  <si>
    <t>RB111</t>
  </si>
  <si>
    <t>Gardner Minshew II</t>
  </si>
  <si>
    <t>QB44</t>
  </si>
  <si>
    <t>Zach Ertz</t>
  </si>
  <si>
    <t>TE55</t>
  </si>
  <si>
    <t>Jameis Winston</t>
  </si>
  <si>
    <t>QB45</t>
  </si>
  <si>
    <t>Justin Joly</t>
  </si>
  <si>
    <t>TE56</t>
  </si>
  <si>
    <t>Draft Picks</t>
  </si>
  <si>
    <t>Joueurs</t>
  </si>
  <si>
    <t>Rank</t>
  </si>
  <si>
    <t xml:space="preserve">Average </t>
  </si>
  <si>
    <t>1-10</t>
  </si>
  <si>
    <t>11-20</t>
  </si>
  <si>
    <t>21-30</t>
  </si>
  <si>
    <t>31-40</t>
  </si>
  <si>
    <t>41-50</t>
  </si>
  <si>
    <t>51-60</t>
  </si>
  <si>
    <t>61-70</t>
  </si>
  <si>
    <t>71-80</t>
  </si>
  <si>
    <t>81-90</t>
  </si>
  <si>
    <t>91-100</t>
  </si>
  <si>
    <t>101-110</t>
  </si>
  <si>
    <t>111-120</t>
  </si>
  <si>
    <t>121-130</t>
  </si>
  <si>
    <t>131-140</t>
  </si>
  <si>
    <t>141-150</t>
  </si>
  <si>
    <t>x</t>
  </si>
  <si>
    <t>Taken</t>
  </si>
  <si>
    <t>Roschon Johnson</t>
  </si>
  <si>
    <t>Treveyon Henderson</t>
  </si>
  <si>
    <t>Aaron Jones</t>
  </si>
  <si>
    <t>Brian Robinson</t>
  </si>
  <si>
    <t>R.J Harvey</t>
  </si>
  <si>
    <t>Swift</t>
  </si>
  <si>
    <t>8e back</t>
  </si>
  <si>
    <t>8 front</t>
  </si>
  <si>
    <t>Tetairoa McMillan (WR,5.1, 1)</t>
  </si>
  <si>
    <t>Jordan Addison (WR,6.8, 4)</t>
  </si>
  <si>
    <t>Travis Hunter (WR,5.5, 1)</t>
  </si>
  <si>
    <t>Chris Godwin (WR,5.4, 1)</t>
  </si>
  <si>
    <t>Jerry Jeudy (WR, 5.7, 2)</t>
  </si>
  <si>
    <t>Rome Odunze (WR, 6, 3)</t>
  </si>
  <si>
    <t>Calvin Ridley (WR, 5.1, 1)</t>
  </si>
  <si>
    <t>Khalil Shakir (WR, 6, 3)</t>
  </si>
  <si>
    <t>Jakobi Meyers (WR, 5.8, 2)</t>
  </si>
  <si>
    <t>Deebo Samuel (WR, 6, 3)</t>
  </si>
  <si>
    <t>Brandon Aiyuk (WR, 7.3, 4)</t>
  </si>
  <si>
    <t>Cooper Kupp (WR, 6.4, 4)</t>
  </si>
  <si>
    <t>Stefon Diggs (WR, 5.1, 1)</t>
  </si>
  <si>
    <t>Jauan Jennings (WR, 4.3, 1)</t>
  </si>
  <si>
    <t>Jayden Reed (WR, 5.9, 3)</t>
  </si>
  <si>
    <t>Ricky Pearsall (WR, 5.5, 1)</t>
  </si>
  <si>
    <t>Matthew Golden (WR, 6.4, 4)</t>
  </si>
  <si>
    <t>Josh Downs (WR, 5.1, 1)</t>
  </si>
  <si>
    <t>Michael Pittman (WR, 5.2, 1)</t>
  </si>
  <si>
    <t>Darnell Mooney (WR, 5.7, 2)</t>
  </si>
  <si>
    <t>Emeka Egbuka (WR, 6, 3)</t>
  </si>
  <si>
    <t>Keon Coleman (WR, 6.2, 4)</t>
  </si>
  <si>
    <t>Jayden Higgins (WR, 6.8, 4)</t>
  </si>
  <si>
    <t>Tre Harris (WR, 6.6, 4)</t>
  </si>
  <si>
    <t>Luther Burden (WR, 6.2, 4)</t>
  </si>
  <si>
    <t>Rashid Shaheed (WR, 5.5, 1)</t>
  </si>
  <si>
    <t>Marvin Mims (WR, 6.2, 4)</t>
  </si>
  <si>
    <t>Kyle Williams (WR, 7.3, 4)</t>
  </si>
  <si>
    <t>Christian Kirk (WR, 5, 1)</t>
  </si>
  <si>
    <t>Jack Bech (WR, 8, 4)</t>
  </si>
  <si>
    <t>Jalen McMillan (WR, 7.7, 4)</t>
  </si>
  <si>
    <t>Marquise Brown (WR, 5.6, 2)</t>
  </si>
  <si>
    <t>Quinshon Judkins (RB, 7, 3)</t>
  </si>
  <si>
    <t>TreVeyon Henderson (RB, 5.4, 1)</t>
  </si>
  <si>
    <t>Tony Pollard (RB, 6, 1)</t>
  </si>
  <si>
    <t>D'Andre Swift (RB, 4.6, 1)</t>
  </si>
  <si>
    <t>Tyrone Tracy (RB, 7.4, 4)</t>
  </si>
  <si>
    <t>Brian Robinson (RB, 6.1, 1)</t>
  </si>
  <si>
    <t>Kaleb Johnson (RB, 5, 1)</t>
  </si>
  <si>
    <t>Najee Harris (RB, 7.4, 4)</t>
  </si>
  <si>
    <t>Jaylen Warren (RB, 5.9, 1)</t>
  </si>
  <si>
    <t>Travis Etienne (RB, 5.8, 1)</t>
  </si>
  <si>
    <t>Cam Skattebo (RB, 6.5, 2)</t>
  </si>
  <si>
    <t>Javonte Williams (RB, 6.3, 2)</t>
  </si>
  <si>
    <t>Rhamondre Stevenson (RB, 6.7, 3)</t>
  </si>
  <si>
    <t>Zach Charbonnet (RB, 5.7, 1)</t>
  </si>
  <si>
    <t>Jake Ferguson (TE, 6.8, 4)</t>
  </si>
  <si>
    <t>Tyjae Spears (RB, 5.9, 1)</t>
  </si>
  <si>
    <t>Rachaad White (RB, 6.2, 2)</t>
  </si>
  <si>
    <t>Tank Bigsby (RB, 7.1, 3)</t>
  </si>
  <si>
    <t>Rico Dowdle (RB, 8, 4)</t>
  </si>
  <si>
    <t>Jordan Mason (RB, 4.2, 1)</t>
  </si>
  <si>
    <t>Jaydon Blue (RB, 6.4, 2)</t>
  </si>
  <si>
    <t>Bhayshul Tuten (RB, 6.6, 2)</t>
  </si>
  <si>
    <t>Isaac Guerendo (RB, 5.8, 1)</t>
  </si>
  <si>
    <t>Austin Ekeler (RB, 5.2, 1)</t>
  </si>
  <si>
    <t>J.K. Dobbins (RB, 4.2, 1)</t>
  </si>
  <si>
    <t>Ray Davis (RB, 4.8, 1)</t>
  </si>
  <si>
    <t>Picks</t>
  </si>
  <si>
    <t>Rounds</t>
  </si>
  <si>
    <t>1</t>
  </si>
  <si>
    <t>2</t>
  </si>
  <si>
    <t>3</t>
  </si>
  <si>
    <t>4</t>
  </si>
  <si>
    <t>5</t>
  </si>
  <si>
    <t>6</t>
  </si>
  <si>
    <t>7</t>
  </si>
  <si>
    <t>8</t>
  </si>
  <si>
    <t>9</t>
  </si>
  <si>
    <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</si>
</sst>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32">
    <font>
      <sz val="10"/>
      <color rgb="FF000000"/>
      <name val="Arial"/>
    </font>
    <font>
      <sz val="10"/>
      <name val="Arial"/>
      <family val="2"/>
    </font>
    <font>
      <b/>
      <sz val="18"/>
      <name val="Arial"/>
      <family val="2"/>
    </font>
    <font>
      <b/>
      <sz val="12"/>
      <name val="Arial"/>
      <family val="2"/>
    </font>
    <font>
      <sz val="10"/>
      <name val="Arial"/>
      <family val="2"/>
    </font>
    <font>
      <b/>
      <sz val="12"/>
      <name val="Arial"/>
      <family val="2"/>
    </font>
    <font>
      <b/>
      <u/>
      <sz val="16"/>
      <color rgb="FF000000"/>
      <name val="Arial"/>
      <family val="2"/>
    </font>
    <font>
      <b/>
      <u/>
      <sz val="16"/>
      <color rgb="FF000000"/>
      <name val="Arial"/>
      <family val="2"/>
    </font>
    <font>
      <b/>
      <u/>
      <sz val="16"/>
      <color rgb="FF000000"/>
      <name val="Arial"/>
      <family val="2"/>
    </font>
    <font>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b/>
      <u/>
      <sz val="10"/>
      <color rgb="FF000000"/>
      <name val="Arial"/>
      <family val="2"/>
    </font>
    <font>
      <u/>
      <sz val="10"/>
      <color rgb="FF0000FF"/>
      <name val="Arial"/>
      <family val="2"/>
    </font>
    <font>
      <b/>
      <sz val="10"/>
      <name val="Arial"/>
      <family val="2"/>
    </font>
    <font>
      <b/>
      <sz val="10"/>
      <color rgb="FFFFFFFF"/>
      <name val="Muli"/>
    </font>
    <font>
      <sz val="12"/>
      <color rgb="FF000000"/>
      <name val="Lato"/>
    </font>
    <font>
      <b/>
      <sz val="10"/>
      <color rgb="FF000000"/>
      <name val="&quot;Helvetica Neue&quot;"/>
    </font>
    <font>
      <sz val="10"/>
      <color rgb="FF000000"/>
      <name val="&quot;Helvetica Neue&quot;"/>
    </font>
    <font>
      <b/>
      <sz val="11"/>
      <name val="Calibri"/>
      <family val="2"/>
    </font>
    <font>
      <sz val="11"/>
      <name val="Calibri"/>
      <family val="2"/>
    </font>
    <font>
      <sz val="12"/>
      <name val="Arial"/>
      <family val="2"/>
    </font>
    <font>
      <u/>
      <sz val="10"/>
      <color rgb="FF1155CC"/>
      <name val="Arial"/>
      <family val="2"/>
    </font>
  </fonts>
  <fills count="22">
    <fill>
      <patternFill patternType="none"/>
    </fill>
    <fill>
      <patternFill patternType="gray125"/>
    </fill>
    <fill>
      <patternFill patternType="solid">
        <fgColor rgb="FF00B0F0"/>
        <bgColor rgb="FF00B0F0"/>
      </patternFill>
    </fill>
    <fill>
      <patternFill patternType="solid">
        <fgColor rgb="FF56B4E9"/>
        <bgColor rgb="FF56B4E9"/>
      </patternFill>
    </fill>
    <fill>
      <patternFill patternType="solid">
        <fgColor rgb="FFFF5700"/>
        <bgColor rgb="FFFF5700"/>
      </patternFill>
    </fill>
    <fill>
      <patternFill patternType="solid">
        <fgColor rgb="FFFFFF00"/>
        <bgColor rgb="FFFFFF00"/>
      </patternFill>
    </fill>
    <fill>
      <patternFill patternType="solid">
        <fgColor rgb="FFEA9999"/>
        <bgColor rgb="FFEA9999"/>
      </patternFill>
    </fill>
    <fill>
      <patternFill patternType="solid">
        <fgColor rgb="FFF4CCCC"/>
        <bgColor rgb="FFF4CCCC"/>
      </patternFill>
    </fill>
    <fill>
      <patternFill patternType="solid">
        <fgColor rgb="FFFE6100"/>
        <bgColor rgb="FFFE6100"/>
      </patternFill>
    </fill>
    <fill>
      <patternFill patternType="solid">
        <fgColor rgb="FF92D050"/>
        <bgColor rgb="FF92D050"/>
      </patternFill>
    </fill>
    <fill>
      <patternFill patternType="solid">
        <fgColor rgb="FFC9DAF8"/>
        <bgColor rgb="FFC9DAF8"/>
      </patternFill>
    </fill>
    <fill>
      <patternFill patternType="solid">
        <fgColor rgb="FFFFF2CC"/>
        <bgColor rgb="FFFFF2CC"/>
      </patternFill>
    </fill>
    <fill>
      <patternFill patternType="solid">
        <fgColor rgb="FFFFC000"/>
        <bgColor rgb="FFFFC000"/>
      </patternFill>
    </fill>
    <fill>
      <patternFill patternType="solid">
        <fgColor rgb="FFB4A7D6"/>
        <bgColor rgb="FFB4A7D6"/>
      </patternFill>
    </fill>
    <fill>
      <patternFill patternType="solid">
        <fgColor rgb="FF6D9EEB"/>
        <bgColor rgb="FF6D9EEB"/>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F9CB9C"/>
        <bgColor rgb="FFF9CB9C"/>
      </patternFill>
    </fill>
    <fill>
      <patternFill patternType="solid">
        <fgColor rgb="FF102131"/>
        <bgColor rgb="FF102131"/>
      </patternFill>
    </fill>
    <fill>
      <patternFill patternType="solid">
        <fgColor rgb="FFBDC0BF"/>
        <bgColor rgb="FFBDC0BF"/>
      </patternFill>
    </fill>
    <fill>
      <patternFill patternType="solid">
        <fgColor rgb="FFDBDBDB"/>
        <bgColor rgb="FFDBDBDB"/>
      </patternFill>
    </fill>
  </fills>
  <borders count="9">
    <border>
      <left/>
      <right/>
      <top/>
      <bottom/>
      <diagonal/>
    </border>
    <border>
      <left/>
      <right/>
      <top/>
      <bottom style="thin">
        <color rgb="FF000000"/>
      </bottom>
      <diagonal/>
    </border>
    <border>
      <left/>
      <right/>
      <top/>
      <bottom/>
      <diagonal/>
    </border>
    <border>
      <left style="thin">
        <color rgb="FFA5A5A5"/>
      </left>
      <right style="thin">
        <color rgb="FFA5A5A5"/>
      </right>
      <top style="thin">
        <color rgb="FFA5A5A5"/>
      </top>
      <bottom style="thin">
        <color rgb="FF3F3F3F"/>
      </bottom>
      <diagonal/>
    </border>
    <border>
      <left/>
      <right style="thin">
        <color rgb="FFA5A5A5"/>
      </right>
      <top style="thin">
        <color rgb="FFA5A5A5"/>
      </top>
      <bottom style="thin">
        <color rgb="FF3F3F3F"/>
      </bottom>
      <diagonal/>
    </border>
    <border>
      <left style="thin">
        <color rgb="FFA5A5A5"/>
      </left>
      <right style="thin">
        <color rgb="FF3F3F3F"/>
      </right>
      <top/>
      <bottom style="thin">
        <color rgb="FFA5A5A5"/>
      </bottom>
      <diagonal/>
    </border>
    <border>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7">
    <xf numFmtId="0" fontId="0" fillId="0" borderId="0" xfId="0"/>
    <xf numFmtId="0" fontId="1" fillId="0" borderId="0" xfId="0" applyFont="1" applyAlignment="1">
      <alignment vertical="center"/>
    </xf>
    <xf numFmtId="0" fontId="3" fillId="0" borderId="1" xfId="0" applyFont="1" applyBorder="1" applyAlignment="1">
      <alignment vertical="center"/>
    </xf>
    <xf numFmtId="0" fontId="4" fillId="0" borderId="1" xfId="0" applyFont="1" applyBorder="1" applyAlignment="1">
      <alignment vertical="center"/>
    </xf>
    <xf numFmtId="0" fontId="5" fillId="0" borderId="0" xfId="0" applyFont="1" applyAlignment="1">
      <alignment horizontal="center" vertical="center"/>
    </xf>
    <xf numFmtId="0" fontId="6" fillId="2" borderId="0" xfId="0" applyFont="1" applyFill="1" applyAlignment="1">
      <alignment horizontal="center" vertical="center"/>
    </xf>
    <xf numFmtId="0" fontId="7" fillId="3" borderId="0" xfId="0" applyFont="1" applyFill="1" applyAlignment="1">
      <alignment horizontal="center" vertical="center"/>
    </xf>
    <xf numFmtId="0" fontId="8" fillId="4" borderId="0" xfId="0" applyFont="1" applyFill="1" applyAlignment="1">
      <alignment horizontal="center" vertical="center"/>
    </xf>
    <xf numFmtId="0" fontId="3" fillId="0" borderId="0" xfId="0" applyFont="1" applyAlignment="1">
      <alignment vertical="center"/>
    </xf>
    <xf numFmtId="0" fontId="4" fillId="0" borderId="0" xfId="0" applyFont="1" applyAlignment="1">
      <alignment vertical="center"/>
    </xf>
    <xf numFmtId="0" fontId="3" fillId="0" borderId="1" xfId="0" applyFont="1" applyBorder="1" applyAlignment="1">
      <alignment horizontal="center" vertical="center"/>
    </xf>
    <xf numFmtId="0" fontId="4" fillId="3" borderId="0" xfId="0" applyFont="1" applyFill="1" applyAlignment="1">
      <alignment vertical="center"/>
    </xf>
    <xf numFmtId="0" fontId="9" fillId="5" borderId="0" xfId="0" applyFont="1" applyFill="1" applyAlignment="1">
      <alignment vertical="center"/>
    </xf>
    <xf numFmtId="0" fontId="10" fillId="6" borderId="0" xfId="0" applyFont="1" applyFill="1" applyAlignment="1">
      <alignment horizontal="center" vertical="center"/>
    </xf>
    <xf numFmtId="0" fontId="11" fillId="7" borderId="0" xfId="0" applyFont="1" applyFill="1" applyAlignment="1">
      <alignment horizontal="center" vertical="center"/>
    </xf>
    <xf numFmtId="0" fontId="4" fillId="8" borderId="0" xfId="0" applyFont="1" applyFill="1" applyAlignment="1">
      <alignment vertical="center"/>
    </xf>
    <xf numFmtId="0" fontId="9" fillId="9" borderId="0" xfId="0" applyFont="1" applyFill="1" applyAlignment="1">
      <alignment vertical="center"/>
    </xf>
    <xf numFmtId="0" fontId="12" fillId="10" borderId="0" xfId="0" applyFont="1" applyFill="1" applyAlignment="1">
      <alignment horizontal="center" vertical="center"/>
    </xf>
    <xf numFmtId="0" fontId="9" fillId="2" borderId="0" xfId="0" applyFont="1" applyFill="1" applyAlignment="1">
      <alignment vertical="center"/>
    </xf>
    <xf numFmtId="0" fontId="13" fillId="11" borderId="0" xfId="0" applyFont="1" applyFill="1" applyAlignment="1">
      <alignment horizontal="center" vertical="center"/>
    </xf>
    <xf numFmtId="0" fontId="9" fillId="12" borderId="0" xfId="0" applyFont="1" applyFill="1" applyAlignment="1">
      <alignment vertical="center"/>
    </xf>
    <xf numFmtId="0" fontId="14" fillId="13" borderId="0" xfId="0" applyFont="1" applyFill="1" applyAlignment="1">
      <alignment horizontal="center" vertical="center"/>
    </xf>
    <xf numFmtId="0" fontId="15" fillId="13" borderId="0" xfId="0" applyFont="1" applyFill="1" applyAlignment="1">
      <alignment horizontal="center" vertical="center"/>
    </xf>
    <xf numFmtId="164" fontId="1" fillId="0" borderId="0" xfId="0" applyNumberFormat="1" applyFont="1" applyAlignment="1">
      <alignment horizontal="center" vertical="center"/>
    </xf>
    <xf numFmtId="0" fontId="4" fillId="0" borderId="2" xfId="0" applyFont="1" applyBorder="1" applyAlignment="1">
      <alignment vertical="center"/>
    </xf>
    <xf numFmtId="0" fontId="16" fillId="14" borderId="0" xfId="0" applyFont="1" applyFill="1" applyAlignment="1">
      <alignment horizontal="center" vertical="center"/>
    </xf>
    <xf numFmtId="0" fontId="1" fillId="0" borderId="0" xfId="0" applyFont="1"/>
    <xf numFmtId="0" fontId="17" fillId="14" borderId="0" xfId="0" applyFont="1" applyFill="1" applyAlignment="1">
      <alignment horizontal="center" vertical="center"/>
    </xf>
    <xf numFmtId="0" fontId="18" fillId="15" borderId="0" xfId="0" applyFont="1" applyFill="1" applyAlignment="1">
      <alignment horizontal="center" vertical="center"/>
    </xf>
    <xf numFmtId="0" fontId="1" fillId="0" borderId="1" xfId="0" applyFont="1" applyBorder="1" applyAlignment="1">
      <alignment vertical="center"/>
    </xf>
    <xf numFmtId="0" fontId="19" fillId="16" borderId="0" xfId="0" applyFont="1" applyFill="1" applyAlignment="1">
      <alignment horizontal="center"/>
    </xf>
    <xf numFmtId="0" fontId="20" fillId="17" borderId="0" xfId="0" applyFont="1" applyFill="1" applyAlignment="1">
      <alignment horizontal="center"/>
    </xf>
    <xf numFmtId="0" fontId="21" fillId="18" borderId="0" xfId="0" applyFont="1" applyFill="1" applyAlignment="1">
      <alignment horizontal="center"/>
    </xf>
    <xf numFmtId="0" fontId="22" fillId="0" borderId="0" xfId="0" applyFont="1" applyAlignment="1">
      <alignment vertical="center"/>
    </xf>
    <xf numFmtId="0" fontId="24" fillId="19" borderId="0" xfId="0" applyFont="1" applyFill="1"/>
    <xf numFmtId="0" fontId="25" fillId="19" borderId="0" xfId="0" applyFont="1" applyFill="1"/>
    <xf numFmtId="0" fontId="26" fillId="20" borderId="3" xfId="0" applyFont="1" applyFill="1" applyBorder="1" applyAlignment="1">
      <alignment vertical="top"/>
    </xf>
    <xf numFmtId="0" fontId="26" fillId="20" borderId="4" xfId="0" applyFont="1" applyFill="1" applyBorder="1" applyAlignment="1">
      <alignment vertical="top"/>
    </xf>
    <xf numFmtId="0" fontId="26" fillId="21" borderId="5" xfId="0" applyFont="1" applyFill="1" applyBorder="1" applyAlignment="1">
      <alignment horizontal="right" vertical="top"/>
    </xf>
    <xf numFmtId="0" fontId="27" fillId="0" borderId="6" xfId="0" applyFont="1" applyBorder="1" applyAlignment="1">
      <alignment horizontal="right" vertical="top"/>
    </xf>
    <xf numFmtId="0" fontId="27" fillId="0" borderId="6" xfId="0" applyFont="1" applyBorder="1" applyAlignment="1">
      <alignment vertical="top"/>
    </xf>
    <xf numFmtId="0" fontId="27" fillId="0" borderId="7" xfId="0" applyFont="1" applyBorder="1" applyAlignment="1">
      <alignment vertical="top"/>
    </xf>
    <xf numFmtId="0" fontId="27" fillId="0" borderId="7" xfId="0" applyFont="1" applyBorder="1" applyAlignment="1">
      <alignment horizontal="right" vertical="top"/>
    </xf>
    <xf numFmtId="0" fontId="26" fillId="21" borderId="5" xfId="0" applyFont="1" applyFill="1" applyBorder="1" applyAlignment="1">
      <alignment vertical="top"/>
    </xf>
    <xf numFmtId="0" fontId="28" fillId="0" borderId="8" xfId="0" applyFont="1" applyBorder="1" applyAlignment="1">
      <alignment horizontal="center" vertical="top"/>
    </xf>
    <xf numFmtId="0" fontId="29" fillId="0" borderId="0" xfId="0" applyFont="1"/>
    <xf numFmtId="49" fontId="1" fillId="0" borderId="0" xfId="0" applyNumberFormat="1" applyFont="1" applyAlignment="1">
      <alignment wrapText="1"/>
    </xf>
    <xf numFmtId="0" fontId="1" fillId="0" borderId="0" xfId="0" applyFont="1" applyAlignment="1">
      <alignment wrapText="1"/>
    </xf>
    <xf numFmtId="0" fontId="23" fillId="0" borderId="0" xfId="0" applyFont="1" applyAlignment="1">
      <alignment wrapText="1"/>
    </xf>
    <xf numFmtId="0" fontId="30" fillId="0" borderId="0" xfId="0" applyFont="1" applyAlignment="1">
      <alignment wrapText="1"/>
    </xf>
    <xf numFmtId="0" fontId="4" fillId="0" borderId="0" xfId="0" applyFont="1"/>
    <xf numFmtId="0" fontId="4" fillId="0" borderId="0" xfId="0" applyFont="1" applyAlignment="1">
      <alignment horizontal="center"/>
    </xf>
    <xf numFmtId="49" fontId="1" fillId="0" borderId="0" xfId="0" applyNumberFormat="1" applyFont="1"/>
    <xf numFmtId="0" fontId="2" fillId="0" borderId="0" xfId="0" applyFont="1" applyAlignment="1">
      <alignment vertical="center"/>
    </xf>
    <xf numFmtId="0" fontId="0" fillId="0" borderId="0" xfId="0"/>
    <xf numFmtId="0" fontId="4" fillId="0" borderId="0" xfId="0" applyFont="1" applyAlignment="1">
      <alignment vertical="center" wrapText="1"/>
    </xf>
    <xf numFmtId="0" fontId="23" fillId="0" borderId="0" xfId="0" applyFont="1" applyAlignment="1">
      <alignment vertical="center" wrapText="1"/>
    </xf>
  </cellXfs>
  <cellStyles count="1">
    <cellStyle name="Normal" xfId="0" builtinId="0"/>
  </cellStyles>
  <dxfs count="27">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1C232"/>
          <bgColor rgb="FFF1C232"/>
        </patternFill>
      </fill>
    </dxf>
    <dxf>
      <fill>
        <patternFill patternType="solid">
          <fgColor rgb="FF6AA84F"/>
          <bgColor rgb="FF6AA84F"/>
        </patternFill>
      </fill>
    </dxf>
    <dxf>
      <fill>
        <patternFill patternType="solid">
          <fgColor rgb="FF6D9EEB"/>
          <bgColor rgb="FF6D9EEB"/>
        </patternFill>
      </fill>
    </dxf>
    <dxf>
      <fill>
        <patternFill patternType="solid">
          <fgColor rgb="FFFFFF00"/>
          <bgColor rgb="FFFFFF00"/>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
      <fill>
        <patternFill patternType="solid">
          <fgColor rgb="FFFE7F1D"/>
          <bgColor rgb="FFFE7F1D"/>
        </patternFill>
      </fill>
    </dxf>
    <dxf>
      <fill>
        <patternFill patternType="solid">
          <fgColor rgb="FFE06666"/>
          <bgColor rgb="FFE06666"/>
        </patternFill>
      </fill>
    </dxf>
    <dxf>
      <fill>
        <patternFill patternType="solid">
          <fgColor rgb="FFFFE599"/>
          <bgColor rgb="FFFFE599"/>
        </patternFill>
      </fill>
    </dxf>
    <dxf>
      <font>
        <color rgb="FF000000"/>
      </font>
      <fill>
        <patternFill patternType="solid">
          <fgColor rgb="FFB6D7A8"/>
          <bgColor rgb="FFB6D7A8"/>
        </patternFill>
      </fill>
    </dxf>
    <dxf>
      <fill>
        <patternFill patternType="solid">
          <fgColor rgb="FF4A86E8"/>
          <bgColor rgb="FF4A86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reddit.com/user/JuiceBoxOne" TargetMode="External"/><Relationship Id="rId2" Type="http://schemas.openxmlformats.org/officeDocument/2006/relationships/hyperlink" Target="https://firstseed.beehiiv.com/" TargetMode="External"/><Relationship Id="rId1" Type="http://schemas.openxmlformats.org/officeDocument/2006/relationships/hyperlink" Target="https://twitter.com/KyleKrajewski" TargetMode="External"/><Relationship Id="rId5" Type="http://schemas.openxmlformats.org/officeDocument/2006/relationships/hyperlink" Target="https://sleeper.app/" TargetMode="External"/><Relationship Id="rId4" Type="http://schemas.openxmlformats.org/officeDocument/2006/relationships/hyperlink" Target="https://docs.google.com/spreadsheets/d/1HTixsrRtIIpnUafVkOIhET83vCFjKXSUGiG24-5jTHY/cop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8"/>
  <sheetViews>
    <sheetView showGridLines="0" workbookViewId="0"/>
  </sheetViews>
  <sheetFormatPr baseColWidth="10" defaultColWidth="12.5" defaultRowHeight="15.75" customHeight="1"/>
  <cols>
    <col min="1" max="1" width="1.83203125" customWidth="1"/>
    <col min="2" max="2" width="16.5" customWidth="1"/>
    <col min="7" max="7" width="8.5" customWidth="1"/>
    <col min="8" max="8" width="18.5" customWidth="1"/>
    <col min="10" max="10" width="23.33203125" customWidth="1"/>
  </cols>
  <sheetData>
    <row r="1" spans="1:26" ht="23">
      <c r="A1" s="1"/>
      <c r="B1" s="53" t="s">
        <v>0</v>
      </c>
      <c r="C1" s="54"/>
      <c r="D1" s="54"/>
      <c r="E1" s="54"/>
      <c r="F1" s="54"/>
      <c r="G1" s="1"/>
      <c r="H1" s="1"/>
      <c r="I1" s="1"/>
      <c r="J1" s="1"/>
      <c r="K1" s="1"/>
      <c r="L1" s="1"/>
      <c r="M1" s="1"/>
      <c r="N1" s="1"/>
      <c r="O1" s="1"/>
      <c r="P1" s="1"/>
      <c r="Q1" s="1"/>
      <c r="R1" s="1"/>
      <c r="S1" s="1"/>
      <c r="T1" s="1"/>
      <c r="U1" s="1"/>
      <c r="V1" s="1"/>
      <c r="W1" s="1"/>
      <c r="X1" s="1"/>
      <c r="Y1" s="1"/>
      <c r="Z1" s="1"/>
    </row>
    <row r="2" spans="1:26" ht="11.25" customHeight="1">
      <c r="A2" s="1"/>
      <c r="B2" s="1"/>
      <c r="C2" s="1"/>
      <c r="D2" s="1"/>
      <c r="E2" s="1"/>
      <c r="F2" s="1"/>
      <c r="G2" s="1"/>
      <c r="H2" s="1"/>
      <c r="I2" s="1"/>
      <c r="J2" s="1"/>
      <c r="K2" s="1"/>
      <c r="L2" s="1"/>
      <c r="M2" s="1"/>
      <c r="N2" s="1"/>
      <c r="O2" s="1"/>
      <c r="P2" s="1"/>
      <c r="Q2" s="1"/>
      <c r="R2" s="1"/>
      <c r="S2" s="1"/>
      <c r="T2" s="1"/>
      <c r="U2" s="1"/>
      <c r="V2" s="1"/>
      <c r="W2" s="1"/>
      <c r="X2" s="1"/>
      <c r="Y2" s="1"/>
      <c r="Z2" s="1"/>
    </row>
    <row r="3" spans="1:26" ht="17.25" customHeight="1">
      <c r="A3" s="1"/>
      <c r="B3" s="2" t="s">
        <v>1</v>
      </c>
      <c r="C3" s="3"/>
      <c r="D3" s="3"/>
      <c r="E3" s="3"/>
      <c r="F3" s="3"/>
      <c r="G3" s="1"/>
      <c r="H3" s="4" t="s">
        <v>2</v>
      </c>
      <c r="I3" s="1"/>
      <c r="J3" s="4" t="s">
        <v>3</v>
      </c>
      <c r="K3" s="1"/>
      <c r="L3" s="1"/>
      <c r="M3" s="1"/>
      <c r="N3" s="1"/>
      <c r="O3" s="1"/>
      <c r="P3" s="1"/>
      <c r="Q3" s="1"/>
      <c r="R3" s="1"/>
      <c r="S3" s="1"/>
      <c r="T3" s="1"/>
      <c r="U3" s="1"/>
      <c r="V3" s="1"/>
      <c r="W3" s="1"/>
      <c r="X3" s="1"/>
      <c r="Y3" s="1"/>
      <c r="Z3" s="1"/>
    </row>
    <row r="4" spans="1:26" ht="37.5" customHeight="1">
      <c r="A4" s="1"/>
      <c r="B4" s="55" t="s">
        <v>4</v>
      </c>
      <c r="C4" s="54"/>
      <c r="D4" s="54"/>
      <c r="E4" s="54"/>
      <c r="F4" s="54"/>
      <c r="G4" s="1"/>
      <c r="H4" s="5" t="s">
        <v>5</v>
      </c>
      <c r="I4" s="1"/>
      <c r="J4" s="6" t="s">
        <v>6</v>
      </c>
      <c r="K4" s="1"/>
      <c r="L4" s="1"/>
      <c r="M4" s="1"/>
      <c r="N4" s="1"/>
      <c r="O4" s="1"/>
      <c r="P4" s="1"/>
      <c r="Q4" s="1"/>
      <c r="R4" s="1"/>
      <c r="S4" s="1"/>
      <c r="T4" s="1"/>
      <c r="U4" s="1"/>
      <c r="V4" s="1"/>
      <c r="W4" s="1"/>
      <c r="X4" s="1"/>
      <c r="Y4" s="1"/>
      <c r="Z4" s="1"/>
    </row>
    <row r="5" spans="1:26" ht="37.5" customHeight="1">
      <c r="A5" s="1"/>
      <c r="B5" s="54"/>
      <c r="C5" s="54"/>
      <c r="D5" s="54"/>
      <c r="E5" s="54"/>
      <c r="F5" s="54"/>
      <c r="G5" s="1"/>
      <c r="H5" s="7" t="s">
        <v>7</v>
      </c>
      <c r="I5" s="1"/>
      <c r="J5" s="1"/>
      <c r="K5" s="1"/>
      <c r="L5" s="1"/>
      <c r="M5" s="1"/>
      <c r="N5" s="1"/>
      <c r="O5" s="1"/>
      <c r="P5" s="1"/>
      <c r="Q5" s="1"/>
      <c r="R5" s="1"/>
      <c r="S5" s="1"/>
      <c r="T5" s="1"/>
      <c r="U5" s="1"/>
      <c r="V5" s="1"/>
      <c r="W5" s="1"/>
      <c r="X5" s="1"/>
      <c r="Y5" s="1"/>
      <c r="Z5" s="1"/>
    </row>
    <row r="6" spans="1:26" ht="11.25" customHeight="1">
      <c r="A6" s="1"/>
      <c r="B6" s="8"/>
      <c r="C6" s="9"/>
      <c r="D6" s="9"/>
      <c r="E6" s="9"/>
      <c r="F6" s="9"/>
      <c r="G6" s="1"/>
      <c r="H6" s="1"/>
      <c r="I6" s="1"/>
      <c r="J6" s="1"/>
      <c r="K6" s="1"/>
      <c r="L6" s="1"/>
      <c r="M6" s="1"/>
      <c r="N6" s="1"/>
      <c r="O6" s="1"/>
      <c r="P6" s="1"/>
      <c r="Q6" s="1"/>
      <c r="R6" s="1"/>
      <c r="S6" s="1"/>
      <c r="T6" s="1"/>
      <c r="U6" s="1"/>
      <c r="V6" s="1"/>
      <c r="W6" s="1"/>
      <c r="X6" s="1"/>
      <c r="Y6" s="1"/>
      <c r="Z6" s="1"/>
    </row>
    <row r="7" spans="1:26" ht="17.25" customHeight="1">
      <c r="A7" s="1"/>
      <c r="B7" s="2" t="s">
        <v>8</v>
      </c>
      <c r="C7" s="3"/>
      <c r="D7" s="3"/>
      <c r="E7" s="3"/>
      <c r="F7" s="3"/>
      <c r="G7" s="1"/>
      <c r="H7" s="10" t="s">
        <v>9</v>
      </c>
      <c r="I7" s="1"/>
      <c r="J7" s="10" t="s">
        <v>10</v>
      </c>
      <c r="K7" s="1"/>
      <c r="L7" s="1"/>
      <c r="M7" s="1"/>
      <c r="N7" s="1"/>
      <c r="O7" s="1"/>
      <c r="P7" s="1"/>
      <c r="Q7" s="1"/>
      <c r="R7" s="1"/>
      <c r="S7" s="1"/>
      <c r="T7" s="1"/>
      <c r="U7" s="1"/>
      <c r="V7" s="1"/>
      <c r="W7" s="1"/>
      <c r="X7" s="1"/>
      <c r="Y7" s="1"/>
      <c r="Z7" s="1"/>
    </row>
    <row r="8" spans="1:26" ht="17.25" customHeight="1">
      <c r="A8" s="1"/>
      <c r="B8" s="11" t="s">
        <v>11</v>
      </c>
      <c r="C8" s="9"/>
      <c r="D8" s="12" t="s">
        <v>12</v>
      </c>
      <c r="E8" s="9"/>
      <c r="F8" s="9"/>
      <c r="G8" s="1"/>
      <c r="H8" s="13" t="s">
        <v>13</v>
      </c>
      <c r="I8" s="1"/>
      <c r="J8" s="14" t="s">
        <v>14</v>
      </c>
      <c r="K8" s="1"/>
      <c r="L8" s="1"/>
      <c r="M8" s="1"/>
      <c r="N8" s="1"/>
      <c r="O8" s="1"/>
      <c r="P8" s="1"/>
      <c r="Q8" s="1"/>
      <c r="R8" s="1"/>
      <c r="S8" s="1"/>
      <c r="T8" s="1"/>
      <c r="U8" s="1"/>
      <c r="V8" s="1"/>
      <c r="W8" s="1"/>
      <c r="X8" s="1"/>
      <c r="Y8" s="1"/>
      <c r="Z8" s="1"/>
    </row>
    <row r="9" spans="1:26" ht="17.25" customHeight="1">
      <c r="A9" s="1"/>
      <c r="B9" s="15" t="s">
        <v>15</v>
      </c>
      <c r="C9" s="9"/>
      <c r="D9" s="16" t="s">
        <v>16</v>
      </c>
      <c r="E9" s="9"/>
      <c r="F9" s="9"/>
      <c r="G9" s="1"/>
      <c r="H9" s="13" t="s">
        <v>17</v>
      </c>
      <c r="I9" s="1"/>
      <c r="J9" s="17" t="s">
        <v>18</v>
      </c>
      <c r="K9" s="1"/>
      <c r="L9" s="1"/>
      <c r="M9" s="1"/>
      <c r="N9" s="1"/>
      <c r="O9" s="1"/>
      <c r="P9" s="1"/>
      <c r="Q9" s="1"/>
      <c r="R9" s="1"/>
      <c r="S9" s="1"/>
      <c r="T9" s="1"/>
      <c r="U9" s="1"/>
      <c r="V9" s="1"/>
      <c r="W9" s="1"/>
      <c r="X9" s="1"/>
      <c r="Y9" s="1"/>
      <c r="Z9" s="1"/>
    </row>
    <row r="10" spans="1:26" ht="17.25" customHeight="1">
      <c r="A10" s="1"/>
      <c r="B10" s="9"/>
      <c r="C10" s="9"/>
      <c r="D10" s="18" t="s">
        <v>19</v>
      </c>
      <c r="E10" s="9"/>
      <c r="F10" s="9"/>
      <c r="G10" s="1"/>
      <c r="H10" s="13" t="s">
        <v>20</v>
      </c>
      <c r="I10" s="1"/>
      <c r="J10" s="19" t="s">
        <v>21</v>
      </c>
      <c r="K10" s="1"/>
      <c r="L10" s="1"/>
      <c r="M10" s="1"/>
      <c r="N10" s="1"/>
      <c r="O10" s="1"/>
      <c r="P10" s="1"/>
      <c r="Q10" s="1"/>
      <c r="R10" s="1"/>
      <c r="S10" s="1"/>
      <c r="T10" s="1"/>
      <c r="U10" s="1"/>
      <c r="V10" s="1"/>
      <c r="W10" s="1"/>
      <c r="X10" s="1"/>
      <c r="Y10" s="1"/>
      <c r="Z10" s="1"/>
    </row>
    <row r="11" spans="1:26" ht="17.25" customHeight="1">
      <c r="A11" s="1"/>
      <c r="B11" s="9"/>
      <c r="C11" s="9"/>
      <c r="D11" s="20" t="s">
        <v>22</v>
      </c>
      <c r="E11" s="9"/>
      <c r="F11" s="9"/>
      <c r="G11" s="1"/>
      <c r="H11" s="21" t="s">
        <v>23</v>
      </c>
      <c r="I11" s="1"/>
      <c r="J11" s="1"/>
      <c r="K11" s="1"/>
      <c r="L11" s="1"/>
      <c r="M11" s="1"/>
      <c r="N11" s="1"/>
      <c r="O11" s="1"/>
      <c r="P11" s="1"/>
      <c r="Q11" s="1"/>
      <c r="R11" s="1"/>
      <c r="S11" s="1"/>
      <c r="T11" s="1"/>
      <c r="U11" s="1"/>
      <c r="V11" s="1"/>
      <c r="W11" s="1"/>
      <c r="X11" s="1"/>
      <c r="Y11" s="1"/>
      <c r="Z11" s="1"/>
    </row>
    <row r="12" spans="1:26" ht="17.25" customHeight="1">
      <c r="A12" s="1"/>
      <c r="B12" s="9"/>
      <c r="C12" s="9"/>
      <c r="D12" s="9"/>
      <c r="E12" s="9"/>
      <c r="F12" s="9"/>
      <c r="G12" s="1"/>
      <c r="H12" s="22" t="s">
        <v>24</v>
      </c>
      <c r="I12" s="1"/>
      <c r="J12" s="10" t="s">
        <v>25</v>
      </c>
      <c r="K12" s="1"/>
      <c r="L12" s="1"/>
      <c r="M12" s="1"/>
      <c r="N12" s="1"/>
      <c r="O12" s="1"/>
      <c r="P12" s="1"/>
      <c r="Q12" s="1"/>
      <c r="R12" s="1"/>
      <c r="S12" s="1"/>
      <c r="T12" s="1"/>
      <c r="U12" s="1"/>
      <c r="V12" s="1"/>
      <c r="W12" s="1"/>
      <c r="X12" s="1"/>
      <c r="Y12" s="1"/>
      <c r="Z12" s="1"/>
    </row>
    <row r="13" spans="1:26" ht="17.25" customHeight="1">
      <c r="A13" s="1"/>
      <c r="B13" s="2" t="s">
        <v>3</v>
      </c>
      <c r="C13" s="3"/>
      <c r="D13" s="3"/>
      <c r="E13" s="3"/>
      <c r="F13" s="3"/>
      <c r="G13" s="1"/>
      <c r="H13" s="22" t="s">
        <v>26</v>
      </c>
      <c r="I13" s="1"/>
      <c r="J13" s="23">
        <v>45841</v>
      </c>
      <c r="K13" s="1"/>
      <c r="L13" s="1"/>
      <c r="M13" s="1"/>
      <c r="N13" s="1"/>
      <c r="O13" s="1"/>
      <c r="P13" s="1"/>
      <c r="Q13" s="1"/>
      <c r="R13" s="1"/>
      <c r="S13" s="1"/>
      <c r="T13" s="1"/>
      <c r="U13" s="1"/>
      <c r="V13" s="1"/>
      <c r="W13" s="1"/>
      <c r="X13" s="1"/>
      <c r="Y13" s="1"/>
      <c r="Z13" s="1"/>
    </row>
    <row r="14" spans="1:26" ht="17.25" customHeight="1">
      <c r="A14" s="1"/>
      <c r="B14" s="24" t="s">
        <v>27</v>
      </c>
      <c r="C14" s="24"/>
      <c r="D14" s="24"/>
      <c r="E14" s="24"/>
      <c r="F14" s="9"/>
      <c r="G14" s="1"/>
      <c r="H14" s="25" t="s">
        <v>28</v>
      </c>
      <c r="I14" s="1"/>
      <c r="J14" s="1"/>
      <c r="K14" s="1"/>
      <c r="L14" s="1"/>
      <c r="M14" s="1"/>
      <c r="N14" s="1"/>
      <c r="O14" s="1"/>
      <c r="P14" s="1"/>
      <c r="Q14" s="1"/>
      <c r="R14" s="1"/>
      <c r="S14" s="1"/>
      <c r="T14" s="1"/>
      <c r="U14" s="1"/>
      <c r="V14" s="1"/>
      <c r="W14" s="1"/>
      <c r="X14" s="1"/>
      <c r="Y14" s="1"/>
      <c r="Z14" s="1"/>
    </row>
    <row r="15" spans="1:26" ht="17.25" customHeight="1">
      <c r="A15" s="1"/>
      <c r="B15" s="26" t="s">
        <v>29</v>
      </c>
      <c r="C15" s="1"/>
      <c r="D15" s="1"/>
      <c r="E15" s="1"/>
      <c r="F15" s="1"/>
      <c r="G15" s="1"/>
      <c r="H15" s="27" t="s">
        <v>30</v>
      </c>
      <c r="I15" s="1"/>
      <c r="J15" s="10" t="s">
        <v>31</v>
      </c>
      <c r="K15" s="1"/>
      <c r="L15" s="1"/>
      <c r="M15" s="1"/>
      <c r="N15" s="1"/>
      <c r="O15" s="1"/>
      <c r="P15" s="1"/>
      <c r="Q15" s="1"/>
      <c r="R15" s="1"/>
      <c r="S15" s="1"/>
      <c r="T15" s="1"/>
      <c r="U15" s="1"/>
      <c r="V15" s="1"/>
      <c r="W15" s="1"/>
      <c r="X15" s="1"/>
      <c r="Y15" s="1"/>
      <c r="Z15" s="1"/>
    </row>
    <row r="16" spans="1:26" ht="17.25" customHeight="1">
      <c r="A16" s="1"/>
      <c r="B16" s="1"/>
      <c r="C16" s="1"/>
      <c r="D16" s="1"/>
      <c r="E16" s="1"/>
      <c r="F16" s="1"/>
      <c r="G16" s="1"/>
      <c r="H16" s="27" t="s">
        <v>32</v>
      </c>
      <c r="I16" s="1"/>
      <c r="J16" s="28" t="s">
        <v>33</v>
      </c>
      <c r="K16" s="1"/>
      <c r="L16" s="1"/>
      <c r="M16" s="1"/>
      <c r="N16" s="1"/>
      <c r="O16" s="1"/>
      <c r="P16" s="1"/>
      <c r="Q16" s="1"/>
      <c r="R16" s="1"/>
      <c r="S16" s="1"/>
      <c r="T16" s="1"/>
      <c r="U16" s="1"/>
      <c r="V16" s="1"/>
      <c r="W16" s="1"/>
      <c r="X16" s="1"/>
      <c r="Y16" s="1"/>
      <c r="Z16" s="1"/>
    </row>
    <row r="17" spans="1:26" ht="17.25" customHeight="1">
      <c r="A17" s="1"/>
      <c r="B17" s="2" t="s">
        <v>34</v>
      </c>
      <c r="C17" s="29"/>
      <c r="D17" s="29"/>
      <c r="E17" s="29"/>
      <c r="F17" s="29"/>
      <c r="G17" s="1"/>
      <c r="H17" s="30" t="s">
        <v>35</v>
      </c>
      <c r="J17" s="1"/>
      <c r="K17" s="1"/>
      <c r="L17" s="1"/>
      <c r="M17" s="1"/>
      <c r="N17" s="1"/>
      <c r="O17" s="1"/>
      <c r="P17" s="1"/>
      <c r="Q17" s="1"/>
      <c r="R17" s="1"/>
      <c r="S17" s="1"/>
      <c r="T17" s="1"/>
      <c r="U17" s="1"/>
      <c r="V17" s="1"/>
      <c r="W17" s="1"/>
      <c r="X17" s="1"/>
      <c r="Y17" s="1"/>
      <c r="Z17" s="1"/>
    </row>
    <row r="18" spans="1:26" ht="17.25" customHeight="1">
      <c r="A18" s="1"/>
      <c r="B18" s="1" t="s">
        <v>36</v>
      </c>
      <c r="C18" s="1"/>
      <c r="D18" s="1"/>
      <c r="E18" s="1"/>
      <c r="F18" s="1"/>
      <c r="G18" s="1"/>
      <c r="H18" s="31" t="s">
        <v>37</v>
      </c>
      <c r="J18" s="1"/>
      <c r="K18" s="1"/>
      <c r="L18" s="1"/>
      <c r="M18" s="1"/>
      <c r="N18" s="1"/>
      <c r="O18" s="1"/>
      <c r="P18" s="1"/>
      <c r="Q18" s="1"/>
      <c r="R18" s="1"/>
      <c r="S18" s="1"/>
      <c r="T18" s="1"/>
      <c r="U18" s="1"/>
      <c r="V18" s="1"/>
      <c r="W18" s="1"/>
      <c r="X18" s="1"/>
      <c r="Y18" s="1"/>
      <c r="Z18" s="1"/>
    </row>
    <row r="19" spans="1:26" ht="17.25" customHeight="1">
      <c r="A19" s="1"/>
      <c r="B19" s="1" t="s">
        <v>38</v>
      </c>
      <c r="C19" s="1"/>
      <c r="D19" s="1"/>
      <c r="E19" s="1"/>
      <c r="F19" s="1"/>
      <c r="G19" s="1"/>
      <c r="H19" s="32" t="s">
        <v>39</v>
      </c>
      <c r="J19" s="1"/>
      <c r="K19" s="1"/>
      <c r="L19" s="1"/>
      <c r="M19" s="1"/>
      <c r="N19" s="1"/>
      <c r="O19" s="1"/>
      <c r="P19" s="1"/>
      <c r="Q19" s="1"/>
      <c r="R19" s="1"/>
      <c r="S19" s="1"/>
      <c r="T19" s="1"/>
      <c r="U19" s="1"/>
      <c r="V19" s="1"/>
      <c r="W19" s="1"/>
      <c r="X19" s="1"/>
      <c r="Y19" s="1"/>
      <c r="Z19" s="1"/>
    </row>
    <row r="20" spans="1:26" ht="17.25" customHeight="1">
      <c r="A20" s="1"/>
      <c r="B20" s="33" t="s">
        <v>40</v>
      </c>
      <c r="C20" s="1"/>
      <c r="D20" s="1"/>
      <c r="E20" s="1"/>
      <c r="F20" s="1"/>
      <c r="G20" s="1"/>
      <c r="H20" s="1"/>
      <c r="J20" s="1"/>
      <c r="K20" s="1"/>
      <c r="L20" s="1"/>
      <c r="M20" s="1"/>
      <c r="N20" s="1"/>
      <c r="O20" s="1"/>
      <c r="P20" s="1"/>
      <c r="Q20" s="1"/>
      <c r="R20" s="1"/>
      <c r="S20" s="1"/>
      <c r="T20" s="1"/>
      <c r="U20" s="1"/>
      <c r="V20" s="1"/>
      <c r="W20" s="1"/>
      <c r="X20" s="1"/>
      <c r="Y20" s="1"/>
      <c r="Z20" s="1"/>
    </row>
    <row r="21" spans="1:26" ht="17.25" customHeight="1">
      <c r="A21" s="1"/>
      <c r="C21" s="1"/>
      <c r="D21" s="1"/>
      <c r="E21" s="1"/>
      <c r="F21" s="1"/>
      <c r="G21" s="1"/>
      <c r="I21" s="1"/>
      <c r="J21" s="1"/>
      <c r="K21" s="1"/>
      <c r="L21" s="1"/>
      <c r="M21" s="1"/>
      <c r="N21" s="1"/>
      <c r="O21" s="1"/>
      <c r="P21" s="1"/>
      <c r="Q21" s="1"/>
      <c r="R21" s="1"/>
      <c r="S21" s="1"/>
      <c r="T21" s="1"/>
      <c r="U21" s="1"/>
      <c r="V21" s="1"/>
      <c r="W21" s="1"/>
      <c r="X21" s="1"/>
      <c r="Y21" s="1"/>
      <c r="Z21" s="1"/>
    </row>
    <row r="22" spans="1:26" ht="17.25" customHeight="1">
      <c r="A22" s="1"/>
      <c r="B22" s="2" t="s">
        <v>41</v>
      </c>
      <c r="C22" s="29"/>
      <c r="D22" s="29"/>
      <c r="E22" s="29"/>
      <c r="F22" s="29"/>
      <c r="G22" s="1"/>
      <c r="I22" s="1"/>
      <c r="J22" s="1"/>
      <c r="K22" s="1"/>
      <c r="L22" s="1"/>
      <c r="M22" s="1"/>
      <c r="N22" s="1"/>
      <c r="O22" s="1"/>
      <c r="P22" s="1"/>
      <c r="Q22" s="1"/>
      <c r="R22" s="1"/>
      <c r="S22" s="1"/>
      <c r="T22" s="1"/>
      <c r="U22" s="1"/>
      <c r="V22" s="1"/>
      <c r="W22" s="1"/>
      <c r="X22" s="1"/>
      <c r="Y22" s="1"/>
      <c r="Z22" s="1"/>
    </row>
    <row r="23" spans="1:26" ht="17.25" customHeight="1">
      <c r="A23" s="1"/>
      <c r="B23" s="56" t="s">
        <v>42</v>
      </c>
      <c r="C23" s="54"/>
      <c r="D23" s="54"/>
      <c r="E23" s="54"/>
      <c r="F23" s="54"/>
      <c r="G23" s="1"/>
      <c r="I23" s="1"/>
      <c r="J23" s="1"/>
      <c r="K23" s="1"/>
      <c r="L23" s="1"/>
      <c r="M23" s="1"/>
      <c r="N23" s="1"/>
      <c r="O23" s="1"/>
      <c r="P23" s="1"/>
      <c r="Q23" s="1"/>
      <c r="R23" s="1"/>
      <c r="S23" s="1"/>
      <c r="T23" s="1"/>
      <c r="U23" s="1"/>
      <c r="V23" s="1"/>
      <c r="W23" s="1"/>
      <c r="X23" s="1"/>
      <c r="Y23" s="1"/>
      <c r="Z23" s="1"/>
    </row>
    <row r="24" spans="1:26" ht="17.25" customHeight="1">
      <c r="A24" s="1"/>
      <c r="B24" s="54"/>
      <c r="C24" s="54"/>
      <c r="D24" s="54"/>
      <c r="E24" s="54"/>
      <c r="F24" s="54"/>
      <c r="G24" s="1"/>
      <c r="H24" s="1"/>
      <c r="I24" s="1"/>
      <c r="J24" s="1"/>
      <c r="K24" s="1"/>
      <c r="L24" s="1"/>
      <c r="M24" s="1"/>
      <c r="N24" s="1"/>
      <c r="O24" s="1"/>
      <c r="P24" s="1"/>
      <c r="Q24" s="1"/>
      <c r="R24" s="1"/>
      <c r="S24" s="1"/>
      <c r="T24" s="1"/>
      <c r="U24" s="1"/>
      <c r="V24" s="1"/>
      <c r="W24" s="1"/>
      <c r="X24" s="1"/>
      <c r="Y24" s="1"/>
      <c r="Z24" s="1"/>
    </row>
    <row r="25" spans="1:26" ht="17.25" customHeight="1">
      <c r="A25" s="1"/>
      <c r="B25" s="54"/>
      <c r="C25" s="54"/>
      <c r="D25" s="54"/>
      <c r="E25" s="54"/>
      <c r="F25" s="54"/>
      <c r="G25" s="1"/>
      <c r="H25" s="1"/>
      <c r="I25" s="1"/>
      <c r="J25" s="1"/>
      <c r="K25" s="1"/>
      <c r="L25" s="1"/>
      <c r="M25" s="1"/>
      <c r="N25" s="1"/>
      <c r="O25" s="1"/>
      <c r="P25" s="1"/>
      <c r="Q25" s="1"/>
      <c r="R25" s="1"/>
      <c r="S25" s="1"/>
      <c r="T25" s="1"/>
      <c r="U25" s="1"/>
      <c r="V25" s="1"/>
      <c r="W25" s="1"/>
      <c r="X25" s="1"/>
      <c r="Y25" s="1"/>
      <c r="Z25" s="1"/>
    </row>
    <row r="26" spans="1:26" ht="17.25" customHeight="1">
      <c r="A26" s="1"/>
      <c r="B26" s="54"/>
      <c r="C26" s="54"/>
      <c r="D26" s="54"/>
      <c r="E26" s="54"/>
      <c r="F26" s="54"/>
      <c r="G26" s="1"/>
      <c r="H26" s="1"/>
      <c r="I26" s="1"/>
      <c r="J26" s="1"/>
      <c r="K26" s="1"/>
      <c r="L26" s="1"/>
      <c r="M26" s="1"/>
      <c r="N26" s="1"/>
      <c r="O26" s="1"/>
      <c r="P26" s="1"/>
      <c r="Q26" s="1"/>
      <c r="R26" s="1"/>
      <c r="S26" s="1"/>
      <c r="T26" s="1"/>
      <c r="U26" s="1"/>
      <c r="V26" s="1"/>
      <c r="W26" s="1"/>
      <c r="X26" s="1"/>
      <c r="Y26" s="1"/>
      <c r="Z26" s="1"/>
    </row>
    <row r="27" spans="1:26" ht="17.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7.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7.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7.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7.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7.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7.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7.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mergeCells count="3">
    <mergeCell ref="B1:F1"/>
    <mergeCell ref="B4:F5"/>
    <mergeCell ref="B23:F26"/>
  </mergeCells>
  <hyperlinks>
    <hyperlink ref="H4" r:id="rId1" xr:uid="{00000000-0004-0000-0000-000000000000}"/>
    <hyperlink ref="J4" r:id="rId2" xr:uid="{00000000-0004-0000-0000-000001000000}"/>
    <hyperlink ref="H5" r:id="rId3" xr:uid="{00000000-0004-0000-0000-000002000000}"/>
    <hyperlink ref="H8" location="null!A1" display="ESPN Standard" xr:uid="{00000000-0004-0000-0000-000003000000}"/>
    <hyperlink ref="J8" location="null!A1" display="Standard" xr:uid="{00000000-0004-0000-0000-000004000000}"/>
    <hyperlink ref="H9" location="null!A1" display="ESPN .5PPR" xr:uid="{00000000-0004-0000-0000-000005000000}"/>
    <hyperlink ref="J9" location="null!A1" display="Half PPR" xr:uid="{00000000-0004-0000-0000-000006000000}"/>
    <hyperlink ref="H10" location="null!A1" display="ESPN PPR" xr:uid="{00000000-0004-0000-0000-000007000000}"/>
    <hyperlink ref="J10" location="'ALL PPR Drafts'!A1" display="PPR" xr:uid="{00000000-0004-0000-0000-000008000000}"/>
    <hyperlink ref="H11" location="null!A1" display="Yahoo Standard" xr:uid="{00000000-0004-0000-0000-000009000000}"/>
    <hyperlink ref="H12" location="null!A1" display="Yahoo .5PPR" xr:uid="{00000000-0004-0000-0000-00000A000000}"/>
    <hyperlink ref="H13" location="null!A1" display="Yahoo PPR" xr:uid="{00000000-0004-0000-0000-00000B000000}"/>
    <hyperlink ref="H14" location="null!A1" display="Sleeper Standard" xr:uid="{00000000-0004-0000-0000-00000C000000}"/>
    <hyperlink ref="H15" location="null!A1" display="Sleeper .5PPR" xr:uid="{00000000-0004-0000-0000-00000D000000}"/>
    <hyperlink ref="H16" location="null!A1" display="Sleeper PPR" xr:uid="{00000000-0004-0000-0000-00000E000000}"/>
    <hyperlink ref="J16" r:id="rId4" xr:uid="{00000000-0004-0000-0000-00000F000000}"/>
    <hyperlink ref="H17" location="null!A1" display="NFL" xr:uid="{00000000-0004-0000-0000-000010000000}"/>
    <hyperlink ref="H18" location="null!A1" display="CBS PPR" xr:uid="{00000000-0004-0000-0000-000011000000}"/>
    <hyperlink ref="H19" location="null!A1" display="Fleaflicker" xr:uid="{00000000-0004-0000-0000-000012000000}"/>
    <hyperlink ref="B20" r:id="rId5" xr:uid="{00000000-0004-0000-0000-00001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13"/>
  <sheetViews>
    <sheetView workbookViewId="0"/>
  </sheetViews>
  <sheetFormatPr baseColWidth="10" defaultColWidth="12.5" defaultRowHeight="15.75" customHeight="1"/>
  <sheetData>
    <row r="1" spans="1:11" ht="15.75" customHeight="1">
      <c r="B1" s="26" t="s">
        <v>43</v>
      </c>
      <c r="C1" s="26" t="s">
        <v>44</v>
      </c>
      <c r="D1" s="26" t="s">
        <v>45</v>
      </c>
      <c r="E1" s="26" t="s">
        <v>46</v>
      </c>
      <c r="F1" s="26" t="s">
        <v>47</v>
      </c>
      <c r="G1" s="26" t="s">
        <v>48</v>
      </c>
      <c r="H1" s="26" t="s">
        <v>49</v>
      </c>
      <c r="I1" s="26" t="s">
        <v>50</v>
      </c>
      <c r="J1" s="26" t="s">
        <v>51</v>
      </c>
      <c r="K1" s="26" t="s">
        <v>52</v>
      </c>
    </row>
    <row r="2" spans="1:11" ht="15.75" customHeight="1">
      <c r="A2" s="26">
        <v>1</v>
      </c>
      <c r="B2" t="str">
        <f ca="1">IFERROR(__xludf.DUMMYFUNCTION("IFERROR(INDEX(FILTER(Keeper!$B:$B, Keeper!$A:$A=B$1), ROW(A1)), """")"),"Malik Nabers")</f>
        <v>Malik Nabers</v>
      </c>
      <c r="C2" t="str">
        <f ca="1">IFERROR(__xludf.DUMMYFUNCTION("IFERROR(INDEX(FILTER(Keeper!$B:$B, Keeper!$A:$A=C$1), ROW(B1)), """")"),"Jahmyr Gibbs")</f>
        <v>Jahmyr Gibbs</v>
      </c>
      <c r="D2" t="str">
        <f ca="1">IFERROR(__xludf.DUMMYFUNCTION("IFERROR(INDEX(FILTER(Keeper!$B:$B, Keeper!$A:$A=D$1), ROW(C1)), """")"),"Chase Brown")</f>
        <v>Chase Brown</v>
      </c>
      <c r="E2" t="str">
        <f ca="1">IFERROR(__xludf.DUMMYFUNCTION("IFERROR(INDEX(FILTER(Keeper!$B:$B, Keeper!$A:$A=E$1), ROW(D1)), """")"),"De'Von Achane")</f>
        <v>De'Von Achane</v>
      </c>
      <c r="F2" t="str">
        <f ca="1">IFERROR(__xludf.DUMMYFUNCTION("IFERROR(INDEX(FILTER(Keeper!$B:$B, Keeper!$A:$A=F$1), ROW(E1)), """")"),"Christian McCaffrey")</f>
        <v>Christian McCaffrey</v>
      </c>
      <c r="G2" t="str">
        <f ca="1">IFERROR(__xludf.DUMMYFUNCTION("IFERROR(INDEX(FILTER(Keeper!$B:$B, Keeper!$A:$A=G$1), ROW(F1)), """")"),"Drake Maye")</f>
        <v>Drake Maye</v>
      </c>
      <c r="H2" t="str">
        <f ca="1">IFERROR(__xludf.DUMMYFUNCTION("IFERROR(INDEX(FILTER(Keeper!$B:$B, Keeper!$A:$A=H$1), ROW(G1)), """")"),"Garrett Wilson")</f>
        <v>Garrett Wilson</v>
      </c>
      <c r="I2" t="str">
        <f ca="1">IFERROR(__xludf.DUMMYFUNCTION("IFERROR(INDEX(FILTER(Keeper!$B:$B, Keeper!$A:$A=I$1), ROW(H1)), """")"),"Ja'Marr Chase")</f>
        <v>Ja'Marr Chase</v>
      </c>
      <c r="J2" t="str">
        <f ca="1">IFERROR(__xludf.DUMMYFUNCTION("IFERROR(INDEX(FILTER(Keeper!$B:$B, Keeper!$A:$A=J$1), ROW(I1)), """")"),"Omarion Hampton")</f>
        <v>Omarion Hampton</v>
      </c>
      <c r="K2" t="str">
        <f ca="1">IFERROR(__xludf.DUMMYFUNCTION("IFERROR(INDEX(FILTER(Keeper!$B:$B, Keeper!$A:$A=K$1), ROW(J1)), """")"),"Drake London")</f>
        <v>Drake London</v>
      </c>
    </row>
    <row r="3" spans="1:11" ht="15.75" customHeight="1">
      <c r="A3" s="26">
        <v>2</v>
      </c>
      <c r="B3" t="str">
        <f ca="1">IFERROR(__xludf.DUMMYFUNCTION("IFERROR(INDEX(FILTER(Keeper!$B:$B, Keeper!$A:$A=B$1), ROW(A2)), """")"),"Brock Bowers")</f>
        <v>Brock Bowers</v>
      </c>
      <c r="C3" t="str">
        <f ca="1">IFERROR(__xludf.DUMMYFUNCTION("IFERROR(INDEX(FILTER(Keeper!$B:$B, Keeper!$A:$A=C$1), ROW(B2)), """")"),"Josh Jacobs")</f>
        <v>Josh Jacobs</v>
      </c>
      <c r="D3" t="str">
        <f ca="1">IFERROR(__xludf.DUMMYFUNCTION("IFERROR(INDEX(FILTER(Keeper!$B:$B, Keeper!$A:$A=D$1), ROW(C2)), """")"),"Justin Jefferson")</f>
        <v>Justin Jefferson</v>
      </c>
      <c r="E3" t="str">
        <f ca="1">IFERROR(__xludf.DUMMYFUNCTION("IFERROR(INDEX(FILTER(Keeper!$B:$B, Keeper!$A:$A=E$1), ROW(D2)), """")"),"Ashton Jeanty")</f>
        <v>Ashton Jeanty</v>
      </c>
      <c r="F3" t="str">
        <f ca="1">IFERROR(__xludf.DUMMYFUNCTION("IFERROR(INDEX(FILTER(Keeper!$B:$B, Keeper!$A:$A=F$1), ROW(E2)), """")"),"Jonathan Taylor")</f>
        <v>Jonathan Taylor</v>
      </c>
      <c r="G3" t="str">
        <f ca="1">IFERROR(__xludf.DUMMYFUNCTION("IFERROR(INDEX(FILTER(Keeper!$B:$B, Keeper!$A:$A=G$1), ROW(F2)), """")"),"Saquon Barkley")</f>
        <v>Saquon Barkley</v>
      </c>
      <c r="H3" t="str">
        <f ca="1">IFERROR(__xludf.DUMMYFUNCTION("IFERROR(INDEX(FILTER(Keeper!$B:$B, Keeper!$A:$A=H$1), ROW(G2)), """")"),"Kyren Williams")</f>
        <v>Kyren Williams</v>
      </c>
      <c r="I3" t="str">
        <f ca="1">IFERROR(__xludf.DUMMYFUNCTION("IFERROR(INDEX(FILTER(Keeper!$B:$B, Keeper!$A:$A=I$1), ROW(H2)), """")"),"Chris Olave")</f>
        <v>Chris Olave</v>
      </c>
      <c r="J3" t="str">
        <f ca="1">IFERROR(__xludf.DUMMYFUNCTION("IFERROR(INDEX(FILTER(Keeper!$B:$B, Keeper!$A:$A=J$1), ROW(I2)), """")"),"Bijan Robinson")</f>
        <v>Bijan Robinson</v>
      </c>
      <c r="K3" t="str">
        <f ca="1">IFERROR(__xludf.DUMMYFUNCTION("IFERROR(INDEX(FILTER(Keeper!$B:$B, Keeper!$A:$A=K$1), ROW(J2)), """")"),"Trey McBride")</f>
        <v>Trey McBride</v>
      </c>
    </row>
    <row r="4" spans="1:11" ht="15.75" customHeight="1">
      <c r="A4" s="26">
        <v>3</v>
      </c>
      <c r="B4" t="str">
        <f ca="1">IFERROR(__xludf.DUMMYFUNCTION("IFERROR(INDEX(FILTER(Keeper!$B:$B, Keeper!$A:$A=B$1), ROW(A3)), """")"),"CeeDee Lamb")</f>
        <v>CeeDee Lamb</v>
      </c>
      <c r="C4" t="str">
        <f ca="1">IFERROR(__xludf.DUMMYFUNCTION("IFERROR(INDEX(FILTER(Keeper!$B:$B, Keeper!$A:$A=C$1), ROW(B3)), """")"),"Rashee Rice")</f>
        <v>Rashee Rice</v>
      </c>
      <c r="D4" t="str">
        <f ca="1">IFERROR(__xludf.DUMMYFUNCTION("IFERROR(INDEX(FILTER(Keeper!$B:$B, Keeper!$A:$A=D$1), ROW(C3)), """")"),"George Pickens")</f>
        <v>George Pickens</v>
      </c>
      <c r="E4" t="str">
        <f ca="1">IFERROR(__xludf.DUMMYFUNCTION("IFERROR(INDEX(FILTER(Keeper!$B:$B, Keeper!$A:$A=E$1), ROW(D3)), """")"),"Amon-Ra St. Brown")</f>
        <v>Amon-Ra St. Brown</v>
      </c>
      <c r="F4" t="str">
        <f ca="1">IFERROR(__xludf.DUMMYFUNCTION("IFERROR(INDEX(FILTER(Keeper!$B:$B, Keeper!$A:$A=F$1), ROW(E3)), """")"),"Puka Nacua")</f>
        <v>Puka Nacua</v>
      </c>
      <c r="G4" t="str">
        <f ca="1">IFERROR(__xludf.DUMMYFUNCTION("IFERROR(INDEX(FILTER(Keeper!$B:$B, Keeper!$A:$A=G$1), ROW(F3)), """")"),"Jaxon Smith-Njigba")</f>
        <v>Jaxon Smith-Njigba</v>
      </c>
      <c r="H4" t="str">
        <f ca="1">IFERROR(__xludf.DUMMYFUNCTION("IFERROR(INDEX(FILTER(Keeper!$B:$B, Keeper!$A:$A=H$1), ROW(G3)), """")"),"James Cook III")</f>
        <v>James Cook III</v>
      </c>
      <c r="I4" t="str">
        <f ca="1">IFERROR(__xludf.DUMMYFUNCTION("IFERROR(INDEX(FILTER(Keeper!$B:$B, Keeper!$A:$A=I$1), ROW(H3)), """")"),"Josh Allen")</f>
        <v>Josh Allen</v>
      </c>
      <c r="J4" t="str">
        <f ca="1">IFERROR(__xludf.DUMMYFUNCTION("IFERROR(INDEX(FILTER(Keeper!$B:$B, Keeper!$A:$A=J$1), ROW(I3)), """")"),"Nico Collins")</f>
        <v>Nico Collins</v>
      </c>
      <c r="K4" t="str">
        <f ca="1">IFERROR(__xludf.DUMMYFUNCTION("IFERROR(INDEX(FILTER(Keeper!$B:$B, Keeper!$A:$A=K$1), ROW(J3)), """")"),"Tetairoa McMillan")</f>
        <v>Tetairoa McMillan</v>
      </c>
    </row>
    <row r="5" spans="1:11" ht="15.75" customHeight="1">
      <c r="A5" s="26">
        <v>4</v>
      </c>
      <c r="B5" t="str">
        <f ca="1">IFERROR(__xludf.DUMMYFUNCTION("IFERROR(INDEX(FILTER(Draft!$B$2:$B1000, Draft!$A$2:$A1000=B$1), ROW(A1)), """")"),"Travis Etienne Jr.")</f>
        <v>Travis Etienne Jr.</v>
      </c>
      <c r="C5" t="str">
        <f ca="1">IFERROR(__xludf.DUMMYFUNCTION("IFERROR(INDEX(FILTER(Draft!$B$2:$B1000, Draft!$A$2:$A1000=C$1), ROW(B1)), """")"),"Lamar Jackson")</f>
        <v>Lamar Jackson</v>
      </c>
      <c r="D5" t="str">
        <f ca="1">IFERROR(__xludf.DUMMYFUNCTION("IFERROR(INDEX(FILTER(Draft!$B$2:$B1000, Draft!$A$2:$A1000=D$1), ROW(C1)), """")"),"Derrick Henry")</f>
        <v>Derrick Henry</v>
      </c>
      <c r="E5" t="str">
        <f ca="1">IFERROR(__xludf.DUMMYFUNCTION("IFERROR(INDEX(FILTER(Draft!$B$2:$B1000, Draft!$A$2:$A1000=E$1), ROW(D1)), """")"),"Zay Flowers")</f>
        <v>Zay Flowers</v>
      </c>
      <c r="F5" t="str">
        <f ca="1">IFERROR(__xludf.DUMMYFUNCTION("IFERROR(INDEX(FILTER(Draft!$B$2:$B1000, Draft!$A$2:$A1000=F$1), ROW(E1)), """")"),"Tucker Kraft")</f>
        <v>Tucker Kraft</v>
      </c>
      <c r="G5" t="str">
        <f ca="1">IFERROR(__xludf.DUMMYFUNCTION("IFERROR(INDEX(FILTER(Draft!$B$2:$B1000, Draft!$A$2:$A1000=G$1), ROW(F1)), """")"),"Javonte Williams")</f>
        <v>Javonte Williams</v>
      </c>
      <c r="H5" t="str">
        <f ca="1">IFERROR(__xludf.DUMMYFUNCTION("IFERROR(INDEX(FILTER(Draft!$B$2:$B1000, Draft!$A$2:$A1000=H$1), ROW(G1)), """")"),"Colston Loveland")</f>
        <v>Colston Loveland</v>
      </c>
      <c r="I5" t="str">
        <f ca="1">IFERROR(__xludf.DUMMYFUNCTION("IFERROR(INDEX(FILTER(Draft!$B$2:$B1000, Draft!$A$2:$A1000=I$1), ROW(H1)), """")"),"")</f>
        <v/>
      </c>
      <c r="J5" t="s">
        <v>53</v>
      </c>
      <c r="K5" t="str">
        <f ca="1">IFERROR(__xludf.DUMMYFUNCTION("IFERROR(INDEX(FILTER(Draft!$B$2:$B1000, Draft!$A$2:$A1000=K$1), ROW(J1)), """")"),"Tee Higgins")</f>
        <v>Tee Higgins</v>
      </c>
    </row>
    <row r="6" spans="1:11" ht="15.75" customHeight="1">
      <c r="A6" s="26">
        <v>5</v>
      </c>
      <c r="B6" t="str">
        <f ca="1">IFERROR(__xludf.DUMMYFUNCTION("IFERROR(INDEX(FILTER(Draft!$B$2:$B1000, Draft!$A$2:$A1000=B$1), ROW(A2)), """")"),"Ladd McConkey")</f>
        <v>Ladd McConkey</v>
      </c>
      <c r="C6" t="str">
        <f ca="1">IFERROR(__xludf.DUMMYFUNCTION("IFERROR(INDEX(FILTER(Draft!$B$2:$B1000, Draft!$A$2:$A1000=C$1), ROW(B2)), """")"),"Joe Burrow")</f>
        <v>Joe Burrow</v>
      </c>
      <c r="D6" t="str">
        <f ca="1">IFERROR(__xludf.DUMMYFUNCTION("IFERROR(INDEX(FILTER(Draft!$B$2:$B1000, Draft!$A$2:$A1000=D$1), ROW(C2)), """")"),"Jameson Williams")</f>
        <v>Jameson Williams</v>
      </c>
      <c r="E6" t="str">
        <f ca="1">IFERROR(__xludf.DUMMYFUNCTION("IFERROR(INDEX(FILTER(Draft!$B$2:$B1000, Draft!$A$2:$A1000=E$1), ROW(D2)), """")"),"Mike Evans")</f>
        <v>Mike Evans</v>
      </c>
      <c r="F6" t="str">
        <f ca="1">IFERROR(__xludf.DUMMYFUNCTION("IFERROR(INDEX(FILTER(Draft!$B$2:$B1000, Draft!$A$2:$A1000=F$1), ROW(E2)), """")"),"D'Andre Swift")</f>
        <v>D'Andre Swift</v>
      </c>
      <c r="G6" t="str">
        <f ca="1">IFERROR(__xludf.DUMMYFUNCTION("IFERROR(INDEX(FILTER(Draft!$B$2:$B1000, Draft!$A$2:$A1000=G$1), ROW(F2)), """")"),"Makai Lemon")</f>
        <v>Makai Lemon</v>
      </c>
      <c r="H6" t="str">
        <f ca="1">IFERROR(__xludf.DUMMYFUNCTION("IFERROR(INDEX(FILTER(Draft!$B$2:$B1000, Draft!$A$2:$A1000=H$1), ROW(G2)), """")"),"Emeka Egbuka")</f>
        <v>Emeka Egbuka</v>
      </c>
      <c r="I6" t="str">
        <f ca="1">IFERROR(__xludf.DUMMYFUNCTION("IFERROR(INDEX(FILTER(Draft!$B$2:$B1000, Draft!$A$2:$A1000=I$1), ROW(H2)), """")"),"")</f>
        <v/>
      </c>
      <c r="J6" t="str">
        <f ca="1">IFERROR(__xludf.DUMMYFUNCTION("IFERROR(INDEX(FILTER(Draft!$B$2:$B1000, Draft!$A$2:$A1000=J$1), ROW(I2)), """")"),"Kenneth Walker III")</f>
        <v>Kenneth Walker III</v>
      </c>
      <c r="K6" t="str">
        <f ca="1">IFERROR(__xludf.DUMMYFUNCTION("IFERROR(INDEX(FILTER(Draft!$B$2:$B1000, Draft!$A$2:$A1000=K$1), ROW(J2)), """")"),"A.J. Brown")</f>
        <v>A.J. Brown</v>
      </c>
    </row>
    <row r="7" spans="1:11" ht="15.75" customHeight="1">
      <c r="A7" s="26">
        <v>6</v>
      </c>
      <c r="B7" t="str">
        <f ca="1">IFERROR(__xludf.DUMMYFUNCTION("IFERROR(INDEX(FILTER(Draft!$B$2:$B1000, Draft!$A$2:$A1000=B$1), ROW(A3)), """")"),"Terry McLaurin")</f>
        <v>Terry McLaurin</v>
      </c>
      <c r="C7" t="str">
        <f ca="1">IFERROR(__xludf.DUMMYFUNCTION("IFERROR(INDEX(FILTER(Draft!$B$2:$B1000, Draft!$A$2:$A1000=C$1), ROW(B3)), """")"),"Bucky Irving")</f>
        <v>Bucky Irving</v>
      </c>
      <c r="D7" t="str">
        <f ca="1">IFERROR(__xludf.DUMMYFUNCTION("IFERROR(INDEX(FILTER(Draft!$B$2:$B1000, Draft!$A$2:$A1000=D$1), ROW(C3)), """")"),"Jalen Hurts")</f>
        <v>Jalen Hurts</v>
      </c>
      <c r="E7" t="str">
        <f ca="1">IFERROR(__xludf.DUMMYFUNCTION("IFERROR(INDEX(FILTER(Draft!$B$2:$B1000, Draft!$A$2:$A1000=E$1), ROW(D3)), """")"),"Alec Pierce")</f>
        <v>Alec Pierce</v>
      </c>
      <c r="F7" t="str">
        <f ca="1">IFERROR(__xludf.DUMMYFUNCTION("IFERROR(INDEX(FILTER(Draft!$B$2:$B1000, Draft!$A$2:$A1000=F$1), ROW(E3)), """")"),"Jaylen Warren")</f>
        <v>Jaylen Warren</v>
      </c>
      <c r="G7" t="str">
        <f ca="1">IFERROR(__xludf.DUMMYFUNCTION("IFERROR(INDEX(FILTER(Draft!$B$2:$B1000, Draft!$A$2:$A1000=G$1), ROW(F3)), """")"),"Caleb Williams")</f>
        <v>Caleb Williams</v>
      </c>
      <c r="H7" t="str">
        <f ca="1">IFERROR(__xludf.DUMMYFUNCTION("IFERROR(INDEX(FILTER(Draft!$B$2:$B1000, Draft!$A$2:$A1000=H$1), ROW(G3)), """")"),"DeVonta Smith")</f>
        <v>DeVonta Smith</v>
      </c>
      <c r="I7" t="str">
        <f ca="1">IFERROR(__xludf.DUMMYFUNCTION("IFERROR(INDEX(FILTER(Draft!$B$2:$B1000, Draft!$A$2:$A1000=I$1), ROW(H3)), """")"),"")</f>
        <v/>
      </c>
      <c r="J7" t="str">
        <f ca="1">IFERROR(__xludf.DUMMYFUNCTION("IFERROR(INDEX(FILTER(Draft!$B$2:$B1000, Draft!$A$2:$A1000=J$1), ROW(I3)), """")"),"Josh Jacobs")</f>
        <v>Josh Jacobs</v>
      </c>
      <c r="K7" t="str">
        <f ca="1">IFERROR(__xludf.DUMMYFUNCTION("IFERROR(INDEX(FILTER(Draft!$B$2:$B1000, Draft!$A$2:$A1000=K$1), ROW(J3)), """")"),"Breece Hall")</f>
        <v>Breece Hall</v>
      </c>
    </row>
    <row r="8" spans="1:11" ht="15.75" customHeight="1">
      <c r="A8" s="26">
        <v>7</v>
      </c>
      <c r="B8" t="str">
        <f ca="1">IFERROR(__xludf.DUMMYFUNCTION("IFERROR(INDEX(FILTER(Draft!$B$2:$B1000, Draft!$A$2:$A1000=B$1), ROW(A4)), """")"),"Christian Watson")</f>
        <v>Christian Watson</v>
      </c>
      <c r="C8" t="str">
        <f ca="1">IFERROR(__xludf.DUMMYFUNCTION("IFERROR(INDEX(FILTER(Draft!$B$2:$B1000, Draft!$A$2:$A1000=C$1), ROW(B4)), """")"),"Jaylen Waddle")</f>
        <v>Jaylen Waddle</v>
      </c>
      <c r="D8" t="str">
        <f ca="1">IFERROR(__xludf.DUMMYFUNCTION("IFERROR(INDEX(FILTER(Draft!$B$2:$B1000, Draft!$A$2:$A1000=D$1), ROW(C4)), """")"),"DJ Moore")</f>
        <v>DJ Moore</v>
      </c>
      <c r="E8" t="str">
        <f ca="1">IFERROR(__xludf.DUMMYFUNCTION("IFERROR(INDEX(FILTER(Draft!$B$2:$B1000, Draft!$A$2:$A1000=E$1), ROW(D4)), """")"),"Jaxson Dart")</f>
        <v>Jaxson Dart</v>
      </c>
      <c r="F8" t="str">
        <f ca="1">IFERROR(__xludf.DUMMYFUNCTION("IFERROR(INDEX(FILTER(Draft!$B$2:$B1000, Draft!$A$2:$A1000=F$1), ROW(E4)), """")"),"")</f>
        <v/>
      </c>
      <c r="G8" t="str">
        <f ca="1">IFERROR(__xludf.DUMMYFUNCTION("IFERROR(INDEX(FILTER(Draft!$B$2:$B1000, Draft!$A$2:$A1000=G$1), ROW(F4)), """")"),"")</f>
        <v/>
      </c>
      <c r="H8" t="str">
        <f ca="1">IFERROR(__xludf.DUMMYFUNCTION("IFERROR(INDEX(FILTER(Draft!$B$2:$B1000, Draft!$A$2:$A1000=H$1), ROW(G4)), """")"),"Jordyn Tyson")</f>
        <v>Jordyn Tyson</v>
      </c>
      <c r="I8" t="str">
        <f ca="1">IFERROR(__xludf.DUMMYFUNCTION("IFERROR(INDEX(FILTER(Draft!$B$2:$B1000, Draft!$A$2:$A1000=I$1), ROW(H4)), """")"),"")</f>
        <v/>
      </c>
      <c r="J8" t="str">
        <f ca="1">IFERROR(__xludf.DUMMYFUNCTION("IFERROR(INDEX(FILTER(Draft!$B$2:$B1000, Draft!$A$2:$A1000=J$1), ROW(I4)), """")"),"Davante Adams")</f>
        <v>Davante Adams</v>
      </c>
      <c r="K8" t="str">
        <f ca="1">IFERROR(__xludf.DUMMYFUNCTION("IFERROR(INDEX(FILTER(Draft!$B$2:$B1000, Draft!$A$2:$A1000=K$1), ROW(J4)), """")"),"Jayden Daniels")</f>
        <v>Jayden Daniels</v>
      </c>
    </row>
    <row r="9" spans="1:11" ht="15.75" customHeight="1">
      <c r="A9" s="26">
        <v>8</v>
      </c>
      <c r="B9" t="str">
        <f ca="1">IFERROR(__xludf.DUMMYFUNCTION("IFERROR(INDEX(FILTER(Draft!$B$2:$B1000, Draft!$A$2:$A1000=B$1), ROW(A5)), """")"),"TreVeyon Henderson")</f>
        <v>TreVeyon Henderson</v>
      </c>
      <c r="C9" t="str">
        <f ca="1">IFERROR(__xludf.DUMMYFUNCTION("IFERROR(INDEX(FILTER(Draft!$B$2:$B1000, Draft!$A$2:$A1000=C$1), ROW(B5)), """")"),"Rome Odunze")</f>
        <v>Rome Odunze</v>
      </c>
      <c r="D9" t="str">
        <f ca="1">IFERROR(__xludf.DUMMYFUNCTION("IFERROR(INDEX(FILTER(Draft!$B$2:$B1000, Draft!$A$2:$A1000=D$1), ROW(C5)), """")"),"Courtland Sutton")</f>
        <v>Courtland Sutton</v>
      </c>
      <c r="E9" t="str">
        <f ca="1">IFERROR(__xludf.DUMMYFUNCTION("IFERROR(INDEX(FILTER(Draft!$B$2:$B1000, Draft!$A$2:$A1000=E$1), ROW(D5)), """")"),"Harold Fannin Jr.")</f>
        <v>Harold Fannin Jr.</v>
      </c>
      <c r="F9" t="str">
        <f ca="1">IFERROR(__xludf.DUMMYFUNCTION("IFERROR(INDEX(FILTER(Draft!$B$2:$B1000, Draft!$A$2:$A1000=F$1), ROW(E5)), """")"),"")</f>
        <v/>
      </c>
      <c r="G9" t="str">
        <f ca="1">IFERROR(__xludf.DUMMYFUNCTION("IFERROR(INDEX(FILTER(Draft!$B$2:$B1000, Draft!$A$2:$A1000=G$1), ROW(F5)), """")"),"")</f>
        <v/>
      </c>
      <c r="H9" t="str">
        <f ca="1">IFERROR(__xludf.DUMMYFUNCTION("IFERROR(INDEX(FILTER(Draft!$B$2:$B1000, Draft!$A$2:$A1000=H$1), ROW(G5)), """")"),"RJ Harvey")</f>
        <v>RJ Harvey</v>
      </c>
      <c r="I9" t="str">
        <f ca="1">IFERROR(__xludf.DUMMYFUNCTION("IFERROR(INDEX(FILTER(Draft!$B$2:$B1000, Draft!$A$2:$A1000=I$1), ROW(H5)), """")"),"")</f>
        <v/>
      </c>
      <c r="J9" t="str">
        <f ca="1">IFERROR(__xludf.DUMMYFUNCTION("IFERROR(INDEX(FILTER(Draft!$B$2:$B1000, Draft!$A$2:$A1000=J$1), ROW(I5)), """")"),"Luther Burden III")</f>
        <v>Luther Burden III</v>
      </c>
      <c r="K9" t="str">
        <f ca="1">IFERROR(__xludf.DUMMYFUNCTION("IFERROR(INDEX(FILTER(Draft!$B$2:$B1000, Draft!$A$2:$A1000=K$1), ROW(J5)), """")"),"Carnell Tate")</f>
        <v>Carnell Tate</v>
      </c>
    </row>
    <row r="10" spans="1:11" ht="15.75" customHeight="1">
      <c r="A10" s="26">
        <v>9</v>
      </c>
      <c r="B10" t="str">
        <f ca="1">IFERROR(__xludf.DUMMYFUNCTION("IFERROR(INDEX(FILTER(Draft!$B$2:$B1000, Draft!$A$2:$A1000=B$1), ROW(A6)), """")"),"Quinshon Judkins")</f>
        <v>Quinshon Judkins</v>
      </c>
      <c r="C10" t="str">
        <f ca="1">IFERROR(__xludf.DUMMYFUNCTION("IFERROR(INDEX(FILTER(Draft!$B$2:$B1000, Draft!$A$2:$A1000=C$1), ROW(B6)), """")"),"Justin Herbert")</f>
        <v>Justin Herbert</v>
      </c>
      <c r="D10" t="str">
        <f ca="1">IFERROR(__xludf.DUMMYFUNCTION("IFERROR(INDEX(FILTER(Draft!$B$2:$B1000, Draft!$A$2:$A1000=D$1), ROW(C6)), """")"),"")</f>
        <v/>
      </c>
      <c r="E10" t="str">
        <f ca="1">IFERROR(__xludf.DUMMYFUNCTION("IFERROR(INDEX(FILTER(Draft!$B$2:$B1000, Draft!$A$2:$A1000=E$1), ROW(D6)), """")"),"")</f>
        <v/>
      </c>
      <c r="F10" t="str">
        <f ca="1">IFERROR(__xludf.DUMMYFUNCTION("IFERROR(INDEX(FILTER(Draft!$B$2:$B1000, Draft!$A$2:$A1000=F$1), ROW(E6)), """")"),"")</f>
        <v/>
      </c>
      <c r="G10" t="str">
        <f ca="1">IFERROR(__xludf.DUMMYFUNCTION("IFERROR(INDEX(FILTER(Draft!$B$2:$B1000, Draft!$A$2:$A1000=G$1), ROW(F6)), """")"),"")</f>
        <v/>
      </c>
      <c r="H10" t="str">
        <f ca="1">IFERROR(__xludf.DUMMYFUNCTION("IFERROR(INDEX(FILTER(Draft!$B$2:$B1000, Draft!$A$2:$A1000=H$1), ROW(G6)), """")"),"Blake Corum")</f>
        <v>Blake Corum</v>
      </c>
      <c r="I10" t="str">
        <f ca="1">IFERROR(__xludf.DUMMYFUNCTION("IFERROR(INDEX(FILTER(Draft!$B$2:$B1000, Draft!$A$2:$A1000=I$1), ROW(H6)), """")"),"")</f>
        <v/>
      </c>
      <c r="J10" t="str">
        <f ca="1">IFERROR(__xludf.DUMMYFUNCTION("IFERROR(INDEX(FILTER(Draft!$B$2:$B1000, Draft!$A$2:$A1000=J$1), ROW(I6)), """")"),"Cam Skattebo")</f>
        <v>Cam Skattebo</v>
      </c>
      <c r="K10" t="str">
        <f ca="1">IFERROR(__xludf.DUMMYFUNCTION("IFERROR(INDEX(FILTER(Draft!$B$2:$B1000, Draft!$A$2:$A1000=K$1), ROW(J6)), """")"),"DK Metcalf")</f>
        <v>DK Metcalf</v>
      </c>
    </row>
    <row r="11" spans="1:11" ht="15.75" customHeight="1">
      <c r="A11" s="26">
        <v>10</v>
      </c>
      <c r="B11" t="str">
        <f ca="1">IFERROR(__xludf.DUMMYFUNCTION("IFERROR(INDEX(FILTER(Draft!$B$2:$B1000, Draft!$A$2:$A1000=B$1), ROW(A7)), """")"),"Tyler Warren")</f>
        <v>Tyler Warren</v>
      </c>
      <c r="C11" t="str">
        <f ca="1">IFERROR(__xludf.DUMMYFUNCTION("IFERROR(INDEX(FILTER(Draft!$B$2:$B1000, Draft!$A$2:$A1000=C$1), ROW(B7)), """")"),"")</f>
        <v/>
      </c>
      <c r="D11" t="str">
        <f ca="1">IFERROR(__xludf.DUMMYFUNCTION("IFERROR(INDEX(FILTER(Draft!$B$2:$B1000, Draft!$A$2:$A1000=D$1), ROW(C7)), """")"),"")</f>
        <v/>
      </c>
      <c r="E11" t="str">
        <f ca="1">IFERROR(__xludf.DUMMYFUNCTION("IFERROR(INDEX(FILTER(Draft!$B$2:$B1000, Draft!$A$2:$A1000=E$1), ROW(D7)), """")"),"")</f>
        <v/>
      </c>
      <c r="F11" t="str">
        <f ca="1">IFERROR(__xludf.DUMMYFUNCTION("IFERROR(INDEX(FILTER(Draft!$B$2:$B1000, Draft!$A$2:$A1000=F$1), ROW(E7)), """")"),"")</f>
        <v/>
      </c>
      <c r="G11" t="str">
        <f ca="1">IFERROR(__xludf.DUMMYFUNCTION("IFERROR(INDEX(FILTER(Draft!$B$2:$B1000, Draft!$A$2:$A1000=G$1), ROW(F7)), """")"),"")</f>
        <v/>
      </c>
      <c r="H11" t="str">
        <f ca="1">IFERROR(__xludf.DUMMYFUNCTION("IFERROR(INDEX(FILTER(Draft!$B$2:$B1000, Draft!$A$2:$A1000=H$1), ROW(G7)), """")"),"")</f>
        <v/>
      </c>
      <c r="I11" t="str">
        <f ca="1">IFERROR(__xludf.DUMMYFUNCTION("IFERROR(INDEX(FILTER(Draft!$B$2:$B1000, Draft!$A$2:$A1000=I$1), ROW(H7)), """")"),"")</f>
        <v/>
      </c>
      <c r="J11" t="str">
        <f ca="1">IFERROR(__xludf.DUMMYFUNCTION("IFERROR(INDEX(FILTER(Draft!$B$2:$B1000, Draft!$A$2:$A1000=J$1), ROW(I7)), """")"),"David Montgomery")</f>
        <v>David Montgomery</v>
      </c>
      <c r="K11" t="str">
        <f ca="1">IFERROR(__xludf.DUMMYFUNCTION("IFERROR(INDEX(FILTER(Draft!$B$2:$B1000, Draft!$A$2:$A1000=K$1), ROW(J7)), """")"),"")</f>
        <v/>
      </c>
    </row>
    <row r="12" spans="1:11" ht="15.75" customHeight="1">
      <c r="A12" s="26">
        <v>11</v>
      </c>
      <c r="B12" t="str">
        <f ca="1">IFERROR(__xludf.DUMMYFUNCTION("IFERROR(INDEX(FILTER(Draft!$B$2:$B1000, Draft!$A$2:$A1000=B$1), ROW(A8)), """")"),"")</f>
        <v/>
      </c>
      <c r="C12" t="str">
        <f ca="1">IFERROR(__xludf.DUMMYFUNCTION("IFERROR(INDEX(FILTER(Draft!$B$2:$B1000, Draft!$A$2:$A1000=C$1), ROW(B8)), """")"),"")</f>
        <v/>
      </c>
      <c r="D12" t="str">
        <f ca="1">IFERROR(__xludf.DUMMYFUNCTION("IFERROR(INDEX(FILTER(Draft!$B$2:$B1000, Draft!$A$2:$A1000=D$1), ROW(C8)), """")"),"")</f>
        <v/>
      </c>
      <c r="E12" t="str">
        <f ca="1">IFERROR(__xludf.DUMMYFUNCTION("IFERROR(INDEX(FILTER(Draft!$B$2:$B1000, Draft!$A$2:$A1000=E$1), ROW(D8)), """")"),"")</f>
        <v/>
      </c>
      <c r="F12" t="str">
        <f ca="1">IFERROR(__xludf.DUMMYFUNCTION("IFERROR(INDEX(FILTER(Draft!$B$2:$B1000, Draft!$A$2:$A1000=F$1), ROW(E8)), """")"),"")</f>
        <v/>
      </c>
      <c r="G12" t="str">
        <f ca="1">IFERROR(__xludf.DUMMYFUNCTION("IFERROR(INDEX(FILTER(Draft!$B$2:$B1000, Draft!$A$2:$A1000=G$1), ROW(F8)), """")"),"")</f>
        <v/>
      </c>
      <c r="H12" t="str">
        <f ca="1">IFERROR(__xludf.DUMMYFUNCTION("IFERROR(INDEX(FILTER(Draft!$B$2:$B1000, Draft!$A$2:$A1000=H$1), ROW(G8)), """")"),"")</f>
        <v/>
      </c>
      <c r="I12" t="str">
        <f ca="1">IFERROR(__xludf.DUMMYFUNCTION("IFERROR(INDEX(FILTER(Draft!$B$2:$B1000, Draft!$A$2:$A1000=I$1), ROW(H8)), """")"),"")</f>
        <v/>
      </c>
      <c r="J12" t="str">
        <f ca="1">IFERROR(__xludf.DUMMYFUNCTION("IFERROR(INDEX(FILTER(Draft!$B$2:$B1000, Draft!$A$2:$A1000=J$1), ROW(I8)), """")"),"Bhayshul Tuten")</f>
        <v>Bhayshul Tuten</v>
      </c>
      <c r="K12" t="str">
        <f ca="1">IFERROR(__xludf.DUMMYFUNCTION("IFERROR(INDEX(FILTER(Draft!$B$2:$B1000, Draft!$A$2:$A1000=K$1), ROW(J8)), """")"),"")</f>
        <v/>
      </c>
    </row>
    <row r="13" spans="1:11" ht="15.75" customHeight="1">
      <c r="A13" s="26">
        <v>12</v>
      </c>
      <c r="B13" t="str">
        <f ca="1">IFERROR(__xludf.DUMMYFUNCTION("IFERROR(INDEX(FILTER(Draft!$B$2:$B1000, Draft!$A$2:$A1000=B$1), ROW(A9)), """")"),"")</f>
        <v/>
      </c>
      <c r="C13" t="str">
        <f ca="1">IFERROR(__xludf.DUMMYFUNCTION("IFERROR(INDEX(FILTER(Draft!$B$2:$B1000, Draft!$A$2:$A1000=C$1), ROW(B9)), """")"),"")</f>
        <v/>
      </c>
      <c r="D13" t="str">
        <f ca="1">IFERROR(__xludf.DUMMYFUNCTION("IFERROR(INDEX(FILTER(Draft!$B$2:$B1000, Draft!$A$2:$A1000=D$1), ROW(C9)), """")"),"")</f>
        <v/>
      </c>
      <c r="E13" t="str">
        <f ca="1">IFERROR(__xludf.DUMMYFUNCTION("IFERROR(INDEX(FILTER(Draft!$B$2:$B1000, Draft!$A$2:$A1000=E$1), ROW(D9)), """")"),"")</f>
        <v/>
      </c>
      <c r="F13" t="str">
        <f ca="1">IFERROR(__xludf.DUMMYFUNCTION("IFERROR(INDEX(FILTER(Draft!$B$2:$B1000, Draft!$A$2:$A1000=F$1), ROW(E9)), """")"),"")</f>
        <v/>
      </c>
      <c r="G13" t="str">
        <f ca="1">IFERROR(__xludf.DUMMYFUNCTION("IFERROR(INDEX(FILTER(Draft!$B$2:$B1000, Draft!$A$2:$A1000=G$1), ROW(F9)), """")"),"")</f>
        <v/>
      </c>
      <c r="H13" t="str">
        <f ca="1">IFERROR(__xludf.DUMMYFUNCTION("IFERROR(INDEX(FILTER(Draft!$B$2:$B1000, Draft!$A$2:$A1000=H$1), ROW(G9)), """")"),"")</f>
        <v/>
      </c>
      <c r="I13" t="str">
        <f ca="1">IFERROR(__xludf.DUMMYFUNCTION("IFERROR(INDEX(FILTER(Draft!$B$2:$B1000, Draft!$A$2:$A1000=I$1), ROW(H9)), """")"),"")</f>
        <v/>
      </c>
      <c r="J13" t="str">
        <f ca="1">IFERROR(__xludf.DUMMYFUNCTION("IFERROR(INDEX(FILTER(Draft!$B$2:$B1000, Draft!$A$2:$A1000=J$1), ROW(I9)), """")"),"Kyle Monangai")</f>
        <v>Kyle Monangai</v>
      </c>
      <c r="K13" t="str">
        <f ca="1">IFERROR(__xludf.DUMMYFUNCTION("IFERROR(INDEX(FILTER(Draft!$B$2:$B1000, Draft!$A$2:$A1000=K$1), ROW(J9)), """")"),"")</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J19"/>
  <sheetViews>
    <sheetView workbookViewId="0"/>
  </sheetViews>
  <sheetFormatPr baseColWidth="10" defaultColWidth="12.5" defaultRowHeight="15.75" customHeight="1"/>
  <cols>
    <col min="1" max="1" width="26.5" customWidth="1"/>
    <col min="2" max="2" width="24.5" customWidth="1"/>
    <col min="3" max="3" width="20.33203125" customWidth="1"/>
    <col min="4" max="4" width="30.1640625" customWidth="1"/>
    <col min="5" max="5" width="33.6640625" customWidth="1"/>
    <col min="6" max="6" width="17.1640625" customWidth="1"/>
    <col min="7" max="7" width="26.6640625" customWidth="1"/>
    <col min="8" max="8" width="14.33203125" customWidth="1"/>
    <col min="9" max="9" width="20.5" customWidth="1"/>
    <col min="10" max="10" width="25" customWidth="1"/>
  </cols>
  <sheetData>
    <row r="1" spans="1:10" ht="15.75" customHeight="1">
      <c r="A1" s="26" t="s">
        <v>54</v>
      </c>
      <c r="B1" s="26" t="s">
        <v>55</v>
      </c>
      <c r="C1" s="26" t="s">
        <v>56</v>
      </c>
      <c r="D1" s="26" t="s">
        <v>57</v>
      </c>
      <c r="E1" s="26" t="s">
        <v>58</v>
      </c>
      <c r="F1" s="26" t="s">
        <v>59</v>
      </c>
      <c r="G1" s="26" t="s">
        <v>60</v>
      </c>
      <c r="H1" s="26" t="s">
        <v>61</v>
      </c>
      <c r="I1" s="26" t="s">
        <v>62</v>
      </c>
      <c r="J1" s="26" t="s">
        <v>52</v>
      </c>
    </row>
    <row r="2" spans="1:10" ht="15.75" customHeight="1">
      <c r="A2" s="34" t="s">
        <v>63</v>
      </c>
      <c r="B2" s="34" t="s">
        <v>64</v>
      </c>
      <c r="C2" s="34" t="s">
        <v>65</v>
      </c>
      <c r="D2" s="34" t="s">
        <v>66</v>
      </c>
      <c r="E2" s="34" t="s">
        <v>67</v>
      </c>
      <c r="F2" s="34" t="s">
        <v>68</v>
      </c>
      <c r="G2" s="34" t="s">
        <v>69</v>
      </c>
      <c r="H2" s="34" t="s">
        <v>70</v>
      </c>
      <c r="I2" s="34" t="s">
        <v>71</v>
      </c>
      <c r="J2" s="34" t="s">
        <v>72</v>
      </c>
    </row>
    <row r="3" spans="1:10" ht="15.75" customHeight="1">
      <c r="A3" s="34" t="s">
        <v>73</v>
      </c>
      <c r="B3" s="34" t="s">
        <v>74</v>
      </c>
      <c r="C3" s="34" t="s">
        <v>68</v>
      </c>
      <c r="D3" s="34" t="s">
        <v>75</v>
      </c>
      <c r="E3" s="34" t="s">
        <v>76</v>
      </c>
      <c r="F3" s="34" t="s">
        <v>77</v>
      </c>
      <c r="G3" s="34" t="s">
        <v>78</v>
      </c>
      <c r="H3" s="34" t="s">
        <v>79</v>
      </c>
      <c r="I3" s="34" t="s">
        <v>80</v>
      </c>
      <c r="J3" s="34" t="s">
        <v>81</v>
      </c>
    </row>
    <row r="4" spans="1:10" ht="15.75" customHeight="1">
      <c r="A4" s="34" t="s">
        <v>68</v>
      </c>
      <c r="B4" s="34" t="s">
        <v>68</v>
      </c>
      <c r="C4" s="34" t="s">
        <v>76</v>
      </c>
      <c r="D4" s="34" t="s">
        <v>82</v>
      </c>
      <c r="E4" s="34" t="s">
        <v>83</v>
      </c>
      <c r="F4" s="34" t="s">
        <v>84</v>
      </c>
      <c r="G4" s="34" t="s">
        <v>76</v>
      </c>
      <c r="H4" s="34" t="s">
        <v>85</v>
      </c>
      <c r="I4" s="34" t="s">
        <v>86</v>
      </c>
      <c r="J4" s="34" t="s">
        <v>67</v>
      </c>
    </row>
    <row r="5" spans="1:10" ht="15.75" customHeight="1">
      <c r="A5" s="34" t="s">
        <v>87</v>
      </c>
      <c r="B5" s="34" t="s">
        <v>88</v>
      </c>
      <c r="C5" s="34" t="s">
        <v>77</v>
      </c>
      <c r="D5" s="34" t="s">
        <v>89</v>
      </c>
      <c r="E5" s="34" t="s">
        <v>70</v>
      </c>
      <c r="F5" s="34" t="s">
        <v>70</v>
      </c>
      <c r="G5" s="34" t="s">
        <v>90</v>
      </c>
      <c r="H5" s="34" t="s">
        <v>91</v>
      </c>
      <c r="I5" s="34" t="s">
        <v>67</v>
      </c>
      <c r="J5" s="34" t="s">
        <v>92</v>
      </c>
    </row>
    <row r="6" spans="1:10" ht="15.75" customHeight="1">
      <c r="A6" s="34" t="s">
        <v>76</v>
      </c>
      <c r="B6" s="34" t="s">
        <v>77</v>
      </c>
      <c r="C6" s="34" t="s">
        <v>84</v>
      </c>
      <c r="D6" s="34" t="s">
        <v>84</v>
      </c>
      <c r="E6" s="34" t="s">
        <v>79</v>
      </c>
      <c r="F6" s="34" t="s">
        <v>79</v>
      </c>
      <c r="G6" s="34" t="s">
        <v>77</v>
      </c>
      <c r="H6" s="34" t="s">
        <v>93</v>
      </c>
      <c r="I6" s="34" t="s">
        <v>94</v>
      </c>
      <c r="J6" s="34" t="s">
        <v>68</v>
      </c>
    </row>
    <row r="7" spans="1:10" ht="15.75" customHeight="1">
      <c r="A7" s="34" t="s">
        <v>95</v>
      </c>
      <c r="B7" s="34" t="s">
        <v>84</v>
      </c>
      <c r="C7" s="34" t="s">
        <v>70</v>
      </c>
      <c r="D7" s="34" t="s">
        <v>70</v>
      </c>
      <c r="E7" s="34" t="s">
        <v>85</v>
      </c>
      <c r="F7" s="34" t="s">
        <v>85</v>
      </c>
      <c r="G7" s="34" t="s">
        <v>96</v>
      </c>
      <c r="H7" s="34" t="s">
        <v>97</v>
      </c>
      <c r="I7" s="34" t="s">
        <v>98</v>
      </c>
      <c r="J7" s="34" t="s">
        <v>99</v>
      </c>
    </row>
    <row r="8" spans="1:10" ht="15.75" customHeight="1">
      <c r="A8" s="34" t="s">
        <v>100</v>
      </c>
      <c r="B8" s="34" t="s">
        <v>101</v>
      </c>
      <c r="C8" s="34" t="s">
        <v>79</v>
      </c>
      <c r="D8" s="34" t="s">
        <v>85</v>
      </c>
      <c r="E8" s="34" t="s">
        <v>91</v>
      </c>
      <c r="F8" s="34" t="s">
        <v>91</v>
      </c>
      <c r="G8" s="34" t="s">
        <v>70</v>
      </c>
      <c r="H8" s="34" t="s">
        <v>102</v>
      </c>
      <c r="I8" s="34" t="s">
        <v>103</v>
      </c>
      <c r="J8" s="34" t="s">
        <v>70</v>
      </c>
    </row>
    <row r="9" spans="1:10" ht="15.75" customHeight="1">
      <c r="A9" s="34" t="s">
        <v>70</v>
      </c>
      <c r="B9" s="34" t="s">
        <v>70</v>
      </c>
      <c r="C9" s="34" t="s">
        <v>85</v>
      </c>
      <c r="D9" s="34" t="s">
        <v>104</v>
      </c>
      <c r="E9" s="34" t="s">
        <v>105</v>
      </c>
      <c r="F9" s="34" t="s">
        <v>106</v>
      </c>
      <c r="G9" s="34" t="s">
        <v>79</v>
      </c>
      <c r="H9" s="34" t="s">
        <v>107</v>
      </c>
      <c r="I9" s="34" t="s">
        <v>77</v>
      </c>
      <c r="J9" s="34" t="s">
        <v>79</v>
      </c>
    </row>
    <row r="10" spans="1:10" ht="15.75" customHeight="1">
      <c r="A10" s="34" t="s">
        <v>79</v>
      </c>
      <c r="B10" s="34" t="s">
        <v>108</v>
      </c>
      <c r="C10" s="34" t="s">
        <v>91</v>
      </c>
      <c r="D10" s="34" t="s">
        <v>91</v>
      </c>
      <c r="E10" s="34" t="s">
        <v>106</v>
      </c>
      <c r="F10" s="34" t="s">
        <v>93</v>
      </c>
      <c r="G10" s="34" t="s">
        <v>85</v>
      </c>
      <c r="H10" s="34" t="s">
        <v>109</v>
      </c>
      <c r="I10" s="34" t="s">
        <v>110</v>
      </c>
      <c r="J10" s="34" t="s">
        <v>111</v>
      </c>
    </row>
    <row r="11" spans="1:10" ht="15">
      <c r="A11" s="34" t="s">
        <v>85</v>
      </c>
      <c r="B11" s="34" t="s">
        <v>79</v>
      </c>
      <c r="C11" s="34" t="s">
        <v>106</v>
      </c>
      <c r="D11" s="34" t="s">
        <v>106</v>
      </c>
      <c r="E11" s="34" t="s">
        <v>112</v>
      </c>
      <c r="F11" s="34" t="s">
        <v>97</v>
      </c>
      <c r="G11" s="34" t="s">
        <v>91</v>
      </c>
      <c r="H11" s="35"/>
      <c r="I11" s="34" t="s">
        <v>79</v>
      </c>
      <c r="J11" s="34" t="s">
        <v>85</v>
      </c>
    </row>
    <row r="12" spans="1:10" ht="15.75" customHeight="1">
      <c r="A12" s="34" t="s">
        <v>91</v>
      </c>
      <c r="B12" s="34" t="s">
        <v>85</v>
      </c>
      <c r="C12" s="34" t="s">
        <v>93</v>
      </c>
      <c r="D12" s="34" t="s">
        <v>93</v>
      </c>
      <c r="E12" s="34" t="s">
        <v>93</v>
      </c>
      <c r="F12" s="34" t="s">
        <v>102</v>
      </c>
      <c r="G12" s="34" t="s">
        <v>106</v>
      </c>
      <c r="I12" s="34" t="s">
        <v>106</v>
      </c>
      <c r="J12" s="34" t="s">
        <v>91</v>
      </c>
    </row>
    <row r="13" spans="1:10" ht="15.75" customHeight="1">
      <c r="A13" s="34" t="s">
        <v>106</v>
      </c>
      <c r="B13" s="34" t="s">
        <v>91</v>
      </c>
      <c r="C13" s="34" t="s">
        <v>97</v>
      </c>
      <c r="D13" s="34" t="s">
        <v>97</v>
      </c>
      <c r="E13" s="34" t="s">
        <v>113</v>
      </c>
      <c r="F13" s="34" t="s">
        <v>107</v>
      </c>
      <c r="G13" s="34" t="s">
        <v>93</v>
      </c>
      <c r="I13" s="34" t="s">
        <v>97</v>
      </c>
      <c r="J13" s="34" t="s">
        <v>106</v>
      </c>
    </row>
    <row r="14" spans="1:10" ht="15.75" customHeight="1">
      <c r="A14" s="34" t="s">
        <v>93</v>
      </c>
      <c r="B14" s="34" t="s">
        <v>106</v>
      </c>
      <c r="C14" s="34" t="s">
        <v>102</v>
      </c>
      <c r="D14" s="34" t="s">
        <v>102</v>
      </c>
      <c r="E14" s="34" t="s">
        <v>97</v>
      </c>
      <c r="F14" s="34" t="s">
        <v>109</v>
      </c>
      <c r="G14" s="34" t="s">
        <v>97</v>
      </c>
      <c r="I14" s="34" t="s">
        <v>102</v>
      </c>
      <c r="J14" s="34" t="s">
        <v>93</v>
      </c>
    </row>
    <row r="15" spans="1:10" ht="15.75" customHeight="1">
      <c r="A15" s="34" t="s">
        <v>102</v>
      </c>
      <c r="B15" s="34" t="s">
        <v>93</v>
      </c>
      <c r="C15" s="34" t="s">
        <v>107</v>
      </c>
      <c r="D15" s="34" t="s">
        <v>107</v>
      </c>
      <c r="E15" s="34" t="s">
        <v>102</v>
      </c>
      <c r="G15" s="34" t="s">
        <v>102</v>
      </c>
      <c r="I15" s="34" t="s">
        <v>107</v>
      </c>
      <c r="J15" s="34" t="s">
        <v>97</v>
      </c>
    </row>
    <row r="16" spans="1:10" ht="15.75" customHeight="1">
      <c r="A16" s="34" t="s">
        <v>107</v>
      </c>
      <c r="B16" s="34" t="s">
        <v>97</v>
      </c>
      <c r="C16" s="34" t="s">
        <v>109</v>
      </c>
      <c r="D16" s="34" t="s">
        <v>109</v>
      </c>
      <c r="E16" s="34" t="s">
        <v>107</v>
      </c>
      <c r="G16" s="34" t="s">
        <v>107</v>
      </c>
      <c r="I16" s="34" t="s">
        <v>109</v>
      </c>
      <c r="J16" s="34" t="s">
        <v>102</v>
      </c>
    </row>
    <row r="17" spans="1:10" ht="15.75" customHeight="1">
      <c r="A17" s="34" t="s">
        <v>109</v>
      </c>
      <c r="B17" s="34" t="s">
        <v>102</v>
      </c>
      <c r="E17" s="34" t="s">
        <v>109</v>
      </c>
      <c r="G17" s="34" t="s">
        <v>109</v>
      </c>
      <c r="I17" s="34"/>
      <c r="J17" s="34" t="s">
        <v>107</v>
      </c>
    </row>
    <row r="18" spans="1:10" ht="15.75" customHeight="1">
      <c r="B18" s="34" t="s">
        <v>107</v>
      </c>
      <c r="J18" s="34" t="s">
        <v>109</v>
      </c>
    </row>
    <row r="19" spans="1:10" ht="15.75" customHeight="1">
      <c r="B19" s="34"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384"/>
  <sheetViews>
    <sheetView topLeftCell="A24" zoomScale="125" workbookViewId="0">
      <selection activeCell="C27" sqref="C27"/>
    </sheetView>
  </sheetViews>
  <sheetFormatPr baseColWidth="10" defaultColWidth="12.5" defaultRowHeight="15.75" customHeight="1"/>
  <sheetData>
    <row r="1" spans="1:11" ht="15.75" customHeight="1">
      <c r="A1" s="36" t="s">
        <v>114</v>
      </c>
      <c r="B1" s="37" t="s">
        <v>115</v>
      </c>
      <c r="C1" s="37" t="s">
        <v>116</v>
      </c>
      <c r="D1" s="37" t="s">
        <v>117</v>
      </c>
      <c r="E1" s="37" t="s">
        <v>118</v>
      </c>
      <c r="F1" s="37" t="s">
        <v>119</v>
      </c>
      <c r="G1" s="37" t="s">
        <v>120</v>
      </c>
      <c r="H1" s="37" t="s">
        <v>121</v>
      </c>
      <c r="I1" s="37" t="s">
        <v>122</v>
      </c>
      <c r="J1" s="37" t="s">
        <v>123</v>
      </c>
      <c r="K1" s="26" t="s">
        <v>118</v>
      </c>
    </row>
    <row r="2" spans="1:11" ht="15.75" customHeight="1">
      <c r="A2" s="38">
        <v>1</v>
      </c>
      <c r="B2" s="39">
        <v>1</v>
      </c>
      <c r="C2" s="40" t="s">
        <v>124</v>
      </c>
      <c r="D2" s="40" t="s">
        <v>125</v>
      </c>
      <c r="E2" s="40" t="s">
        <v>126</v>
      </c>
      <c r="F2" s="39">
        <v>1</v>
      </c>
      <c r="G2" s="39">
        <v>5</v>
      </c>
      <c r="H2" s="39">
        <v>1.3</v>
      </c>
      <c r="I2" s="39">
        <v>1</v>
      </c>
      <c r="J2" s="40" t="s">
        <v>127</v>
      </c>
      <c r="K2" t="str">
        <f t="shared" ref="K2:K256" si="0">LEFT(E2,2)</f>
        <v>RB</v>
      </c>
    </row>
    <row r="3" spans="1:11" ht="15.75" customHeight="1">
      <c r="A3" s="38">
        <v>2</v>
      </c>
      <c r="B3" s="39">
        <v>1</v>
      </c>
      <c r="C3" s="41" t="s">
        <v>128</v>
      </c>
      <c r="D3" s="41" t="s">
        <v>129</v>
      </c>
      <c r="E3" s="41" t="s">
        <v>130</v>
      </c>
      <c r="F3" s="42">
        <v>2</v>
      </c>
      <c r="G3" s="42">
        <v>4</v>
      </c>
      <c r="H3" s="42">
        <v>2.2000000000000002</v>
      </c>
      <c r="I3" s="42">
        <v>0.5</v>
      </c>
      <c r="J3" s="41" t="s">
        <v>127</v>
      </c>
      <c r="K3" t="str">
        <f t="shared" si="0"/>
        <v>WR</v>
      </c>
    </row>
    <row r="4" spans="1:11" ht="15.75" customHeight="1">
      <c r="A4" s="38">
        <v>3</v>
      </c>
      <c r="B4" s="39">
        <v>1</v>
      </c>
      <c r="C4" s="41" t="s">
        <v>131</v>
      </c>
      <c r="D4" s="41" t="s">
        <v>132</v>
      </c>
      <c r="E4" s="41" t="s">
        <v>133</v>
      </c>
      <c r="F4" s="42">
        <v>1</v>
      </c>
      <c r="G4" s="42">
        <v>5</v>
      </c>
      <c r="H4" s="42">
        <v>3.2</v>
      </c>
      <c r="I4" s="42">
        <v>1</v>
      </c>
      <c r="J4" s="41" t="s">
        <v>127</v>
      </c>
      <c r="K4" t="str">
        <f t="shared" si="0"/>
        <v>RB</v>
      </c>
    </row>
    <row r="5" spans="1:11" ht="15.75" customHeight="1">
      <c r="A5" s="38">
        <v>4</v>
      </c>
      <c r="B5" s="39">
        <v>2</v>
      </c>
      <c r="C5" s="41" t="s">
        <v>134</v>
      </c>
      <c r="D5" s="41" t="s">
        <v>135</v>
      </c>
      <c r="E5" s="41" t="s">
        <v>136</v>
      </c>
      <c r="F5" s="42">
        <v>4</v>
      </c>
      <c r="G5" s="42">
        <v>6</v>
      </c>
      <c r="H5" s="42">
        <v>4.5999999999999996</v>
      </c>
      <c r="I5" s="42">
        <v>0.9</v>
      </c>
      <c r="J5" s="41" t="s">
        <v>127</v>
      </c>
      <c r="K5" t="str">
        <f t="shared" si="0"/>
        <v>WR</v>
      </c>
    </row>
    <row r="6" spans="1:11" ht="15.75" customHeight="1">
      <c r="A6" s="38">
        <v>5</v>
      </c>
      <c r="B6" s="39">
        <v>2</v>
      </c>
      <c r="C6" s="41" t="s">
        <v>137</v>
      </c>
      <c r="D6" s="41" t="s">
        <v>138</v>
      </c>
      <c r="E6" s="41" t="s">
        <v>139</v>
      </c>
      <c r="F6" s="42">
        <v>4</v>
      </c>
      <c r="G6" s="42">
        <v>6</v>
      </c>
      <c r="H6" s="42">
        <v>5.3</v>
      </c>
      <c r="I6" s="42">
        <v>1</v>
      </c>
      <c r="J6" s="41" t="s">
        <v>127</v>
      </c>
      <c r="K6" t="str">
        <f t="shared" si="0"/>
        <v>WR</v>
      </c>
    </row>
    <row r="7" spans="1:11" ht="15.75" customHeight="1">
      <c r="A7" s="38">
        <v>6</v>
      </c>
      <c r="B7" s="39">
        <v>2</v>
      </c>
      <c r="C7" s="41" t="s">
        <v>140</v>
      </c>
      <c r="D7" s="41" t="s">
        <v>141</v>
      </c>
      <c r="E7" s="41" t="s">
        <v>142</v>
      </c>
      <c r="F7" s="42">
        <v>3</v>
      </c>
      <c r="G7" s="42">
        <v>8</v>
      </c>
      <c r="H7" s="42">
        <v>5.8</v>
      </c>
      <c r="I7" s="42">
        <v>1.9</v>
      </c>
      <c r="J7" s="41" t="s">
        <v>127</v>
      </c>
      <c r="K7" t="str">
        <f t="shared" si="0"/>
        <v>RB</v>
      </c>
    </row>
    <row r="8" spans="1:11" ht="15.75" customHeight="1">
      <c r="A8" s="38">
        <v>7</v>
      </c>
      <c r="B8" s="39">
        <v>2</v>
      </c>
      <c r="C8" s="41" t="s">
        <v>143</v>
      </c>
      <c r="D8" s="41" t="s">
        <v>144</v>
      </c>
      <c r="E8" s="41" t="s">
        <v>145</v>
      </c>
      <c r="F8" s="42">
        <v>7</v>
      </c>
      <c r="G8" s="42">
        <v>14</v>
      </c>
      <c r="H8" s="42">
        <v>8.1</v>
      </c>
      <c r="I8" s="42">
        <v>1.8</v>
      </c>
      <c r="J8" s="41" t="s">
        <v>127</v>
      </c>
      <c r="K8" t="str">
        <f t="shared" si="0"/>
        <v>WR</v>
      </c>
    </row>
    <row r="9" spans="1:11" ht="15.75" customHeight="1">
      <c r="A9" s="38">
        <v>8</v>
      </c>
      <c r="B9" s="39">
        <v>2</v>
      </c>
      <c r="C9" s="41" t="s">
        <v>146</v>
      </c>
      <c r="D9" s="41" t="s">
        <v>132</v>
      </c>
      <c r="E9" s="41" t="s">
        <v>147</v>
      </c>
      <c r="F9" s="42">
        <v>7</v>
      </c>
      <c r="G9" s="42">
        <v>9</v>
      </c>
      <c r="H9" s="42">
        <v>8.4</v>
      </c>
      <c r="I9" s="42">
        <v>0.9</v>
      </c>
      <c r="J9" s="41" t="s">
        <v>127</v>
      </c>
      <c r="K9" t="str">
        <f t="shared" si="0"/>
        <v>WR</v>
      </c>
    </row>
    <row r="10" spans="1:11" ht="15.75" customHeight="1">
      <c r="A10" s="38">
        <v>9</v>
      </c>
      <c r="B10" s="39">
        <v>2</v>
      </c>
      <c r="C10" s="41" t="s">
        <v>148</v>
      </c>
      <c r="D10" s="41" t="s">
        <v>149</v>
      </c>
      <c r="E10" s="41" t="s">
        <v>150</v>
      </c>
      <c r="F10" s="42">
        <v>5</v>
      </c>
      <c r="G10" s="42">
        <v>15</v>
      </c>
      <c r="H10" s="42">
        <v>9.3000000000000007</v>
      </c>
      <c r="I10" s="42">
        <v>2.7</v>
      </c>
      <c r="J10" s="41" t="s">
        <v>127</v>
      </c>
      <c r="K10" t="str">
        <f t="shared" si="0"/>
        <v>RB</v>
      </c>
    </row>
    <row r="11" spans="1:11" ht="15.75" customHeight="1">
      <c r="A11" s="38">
        <v>10</v>
      </c>
      <c r="B11" s="39">
        <v>3</v>
      </c>
      <c r="C11" s="41" t="s">
        <v>151</v>
      </c>
      <c r="D11" s="41" t="s">
        <v>152</v>
      </c>
      <c r="E11" s="41" t="s">
        <v>153</v>
      </c>
      <c r="F11" s="42">
        <v>3</v>
      </c>
      <c r="G11" s="42">
        <v>15</v>
      </c>
      <c r="H11" s="42">
        <v>10.8</v>
      </c>
      <c r="I11" s="42">
        <v>3.3</v>
      </c>
      <c r="J11" s="41" t="s">
        <v>127</v>
      </c>
      <c r="K11" t="str">
        <f t="shared" si="0"/>
        <v>RB</v>
      </c>
    </row>
    <row r="12" spans="1:11" ht="15.75" customHeight="1">
      <c r="A12" s="38">
        <v>11</v>
      </c>
      <c r="B12" s="39">
        <v>3</v>
      </c>
      <c r="C12" s="41" t="s">
        <v>154</v>
      </c>
      <c r="D12" s="41" t="s">
        <v>155</v>
      </c>
      <c r="E12" s="41" t="s">
        <v>156</v>
      </c>
      <c r="F12" s="42">
        <v>10</v>
      </c>
      <c r="G12" s="42">
        <v>19</v>
      </c>
      <c r="H12" s="42">
        <v>12.1</v>
      </c>
      <c r="I12" s="42">
        <v>2.7</v>
      </c>
      <c r="J12" s="41" t="s">
        <v>127</v>
      </c>
      <c r="K12" t="str">
        <f t="shared" si="0"/>
        <v>WR</v>
      </c>
    </row>
    <row r="13" spans="1:11" ht="15.75" customHeight="1">
      <c r="A13" s="38">
        <v>12</v>
      </c>
      <c r="B13" s="39">
        <v>3</v>
      </c>
      <c r="C13" s="41" t="s">
        <v>157</v>
      </c>
      <c r="D13" s="41" t="s">
        <v>158</v>
      </c>
      <c r="E13" s="41" t="s">
        <v>159</v>
      </c>
      <c r="F13" s="42">
        <v>10</v>
      </c>
      <c r="G13" s="42">
        <v>21</v>
      </c>
      <c r="H13" s="42">
        <v>13.3</v>
      </c>
      <c r="I13" s="42">
        <v>4.0999999999999996</v>
      </c>
      <c r="J13" s="41" t="s">
        <v>127</v>
      </c>
      <c r="K13" t="str">
        <f t="shared" si="0"/>
        <v>WR</v>
      </c>
    </row>
    <row r="14" spans="1:11" ht="15.75" customHeight="1">
      <c r="A14" s="38">
        <v>13</v>
      </c>
      <c r="B14" s="39">
        <v>3</v>
      </c>
      <c r="C14" s="41" t="s">
        <v>160</v>
      </c>
      <c r="D14" s="41" t="s">
        <v>125</v>
      </c>
      <c r="E14" s="41" t="s">
        <v>161</v>
      </c>
      <c r="F14" s="42">
        <v>9</v>
      </c>
      <c r="G14" s="42">
        <v>24</v>
      </c>
      <c r="H14" s="42">
        <v>14.2</v>
      </c>
      <c r="I14" s="42">
        <v>4.3</v>
      </c>
      <c r="J14" s="41" t="s">
        <v>127</v>
      </c>
      <c r="K14" t="str">
        <f t="shared" si="0"/>
        <v>WR</v>
      </c>
    </row>
    <row r="15" spans="1:11" ht="15.75" customHeight="1">
      <c r="A15" s="38">
        <v>14</v>
      </c>
      <c r="B15" s="39">
        <v>3</v>
      </c>
      <c r="C15" s="41" t="s">
        <v>162</v>
      </c>
      <c r="D15" s="41" t="s">
        <v>163</v>
      </c>
      <c r="E15" s="41" t="s">
        <v>164</v>
      </c>
      <c r="F15" s="42">
        <v>10</v>
      </c>
      <c r="G15" s="42">
        <v>19</v>
      </c>
      <c r="H15" s="42">
        <v>15.7</v>
      </c>
      <c r="I15" s="42">
        <v>3</v>
      </c>
      <c r="J15" s="41" t="s">
        <v>127</v>
      </c>
      <c r="K15" t="str">
        <f t="shared" si="0"/>
        <v>WR</v>
      </c>
    </row>
    <row r="16" spans="1:11" ht="15.75" customHeight="1">
      <c r="A16" s="38">
        <v>15</v>
      </c>
      <c r="B16" s="39">
        <v>4</v>
      </c>
      <c r="C16" s="41" t="s">
        <v>165</v>
      </c>
      <c r="D16" s="41" t="s">
        <v>166</v>
      </c>
      <c r="E16" s="41" t="s">
        <v>167</v>
      </c>
      <c r="F16" s="42">
        <v>12</v>
      </c>
      <c r="G16" s="42">
        <v>30</v>
      </c>
      <c r="H16" s="42">
        <v>17.7</v>
      </c>
      <c r="I16" s="42">
        <v>6.4</v>
      </c>
      <c r="J16" s="41" t="s">
        <v>127</v>
      </c>
      <c r="K16" t="str">
        <f t="shared" si="0"/>
        <v>RB</v>
      </c>
    </row>
    <row r="17" spans="1:11" ht="15.75" customHeight="1">
      <c r="A17" s="38">
        <v>16</v>
      </c>
      <c r="B17" s="39">
        <v>4</v>
      </c>
      <c r="C17" s="41" t="s">
        <v>168</v>
      </c>
      <c r="D17" s="41" t="s">
        <v>169</v>
      </c>
      <c r="E17" s="41" t="s">
        <v>170</v>
      </c>
      <c r="F17" s="42">
        <v>13</v>
      </c>
      <c r="G17" s="42">
        <v>37</v>
      </c>
      <c r="H17" s="42">
        <v>18.600000000000001</v>
      </c>
      <c r="I17" s="42">
        <v>8.3000000000000007</v>
      </c>
      <c r="J17" s="41" t="s">
        <v>127</v>
      </c>
      <c r="K17" t="str">
        <f t="shared" si="0"/>
        <v>RB</v>
      </c>
    </row>
    <row r="18" spans="1:11" ht="15.75" customHeight="1">
      <c r="A18" s="38">
        <v>17</v>
      </c>
      <c r="B18" s="39">
        <v>4</v>
      </c>
      <c r="C18" s="41" t="s">
        <v>171</v>
      </c>
      <c r="D18" s="41" t="s">
        <v>144</v>
      </c>
      <c r="E18" s="41" t="s">
        <v>172</v>
      </c>
      <c r="F18" s="42">
        <v>14</v>
      </c>
      <c r="G18" s="42">
        <v>26</v>
      </c>
      <c r="H18" s="42">
        <v>19.399999999999999</v>
      </c>
      <c r="I18" s="42">
        <v>3</v>
      </c>
      <c r="J18" s="41" t="s">
        <v>127</v>
      </c>
      <c r="K18" t="str">
        <f t="shared" si="0"/>
        <v>WR</v>
      </c>
    </row>
    <row r="19" spans="1:11" ht="15.75" customHeight="1">
      <c r="A19" s="38">
        <v>18</v>
      </c>
      <c r="B19" s="39">
        <v>4</v>
      </c>
      <c r="C19" s="41" t="s">
        <v>53</v>
      </c>
      <c r="D19" s="41" t="s">
        <v>173</v>
      </c>
      <c r="E19" s="41" t="s">
        <v>174</v>
      </c>
      <c r="F19" s="42">
        <v>13</v>
      </c>
      <c r="G19" s="42">
        <v>28</v>
      </c>
      <c r="H19" s="42">
        <v>20.100000000000001</v>
      </c>
      <c r="I19" s="42">
        <v>4.2</v>
      </c>
      <c r="J19" s="41" t="s">
        <v>127</v>
      </c>
      <c r="K19" t="str">
        <f t="shared" si="0"/>
        <v>RB</v>
      </c>
    </row>
    <row r="20" spans="1:11" ht="15.75" customHeight="1">
      <c r="A20" s="38">
        <v>19</v>
      </c>
      <c r="B20" s="39">
        <v>4</v>
      </c>
      <c r="C20" s="41" t="s">
        <v>175</v>
      </c>
      <c r="D20" s="41" t="s">
        <v>169</v>
      </c>
      <c r="E20" s="41" t="s">
        <v>176</v>
      </c>
      <c r="F20" s="42">
        <v>16</v>
      </c>
      <c r="G20" s="42">
        <v>34</v>
      </c>
      <c r="H20" s="42">
        <v>20.100000000000001</v>
      </c>
      <c r="I20" s="42">
        <v>5.9</v>
      </c>
      <c r="J20" s="41" t="s">
        <v>127</v>
      </c>
      <c r="K20" t="str">
        <f t="shared" si="0"/>
        <v>TE</v>
      </c>
    </row>
    <row r="21" spans="1:11" ht="15.75" customHeight="1">
      <c r="A21" s="38">
        <v>20</v>
      </c>
      <c r="B21" s="39">
        <v>4</v>
      </c>
      <c r="C21" s="41" t="s">
        <v>177</v>
      </c>
      <c r="D21" s="41" t="s">
        <v>178</v>
      </c>
      <c r="E21" s="41" t="s">
        <v>179</v>
      </c>
      <c r="F21" s="42">
        <v>16</v>
      </c>
      <c r="G21" s="42">
        <v>34</v>
      </c>
      <c r="H21" s="42">
        <v>20.9</v>
      </c>
      <c r="I21" s="42">
        <v>5.7</v>
      </c>
      <c r="J21" s="41" t="s">
        <v>127</v>
      </c>
      <c r="K21" t="str">
        <f t="shared" si="0"/>
        <v>TE</v>
      </c>
    </row>
    <row r="22" spans="1:11" ht="15.75" customHeight="1">
      <c r="A22" s="38">
        <v>21</v>
      </c>
      <c r="B22" s="39">
        <v>4</v>
      </c>
      <c r="C22" s="41" t="s">
        <v>180</v>
      </c>
      <c r="D22" s="41" t="s">
        <v>181</v>
      </c>
      <c r="E22" s="41" t="s">
        <v>182</v>
      </c>
      <c r="F22" s="42">
        <v>13</v>
      </c>
      <c r="G22" s="42">
        <v>30</v>
      </c>
      <c r="H22" s="42">
        <v>22.3</v>
      </c>
      <c r="I22" s="42">
        <v>6.2</v>
      </c>
      <c r="J22" s="41" t="s">
        <v>127</v>
      </c>
      <c r="K22" t="str">
        <f t="shared" si="0"/>
        <v>RB</v>
      </c>
    </row>
    <row r="23" spans="1:11" ht="15.75" customHeight="1">
      <c r="A23" s="38">
        <v>22</v>
      </c>
      <c r="B23" s="39">
        <v>4</v>
      </c>
      <c r="C23" s="41" t="s">
        <v>183</v>
      </c>
      <c r="D23" s="41" t="s">
        <v>184</v>
      </c>
      <c r="E23" s="41" t="s">
        <v>185</v>
      </c>
      <c r="F23" s="42">
        <v>19</v>
      </c>
      <c r="G23" s="42">
        <v>32</v>
      </c>
      <c r="H23" s="42">
        <v>23.5</v>
      </c>
      <c r="I23" s="42">
        <v>2.9</v>
      </c>
      <c r="J23" s="41" t="s">
        <v>127</v>
      </c>
      <c r="K23" t="str">
        <f t="shared" si="0"/>
        <v>WR</v>
      </c>
    </row>
    <row r="24" spans="1:11" ht="15.75" customHeight="1">
      <c r="A24" s="38">
        <v>23</v>
      </c>
      <c r="B24" s="39">
        <v>4</v>
      </c>
      <c r="C24" s="41" t="s">
        <v>186</v>
      </c>
      <c r="D24" s="41" t="s">
        <v>187</v>
      </c>
      <c r="E24" s="41" t="s">
        <v>188</v>
      </c>
      <c r="F24" s="42">
        <v>15</v>
      </c>
      <c r="G24" s="42">
        <v>37</v>
      </c>
      <c r="H24" s="42">
        <v>23.8</v>
      </c>
      <c r="I24" s="42">
        <v>8.1</v>
      </c>
      <c r="J24" s="41" t="s">
        <v>127</v>
      </c>
      <c r="K24" t="str">
        <f t="shared" si="0"/>
        <v>RB</v>
      </c>
    </row>
    <row r="25" spans="1:11" ht="15.75" customHeight="1">
      <c r="A25" s="38">
        <v>24</v>
      </c>
      <c r="B25" s="39">
        <v>4</v>
      </c>
      <c r="C25" s="41" t="s">
        <v>189</v>
      </c>
      <c r="D25" s="41" t="s">
        <v>190</v>
      </c>
      <c r="E25" s="41" t="s">
        <v>191</v>
      </c>
      <c r="F25" s="42">
        <v>17</v>
      </c>
      <c r="G25" s="42">
        <v>33</v>
      </c>
      <c r="H25" s="42">
        <v>24.8</v>
      </c>
      <c r="I25" s="42">
        <v>4.8</v>
      </c>
      <c r="J25" s="41" t="s">
        <v>127</v>
      </c>
      <c r="K25" t="str">
        <f t="shared" si="0"/>
        <v>RB</v>
      </c>
    </row>
    <row r="26" spans="1:11" ht="13">
      <c r="A26" s="38">
        <v>25</v>
      </c>
      <c r="B26" s="39">
        <v>4</v>
      </c>
      <c r="C26" s="41" t="s">
        <v>192</v>
      </c>
      <c r="D26" s="41" t="s">
        <v>152</v>
      </c>
      <c r="E26" s="41" t="s">
        <v>193</v>
      </c>
      <c r="F26" s="42">
        <v>25</v>
      </c>
      <c r="G26" s="42">
        <v>27</v>
      </c>
      <c r="H26" s="42">
        <v>25.3</v>
      </c>
      <c r="I26" s="42">
        <v>0.7</v>
      </c>
      <c r="J26" s="41" t="s">
        <v>127</v>
      </c>
      <c r="K26" t="str">
        <f t="shared" si="0"/>
        <v>QB</v>
      </c>
    </row>
    <row r="27" spans="1:11" ht="13">
      <c r="A27" s="38">
        <v>26</v>
      </c>
      <c r="B27" s="39">
        <v>5</v>
      </c>
      <c r="C27" s="41" t="s">
        <v>194</v>
      </c>
      <c r="D27" s="41" t="s">
        <v>195</v>
      </c>
      <c r="E27" s="41" t="s">
        <v>196</v>
      </c>
      <c r="F27" s="42">
        <v>11</v>
      </c>
      <c r="G27" s="42">
        <v>51</v>
      </c>
      <c r="H27" s="42">
        <v>27.7</v>
      </c>
      <c r="I27" s="42">
        <v>11.5</v>
      </c>
      <c r="J27" s="41" t="s">
        <v>127</v>
      </c>
      <c r="K27" t="str">
        <f t="shared" si="0"/>
        <v>WR</v>
      </c>
    </row>
    <row r="28" spans="1:11" ht="13">
      <c r="A28" s="38">
        <v>27</v>
      </c>
      <c r="B28" s="39">
        <v>5</v>
      </c>
      <c r="C28" s="41" t="s">
        <v>197</v>
      </c>
      <c r="D28" s="41" t="s">
        <v>190</v>
      </c>
      <c r="E28" s="41" t="s">
        <v>198</v>
      </c>
      <c r="F28" s="42">
        <v>25</v>
      </c>
      <c r="G28" s="42">
        <v>29</v>
      </c>
      <c r="H28" s="42">
        <v>27.8</v>
      </c>
      <c r="I28" s="42">
        <v>1.2</v>
      </c>
      <c r="J28" s="41" t="s">
        <v>127</v>
      </c>
      <c r="K28" t="str">
        <f t="shared" si="0"/>
        <v>QB</v>
      </c>
    </row>
    <row r="29" spans="1:11" ht="13">
      <c r="A29" s="38">
        <v>28</v>
      </c>
      <c r="B29" s="39">
        <v>5</v>
      </c>
      <c r="C29" s="41" t="s">
        <v>199</v>
      </c>
      <c r="D29" s="41" t="s">
        <v>135</v>
      </c>
      <c r="E29" s="41" t="s">
        <v>200</v>
      </c>
      <c r="F29" s="42">
        <v>19</v>
      </c>
      <c r="G29" s="42">
        <v>38</v>
      </c>
      <c r="H29" s="42">
        <v>27.8</v>
      </c>
      <c r="I29" s="42">
        <v>5.3</v>
      </c>
      <c r="J29" s="41" t="s">
        <v>127</v>
      </c>
      <c r="K29" t="str">
        <f t="shared" si="0"/>
        <v>WR</v>
      </c>
    </row>
    <row r="30" spans="1:11" ht="13">
      <c r="A30" s="38">
        <v>29</v>
      </c>
      <c r="B30" s="39">
        <v>5</v>
      </c>
      <c r="C30" s="41" t="s">
        <v>201</v>
      </c>
      <c r="D30" s="41" t="s">
        <v>195</v>
      </c>
      <c r="E30" s="41" t="s">
        <v>202</v>
      </c>
      <c r="F30" s="42">
        <v>15</v>
      </c>
      <c r="G30" s="42">
        <v>45</v>
      </c>
      <c r="H30" s="42">
        <v>28.5</v>
      </c>
      <c r="I30" s="42">
        <v>8.3000000000000007</v>
      </c>
      <c r="J30" s="41" t="s">
        <v>127</v>
      </c>
      <c r="K30" t="str">
        <f t="shared" si="0"/>
        <v>RB</v>
      </c>
    </row>
    <row r="31" spans="1:11" ht="13">
      <c r="A31" s="38">
        <v>30</v>
      </c>
      <c r="B31" s="39">
        <v>5</v>
      </c>
      <c r="C31" s="41" t="s">
        <v>203</v>
      </c>
      <c r="D31" s="41" t="s">
        <v>181</v>
      </c>
      <c r="E31" s="41" t="s">
        <v>204</v>
      </c>
      <c r="F31" s="42">
        <v>19</v>
      </c>
      <c r="G31" s="42">
        <v>41</v>
      </c>
      <c r="H31" s="42">
        <v>30.3</v>
      </c>
      <c r="I31" s="42">
        <v>5.3</v>
      </c>
      <c r="J31" s="41" t="s">
        <v>127</v>
      </c>
      <c r="K31" t="str">
        <f t="shared" si="0"/>
        <v>WR</v>
      </c>
    </row>
    <row r="32" spans="1:11" ht="13">
      <c r="A32" s="38">
        <v>31</v>
      </c>
      <c r="B32" s="39">
        <v>5</v>
      </c>
      <c r="C32" s="41" t="s">
        <v>205</v>
      </c>
      <c r="D32" s="41" t="s">
        <v>206</v>
      </c>
      <c r="E32" s="41" t="s">
        <v>207</v>
      </c>
      <c r="F32" s="42">
        <v>21</v>
      </c>
      <c r="G32" s="42">
        <v>39</v>
      </c>
      <c r="H32" s="42">
        <v>30.6</v>
      </c>
      <c r="I32" s="42">
        <v>5.4</v>
      </c>
      <c r="J32" s="41" t="s">
        <v>127</v>
      </c>
      <c r="K32" t="str">
        <f t="shared" si="0"/>
        <v>WR</v>
      </c>
    </row>
    <row r="33" spans="1:11" ht="13">
      <c r="A33" s="38">
        <v>32</v>
      </c>
      <c r="B33" s="39">
        <v>5</v>
      </c>
      <c r="C33" s="41" t="s">
        <v>208</v>
      </c>
      <c r="D33" s="41" t="s">
        <v>209</v>
      </c>
      <c r="E33" s="41" t="s">
        <v>210</v>
      </c>
      <c r="F33" s="42">
        <v>20</v>
      </c>
      <c r="G33" s="42">
        <v>45</v>
      </c>
      <c r="H33" s="42">
        <v>31.9</v>
      </c>
      <c r="I33" s="42">
        <v>7.7</v>
      </c>
      <c r="J33" s="41" t="s">
        <v>127</v>
      </c>
      <c r="K33" t="str">
        <f t="shared" si="0"/>
        <v>RB</v>
      </c>
    </row>
    <row r="34" spans="1:11" ht="13">
      <c r="A34" s="38">
        <v>33</v>
      </c>
      <c r="B34" s="39">
        <v>5</v>
      </c>
      <c r="C34" s="41" t="s">
        <v>211</v>
      </c>
      <c r="D34" s="41" t="s">
        <v>212</v>
      </c>
      <c r="E34" s="41" t="s">
        <v>213</v>
      </c>
      <c r="F34" s="42">
        <v>27</v>
      </c>
      <c r="G34" s="42">
        <v>53</v>
      </c>
      <c r="H34" s="42">
        <v>32.299999999999997</v>
      </c>
      <c r="I34" s="42">
        <v>8.3000000000000007</v>
      </c>
      <c r="J34" s="41" t="s">
        <v>127</v>
      </c>
      <c r="K34" t="str">
        <f t="shared" si="0"/>
        <v>QB</v>
      </c>
    </row>
    <row r="35" spans="1:11" ht="13">
      <c r="A35" s="38">
        <v>34</v>
      </c>
      <c r="B35" s="39">
        <v>5</v>
      </c>
      <c r="C35" s="41" t="s">
        <v>214</v>
      </c>
      <c r="D35" s="41" t="s">
        <v>135</v>
      </c>
      <c r="E35" s="41" t="s">
        <v>215</v>
      </c>
      <c r="F35" s="42">
        <v>17</v>
      </c>
      <c r="G35" s="42">
        <v>42</v>
      </c>
      <c r="H35" s="42">
        <v>32.799999999999997</v>
      </c>
      <c r="I35" s="42">
        <v>8</v>
      </c>
      <c r="J35" s="41" t="s">
        <v>127</v>
      </c>
      <c r="K35" t="str">
        <f t="shared" si="0"/>
        <v>RB</v>
      </c>
    </row>
    <row r="36" spans="1:11" ht="13">
      <c r="A36" s="38">
        <v>35</v>
      </c>
      <c r="B36" s="39">
        <v>5</v>
      </c>
      <c r="C36" s="41" t="s">
        <v>216</v>
      </c>
      <c r="D36" s="41" t="s">
        <v>129</v>
      </c>
      <c r="E36" s="41" t="s">
        <v>217</v>
      </c>
      <c r="F36" s="42">
        <v>26</v>
      </c>
      <c r="G36" s="42">
        <v>44</v>
      </c>
      <c r="H36" s="42">
        <v>36.200000000000003</v>
      </c>
      <c r="I36" s="42">
        <v>5</v>
      </c>
      <c r="J36" s="41" t="s">
        <v>127</v>
      </c>
      <c r="K36" t="str">
        <f t="shared" si="0"/>
        <v>WR</v>
      </c>
    </row>
    <row r="37" spans="1:11" ht="13">
      <c r="A37" s="38">
        <v>36</v>
      </c>
      <c r="B37" s="39">
        <v>6</v>
      </c>
      <c r="C37" s="41" t="s">
        <v>218</v>
      </c>
      <c r="D37" s="41" t="s">
        <v>219</v>
      </c>
      <c r="E37" s="41" t="s">
        <v>220</v>
      </c>
      <c r="F37" s="42">
        <v>31</v>
      </c>
      <c r="G37" s="42">
        <v>51</v>
      </c>
      <c r="H37" s="42">
        <v>40.299999999999997</v>
      </c>
      <c r="I37" s="42">
        <v>5.4</v>
      </c>
      <c r="J37" s="41" t="s">
        <v>127</v>
      </c>
      <c r="K37" t="str">
        <f t="shared" si="0"/>
        <v>WR</v>
      </c>
    </row>
    <row r="38" spans="1:11" ht="13">
      <c r="A38" s="38">
        <v>37</v>
      </c>
      <c r="B38" s="39">
        <v>6</v>
      </c>
      <c r="C38" s="41" t="s">
        <v>221</v>
      </c>
      <c r="D38" s="41" t="s">
        <v>219</v>
      </c>
      <c r="E38" s="41" t="s">
        <v>222</v>
      </c>
      <c r="F38" s="42">
        <v>30</v>
      </c>
      <c r="G38" s="42">
        <v>52</v>
      </c>
      <c r="H38" s="42">
        <v>42.1</v>
      </c>
      <c r="I38" s="42">
        <v>5.8</v>
      </c>
      <c r="J38" s="41" t="s">
        <v>127</v>
      </c>
      <c r="K38" t="str">
        <f t="shared" si="0"/>
        <v>RB</v>
      </c>
    </row>
    <row r="39" spans="1:11" ht="13">
      <c r="A39" s="38">
        <v>38</v>
      </c>
      <c r="B39" s="39">
        <v>6</v>
      </c>
      <c r="C39" s="41" t="s">
        <v>223</v>
      </c>
      <c r="D39" s="41" t="s">
        <v>209</v>
      </c>
      <c r="E39" s="41" t="s">
        <v>224</v>
      </c>
      <c r="F39" s="42">
        <v>22</v>
      </c>
      <c r="G39" s="42">
        <v>86</v>
      </c>
      <c r="H39" s="42">
        <v>42.3</v>
      </c>
      <c r="I39" s="42">
        <v>20.399999999999999</v>
      </c>
      <c r="J39" s="41" t="s">
        <v>127</v>
      </c>
      <c r="K39" t="str">
        <f t="shared" si="0"/>
        <v>TE</v>
      </c>
    </row>
    <row r="40" spans="1:11" ht="13">
      <c r="A40" s="38">
        <v>39</v>
      </c>
      <c r="B40" s="39">
        <v>6</v>
      </c>
      <c r="C40" s="41" t="s">
        <v>225</v>
      </c>
      <c r="D40" s="41" t="s">
        <v>129</v>
      </c>
      <c r="E40" s="41" t="s">
        <v>226</v>
      </c>
      <c r="F40" s="42">
        <v>33</v>
      </c>
      <c r="G40" s="42">
        <v>49</v>
      </c>
      <c r="H40" s="42">
        <v>42.3</v>
      </c>
      <c r="I40" s="42">
        <v>4.5</v>
      </c>
      <c r="J40" s="41" t="s">
        <v>127</v>
      </c>
      <c r="K40" t="str">
        <f t="shared" si="0"/>
        <v>RB</v>
      </c>
    </row>
    <row r="41" spans="1:11" ht="13">
      <c r="A41" s="38">
        <v>40</v>
      </c>
      <c r="B41" s="39">
        <v>6</v>
      </c>
      <c r="C41" s="41" t="s">
        <v>227</v>
      </c>
      <c r="D41" s="41" t="s">
        <v>190</v>
      </c>
      <c r="E41" s="41" t="s">
        <v>228</v>
      </c>
      <c r="F41" s="42">
        <v>26</v>
      </c>
      <c r="G41" s="42">
        <v>54</v>
      </c>
      <c r="H41" s="42">
        <v>43.5</v>
      </c>
      <c r="I41" s="42">
        <v>8.4</v>
      </c>
      <c r="J41" s="41" t="s">
        <v>127</v>
      </c>
      <c r="K41" t="str">
        <f t="shared" si="0"/>
        <v>WR</v>
      </c>
    </row>
    <row r="42" spans="1:11" ht="13">
      <c r="A42" s="38">
        <v>41</v>
      </c>
      <c r="B42" s="39">
        <v>6</v>
      </c>
      <c r="C42" s="41" t="s">
        <v>229</v>
      </c>
      <c r="D42" s="41" t="s">
        <v>135</v>
      </c>
      <c r="E42" s="41" t="s">
        <v>230</v>
      </c>
      <c r="F42" s="42">
        <v>29</v>
      </c>
      <c r="G42" s="42">
        <v>58</v>
      </c>
      <c r="H42" s="42">
        <v>44.6</v>
      </c>
      <c r="I42" s="42">
        <v>10.7</v>
      </c>
      <c r="J42" s="41" t="s">
        <v>127</v>
      </c>
      <c r="K42" t="str">
        <f t="shared" si="0"/>
        <v>QB</v>
      </c>
    </row>
    <row r="43" spans="1:11" ht="13">
      <c r="A43" s="38">
        <v>42</v>
      </c>
      <c r="B43" s="39">
        <v>6</v>
      </c>
      <c r="C43" s="41" t="s">
        <v>231</v>
      </c>
      <c r="D43" s="41" t="s">
        <v>144</v>
      </c>
      <c r="E43" s="41" t="s">
        <v>232</v>
      </c>
      <c r="F43" s="42">
        <v>30</v>
      </c>
      <c r="G43" s="42">
        <v>57</v>
      </c>
      <c r="H43" s="42">
        <v>44.6</v>
      </c>
      <c r="I43" s="42">
        <v>7.9</v>
      </c>
      <c r="J43" s="41" t="s">
        <v>127</v>
      </c>
      <c r="K43" t="str">
        <f t="shared" si="0"/>
        <v>RB</v>
      </c>
    </row>
    <row r="44" spans="1:11" ht="13">
      <c r="A44" s="38">
        <v>43</v>
      </c>
      <c r="B44" s="39">
        <v>6</v>
      </c>
      <c r="C44" s="41" t="s">
        <v>233</v>
      </c>
      <c r="D44" s="41" t="s">
        <v>184</v>
      </c>
      <c r="E44" s="41" t="s">
        <v>234</v>
      </c>
      <c r="F44" s="42">
        <v>33</v>
      </c>
      <c r="G44" s="42">
        <v>52</v>
      </c>
      <c r="H44" s="42">
        <v>45</v>
      </c>
      <c r="I44" s="42">
        <v>5.7</v>
      </c>
      <c r="J44" s="41" t="s">
        <v>127</v>
      </c>
      <c r="K44" t="str">
        <f t="shared" si="0"/>
        <v>RB</v>
      </c>
    </row>
    <row r="45" spans="1:11" ht="13">
      <c r="A45" s="38">
        <v>44</v>
      </c>
      <c r="B45" s="39">
        <v>6</v>
      </c>
      <c r="C45" s="41" t="s">
        <v>235</v>
      </c>
      <c r="D45" s="41" t="s">
        <v>132</v>
      </c>
      <c r="E45" s="41" t="s">
        <v>236</v>
      </c>
      <c r="F45" s="42">
        <v>38</v>
      </c>
      <c r="G45" s="42">
        <v>65</v>
      </c>
      <c r="H45" s="42">
        <v>45.6</v>
      </c>
      <c r="I45" s="42">
        <v>7.7</v>
      </c>
      <c r="J45" s="41" t="s">
        <v>127</v>
      </c>
      <c r="K45" t="str">
        <f t="shared" si="0"/>
        <v>WR</v>
      </c>
    </row>
    <row r="46" spans="1:11" ht="13">
      <c r="A46" s="38">
        <v>45</v>
      </c>
      <c r="B46" s="39">
        <v>6</v>
      </c>
      <c r="C46" s="41" t="s">
        <v>237</v>
      </c>
      <c r="D46" s="41" t="s">
        <v>238</v>
      </c>
      <c r="E46" s="41" t="s">
        <v>239</v>
      </c>
      <c r="F46" s="42">
        <v>36</v>
      </c>
      <c r="G46" s="42">
        <v>68</v>
      </c>
      <c r="H46" s="42">
        <v>47.8</v>
      </c>
      <c r="I46" s="42">
        <v>11.3</v>
      </c>
      <c r="J46" s="41" t="s">
        <v>127</v>
      </c>
      <c r="K46" t="str">
        <f t="shared" si="0"/>
        <v>QB</v>
      </c>
    </row>
    <row r="47" spans="1:11" ht="13">
      <c r="A47" s="38">
        <v>46</v>
      </c>
      <c r="B47" s="39">
        <v>6</v>
      </c>
      <c r="C47" s="41" t="s">
        <v>240</v>
      </c>
      <c r="D47" s="41" t="s">
        <v>173</v>
      </c>
      <c r="E47" s="41" t="s">
        <v>241</v>
      </c>
      <c r="F47" s="42">
        <v>32</v>
      </c>
      <c r="G47" s="42">
        <v>75</v>
      </c>
      <c r="H47" s="42">
        <v>48.8</v>
      </c>
      <c r="I47" s="42">
        <v>13.9</v>
      </c>
      <c r="J47" s="41" t="s">
        <v>127</v>
      </c>
      <c r="K47" t="str">
        <f t="shared" si="0"/>
        <v>WR</v>
      </c>
    </row>
    <row r="48" spans="1:11" ht="13">
      <c r="A48" s="38">
        <v>47</v>
      </c>
      <c r="B48" s="39">
        <v>6</v>
      </c>
      <c r="C48" s="41" t="s">
        <v>242</v>
      </c>
      <c r="D48" s="41" t="s">
        <v>243</v>
      </c>
      <c r="E48" s="41" t="s">
        <v>244</v>
      </c>
      <c r="F48" s="42">
        <v>40</v>
      </c>
      <c r="G48" s="42">
        <v>57</v>
      </c>
      <c r="H48" s="42">
        <v>48.9</v>
      </c>
      <c r="I48" s="42">
        <v>4.7</v>
      </c>
      <c r="J48" s="41" t="s">
        <v>127</v>
      </c>
      <c r="K48" t="str">
        <f t="shared" si="0"/>
        <v>RB</v>
      </c>
    </row>
    <row r="49" spans="1:11" ht="13">
      <c r="A49" s="38">
        <v>48</v>
      </c>
      <c r="B49" s="39">
        <v>6</v>
      </c>
      <c r="C49" s="41" t="s">
        <v>245</v>
      </c>
      <c r="D49" s="41" t="s">
        <v>187</v>
      </c>
      <c r="E49" s="41" t="s">
        <v>246</v>
      </c>
      <c r="F49" s="42">
        <v>41</v>
      </c>
      <c r="G49" s="42">
        <v>61</v>
      </c>
      <c r="H49" s="42">
        <v>48.9</v>
      </c>
      <c r="I49" s="42">
        <v>6.1</v>
      </c>
      <c r="J49" s="41" t="s">
        <v>127</v>
      </c>
      <c r="K49" t="str">
        <f t="shared" si="0"/>
        <v>WR</v>
      </c>
    </row>
    <row r="50" spans="1:11" ht="13">
      <c r="A50" s="38">
        <v>49</v>
      </c>
      <c r="B50" s="39">
        <v>6</v>
      </c>
      <c r="C50" s="41" t="s">
        <v>247</v>
      </c>
      <c r="D50" s="41" t="s">
        <v>238</v>
      </c>
      <c r="E50" s="41" t="s">
        <v>248</v>
      </c>
      <c r="F50" s="42">
        <v>43</v>
      </c>
      <c r="G50" s="42">
        <v>69</v>
      </c>
      <c r="H50" s="42">
        <v>49</v>
      </c>
      <c r="I50" s="42">
        <v>6.9</v>
      </c>
      <c r="J50" s="41" t="s">
        <v>127</v>
      </c>
      <c r="K50" t="str">
        <f t="shared" si="0"/>
        <v>WR</v>
      </c>
    </row>
    <row r="51" spans="1:11" ht="13">
      <c r="A51" s="38">
        <v>50</v>
      </c>
      <c r="B51" s="39">
        <v>6</v>
      </c>
      <c r="C51" s="41" t="s">
        <v>249</v>
      </c>
      <c r="D51" s="41" t="s">
        <v>250</v>
      </c>
      <c r="E51" s="41" t="s">
        <v>251</v>
      </c>
      <c r="F51" s="42">
        <v>34</v>
      </c>
      <c r="G51" s="42">
        <v>67</v>
      </c>
      <c r="H51" s="42">
        <v>49.8</v>
      </c>
      <c r="I51" s="42">
        <v>11</v>
      </c>
      <c r="J51" s="41" t="s">
        <v>127</v>
      </c>
      <c r="K51" t="str">
        <f t="shared" si="0"/>
        <v>TE</v>
      </c>
    </row>
    <row r="52" spans="1:11" ht="13">
      <c r="A52" s="38">
        <v>51</v>
      </c>
      <c r="B52" s="39">
        <v>6</v>
      </c>
      <c r="C52" s="41" t="s">
        <v>252</v>
      </c>
      <c r="D52" s="41" t="s">
        <v>253</v>
      </c>
      <c r="E52" s="41" t="s">
        <v>254</v>
      </c>
      <c r="F52" s="42">
        <v>35</v>
      </c>
      <c r="G52" s="42">
        <v>75</v>
      </c>
      <c r="H52" s="42">
        <v>51</v>
      </c>
      <c r="I52" s="42">
        <v>10.6</v>
      </c>
      <c r="J52" s="41" t="s">
        <v>127</v>
      </c>
      <c r="K52" t="str">
        <f t="shared" si="0"/>
        <v>WR</v>
      </c>
    </row>
    <row r="53" spans="1:11" ht="13">
      <c r="A53" s="38">
        <v>52</v>
      </c>
      <c r="B53" s="39">
        <v>6</v>
      </c>
      <c r="C53" s="41" t="s">
        <v>255</v>
      </c>
      <c r="D53" s="41" t="s">
        <v>209</v>
      </c>
      <c r="E53" s="41" t="s">
        <v>256</v>
      </c>
      <c r="F53" s="42">
        <v>39</v>
      </c>
      <c r="G53" s="42">
        <v>65</v>
      </c>
      <c r="H53" s="42">
        <v>51.8</v>
      </c>
      <c r="I53" s="42">
        <v>8.4</v>
      </c>
      <c r="J53" s="41" t="s">
        <v>127</v>
      </c>
      <c r="K53" t="str">
        <f t="shared" si="0"/>
        <v>WR</v>
      </c>
    </row>
    <row r="54" spans="1:11" ht="13">
      <c r="A54" s="38">
        <v>53</v>
      </c>
      <c r="B54" s="39">
        <v>6</v>
      </c>
      <c r="C54" s="41" t="s">
        <v>257</v>
      </c>
      <c r="D54" s="41" t="s">
        <v>212</v>
      </c>
      <c r="E54" s="41" t="s">
        <v>258</v>
      </c>
      <c r="F54" s="42">
        <v>37</v>
      </c>
      <c r="G54" s="42">
        <v>71</v>
      </c>
      <c r="H54" s="42">
        <v>53.6</v>
      </c>
      <c r="I54" s="42">
        <v>7.7</v>
      </c>
      <c r="J54" s="41" t="s">
        <v>127</v>
      </c>
      <c r="K54" t="str">
        <f t="shared" si="0"/>
        <v>RB</v>
      </c>
    </row>
    <row r="55" spans="1:11" ht="13">
      <c r="A55" s="38">
        <v>54</v>
      </c>
      <c r="B55" s="39">
        <v>6</v>
      </c>
      <c r="C55" s="41" t="s">
        <v>259</v>
      </c>
      <c r="D55" s="41" t="s">
        <v>181</v>
      </c>
      <c r="E55" s="41" t="s">
        <v>260</v>
      </c>
      <c r="F55" s="42">
        <v>29</v>
      </c>
      <c r="G55" s="42">
        <v>73</v>
      </c>
      <c r="H55" s="42">
        <v>53.7</v>
      </c>
      <c r="I55" s="42">
        <v>10.7</v>
      </c>
      <c r="J55" s="41" t="s">
        <v>127</v>
      </c>
      <c r="K55" t="str">
        <f t="shared" si="0"/>
        <v>QB</v>
      </c>
    </row>
    <row r="56" spans="1:11" ht="13">
      <c r="A56" s="38">
        <v>55</v>
      </c>
      <c r="B56" s="39">
        <v>7</v>
      </c>
      <c r="C56" s="41" t="s">
        <v>261</v>
      </c>
      <c r="D56" s="41" t="s">
        <v>250</v>
      </c>
      <c r="E56" s="41" t="s">
        <v>262</v>
      </c>
      <c r="F56" s="42">
        <v>39</v>
      </c>
      <c r="G56" s="42">
        <v>69</v>
      </c>
      <c r="H56" s="42">
        <v>55.6</v>
      </c>
      <c r="I56" s="42">
        <v>9.3000000000000007</v>
      </c>
      <c r="J56" s="41" t="s">
        <v>127</v>
      </c>
      <c r="K56" t="str">
        <f t="shared" si="0"/>
        <v>WR</v>
      </c>
    </row>
    <row r="57" spans="1:11" ht="13">
      <c r="A57" s="38">
        <v>56</v>
      </c>
      <c r="B57" s="39">
        <v>7</v>
      </c>
      <c r="C57" s="41" t="s">
        <v>263</v>
      </c>
      <c r="D57" s="41" t="s">
        <v>243</v>
      </c>
      <c r="E57" s="41" t="s">
        <v>264</v>
      </c>
      <c r="F57" s="42">
        <v>46</v>
      </c>
      <c r="G57" s="42">
        <v>74</v>
      </c>
      <c r="H57" s="42">
        <v>56.7</v>
      </c>
      <c r="I57" s="42">
        <v>8.8000000000000007</v>
      </c>
      <c r="J57" s="41" t="s">
        <v>127</v>
      </c>
      <c r="K57" t="str">
        <f t="shared" si="0"/>
        <v>WR</v>
      </c>
    </row>
    <row r="58" spans="1:11" ht="13">
      <c r="A58" s="38">
        <v>57</v>
      </c>
      <c r="B58" s="39">
        <v>7</v>
      </c>
      <c r="C58" s="41" t="s">
        <v>265</v>
      </c>
      <c r="D58" s="41" t="s">
        <v>149</v>
      </c>
      <c r="E58" s="41" t="s">
        <v>266</v>
      </c>
      <c r="F58" s="42">
        <v>38</v>
      </c>
      <c r="G58" s="42">
        <v>74</v>
      </c>
      <c r="H58" s="42">
        <v>58.1</v>
      </c>
      <c r="I58" s="42">
        <v>11.9</v>
      </c>
      <c r="J58" s="41" t="s">
        <v>127</v>
      </c>
      <c r="K58" t="str">
        <f t="shared" si="0"/>
        <v>WR</v>
      </c>
    </row>
    <row r="59" spans="1:11" ht="13">
      <c r="A59" s="38">
        <v>58</v>
      </c>
      <c r="B59" s="39">
        <v>7</v>
      </c>
      <c r="C59" s="41" t="s">
        <v>267</v>
      </c>
      <c r="D59" s="41" t="s">
        <v>181</v>
      </c>
      <c r="E59" s="41" t="s">
        <v>268</v>
      </c>
      <c r="F59" s="42">
        <v>39</v>
      </c>
      <c r="G59" s="42">
        <v>75</v>
      </c>
      <c r="H59" s="42">
        <v>58.8</v>
      </c>
      <c r="I59" s="42">
        <v>9.6</v>
      </c>
      <c r="J59" s="41" t="s">
        <v>127</v>
      </c>
      <c r="K59" t="str">
        <f t="shared" si="0"/>
        <v>WR</v>
      </c>
    </row>
    <row r="60" spans="1:11" ht="13">
      <c r="A60" s="38">
        <v>59</v>
      </c>
      <c r="B60" s="39">
        <v>7</v>
      </c>
      <c r="C60" s="41" t="s">
        <v>269</v>
      </c>
      <c r="D60" s="41" t="s">
        <v>250</v>
      </c>
      <c r="E60" s="41" t="s">
        <v>270</v>
      </c>
      <c r="F60" s="42">
        <v>47</v>
      </c>
      <c r="G60" s="42">
        <v>64</v>
      </c>
      <c r="H60" s="42">
        <v>59.4</v>
      </c>
      <c r="I60" s="42">
        <v>4.5</v>
      </c>
      <c r="J60" s="41" t="s">
        <v>127</v>
      </c>
      <c r="K60" t="str">
        <f t="shared" si="0"/>
        <v>RB</v>
      </c>
    </row>
    <row r="61" spans="1:11" ht="13">
      <c r="A61" s="38">
        <v>60</v>
      </c>
      <c r="B61" s="39">
        <v>7</v>
      </c>
      <c r="C61" s="41" t="s">
        <v>271</v>
      </c>
      <c r="D61" s="41" t="s">
        <v>155</v>
      </c>
      <c r="E61" s="41" t="s">
        <v>272</v>
      </c>
      <c r="F61" s="42">
        <v>49</v>
      </c>
      <c r="G61" s="42">
        <v>85</v>
      </c>
      <c r="H61" s="42">
        <v>60.9</v>
      </c>
      <c r="I61" s="42">
        <v>9.6999999999999993</v>
      </c>
      <c r="J61" s="41" t="s">
        <v>127</v>
      </c>
      <c r="K61" t="str">
        <f t="shared" si="0"/>
        <v>RB</v>
      </c>
    </row>
    <row r="62" spans="1:11" ht="13">
      <c r="A62" s="38">
        <v>61</v>
      </c>
      <c r="B62" s="39">
        <v>7</v>
      </c>
      <c r="C62" s="41" t="s">
        <v>273</v>
      </c>
      <c r="D62" s="41" t="s">
        <v>274</v>
      </c>
      <c r="E62" s="41" t="s">
        <v>275</v>
      </c>
      <c r="F62" s="42">
        <v>55</v>
      </c>
      <c r="G62" s="42">
        <v>71</v>
      </c>
      <c r="H62" s="42">
        <v>61.4</v>
      </c>
      <c r="I62" s="42">
        <v>3.7</v>
      </c>
      <c r="J62" s="41" t="s">
        <v>127</v>
      </c>
      <c r="K62" t="str">
        <f t="shared" si="0"/>
        <v>RB</v>
      </c>
    </row>
    <row r="63" spans="1:11" ht="13">
      <c r="A63" s="38">
        <v>62</v>
      </c>
      <c r="B63" s="39">
        <v>7</v>
      </c>
      <c r="C63" s="41" t="s">
        <v>276</v>
      </c>
      <c r="D63" s="41" t="s">
        <v>173</v>
      </c>
      <c r="E63" s="41" t="s">
        <v>277</v>
      </c>
      <c r="F63" s="42">
        <v>24</v>
      </c>
      <c r="G63" s="42">
        <v>89</v>
      </c>
      <c r="H63" s="42">
        <v>61.5</v>
      </c>
      <c r="I63" s="42">
        <v>19</v>
      </c>
      <c r="J63" s="41" t="s">
        <v>127</v>
      </c>
      <c r="K63" t="str">
        <f t="shared" si="0"/>
        <v>WR</v>
      </c>
    </row>
    <row r="64" spans="1:11" ht="13">
      <c r="A64" s="38">
        <v>63</v>
      </c>
      <c r="B64" s="39">
        <v>7</v>
      </c>
      <c r="C64" s="41" t="s">
        <v>278</v>
      </c>
      <c r="D64" s="41" t="s">
        <v>163</v>
      </c>
      <c r="E64" s="41" t="s">
        <v>279</v>
      </c>
      <c r="F64" s="42">
        <v>49</v>
      </c>
      <c r="G64" s="42">
        <v>99</v>
      </c>
      <c r="H64" s="42">
        <v>62</v>
      </c>
      <c r="I64" s="42">
        <v>12.5</v>
      </c>
      <c r="J64" s="41" t="s">
        <v>127</v>
      </c>
      <c r="K64" t="str">
        <f t="shared" si="0"/>
        <v>RB</v>
      </c>
    </row>
    <row r="65" spans="1:11" ht="13">
      <c r="A65" s="38">
        <v>64</v>
      </c>
      <c r="B65" s="39">
        <v>7</v>
      </c>
      <c r="C65" s="41" t="s">
        <v>280</v>
      </c>
      <c r="D65" s="41" t="s">
        <v>152</v>
      </c>
      <c r="E65" s="41" t="s">
        <v>281</v>
      </c>
      <c r="F65" s="42">
        <v>35</v>
      </c>
      <c r="G65" s="42">
        <v>101</v>
      </c>
      <c r="H65" s="42">
        <v>62.3</v>
      </c>
      <c r="I65" s="42">
        <v>17.899999999999999</v>
      </c>
      <c r="J65" s="41" t="s">
        <v>127</v>
      </c>
      <c r="K65" t="str">
        <f t="shared" si="0"/>
        <v>WR</v>
      </c>
    </row>
    <row r="66" spans="1:11" ht="13">
      <c r="A66" s="38">
        <v>65</v>
      </c>
      <c r="B66" s="39">
        <v>7</v>
      </c>
      <c r="C66" s="41" t="s">
        <v>282</v>
      </c>
      <c r="D66" s="41" t="s">
        <v>283</v>
      </c>
      <c r="E66" s="41" t="s">
        <v>284</v>
      </c>
      <c r="F66" s="42">
        <v>49</v>
      </c>
      <c r="G66" s="42">
        <v>85</v>
      </c>
      <c r="H66" s="42">
        <v>63.4</v>
      </c>
      <c r="I66" s="42">
        <v>10.4</v>
      </c>
      <c r="J66" s="41" t="s">
        <v>127</v>
      </c>
      <c r="K66" t="str">
        <f t="shared" si="0"/>
        <v>RB</v>
      </c>
    </row>
    <row r="67" spans="1:11" ht="13">
      <c r="A67" s="38">
        <v>66</v>
      </c>
      <c r="B67" s="39">
        <v>7</v>
      </c>
      <c r="C67" s="41" t="s">
        <v>285</v>
      </c>
      <c r="D67" s="41" t="s">
        <v>173</v>
      </c>
      <c r="E67" s="41" t="s">
        <v>286</v>
      </c>
      <c r="F67" s="42">
        <v>43</v>
      </c>
      <c r="G67" s="42">
        <v>98</v>
      </c>
      <c r="H67" s="42">
        <v>64.2</v>
      </c>
      <c r="I67" s="42">
        <v>18.8</v>
      </c>
      <c r="J67" s="41" t="s">
        <v>127</v>
      </c>
      <c r="K67" t="str">
        <f t="shared" si="0"/>
        <v>WR</v>
      </c>
    </row>
    <row r="68" spans="1:11" ht="13">
      <c r="A68" s="38">
        <v>67</v>
      </c>
      <c r="B68" s="39">
        <v>7</v>
      </c>
      <c r="C68" s="41" t="s">
        <v>287</v>
      </c>
      <c r="D68" s="41" t="s">
        <v>250</v>
      </c>
      <c r="E68" s="41" t="s">
        <v>288</v>
      </c>
      <c r="F68" s="42">
        <v>38</v>
      </c>
      <c r="G68" s="42">
        <v>89</v>
      </c>
      <c r="H68" s="42">
        <v>67.3</v>
      </c>
      <c r="I68" s="42">
        <v>13.2</v>
      </c>
      <c r="J68" s="41" t="s">
        <v>127</v>
      </c>
      <c r="K68" t="str">
        <f t="shared" si="0"/>
        <v>WR</v>
      </c>
    </row>
    <row r="69" spans="1:11" ht="13">
      <c r="A69" s="38">
        <v>68</v>
      </c>
      <c r="B69" s="39">
        <v>7</v>
      </c>
      <c r="C69" s="41" t="s">
        <v>289</v>
      </c>
      <c r="D69" s="41" t="s">
        <v>253</v>
      </c>
      <c r="E69" s="41" t="s">
        <v>290</v>
      </c>
      <c r="F69" s="42">
        <v>47</v>
      </c>
      <c r="G69" s="42">
        <v>92</v>
      </c>
      <c r="H69" s="42">
        <v>68.400000000000006</v>
      </c>
      <c r="I69" s="42">
        <v>12.1</v>
      </c>
      <c r="J69" s="41" t="s">
        <v>127</v>
      </c>
      <c r="K69" t="str">
        <f t="shared" si="0"/>
        <v>RB</v>
      </c>
    </row>
    <row r="70" spans="1:11" ht="13">
      <c r="A70" s="38">
        <v>69</v>
      </c>
      <c r="B70" s="39">
        <v>7</v>
      </c>
      <c r="C70" s="41" t="s">
        <v>291</v>
      </c>
      <c r="D70" s="41" t="s">
        <v>141</v>
      </c>
      <c r="E70" s="41" t="s">
        <v>292</v>
      </c>
      <c r="F70" s="42">
        <v>56</v>
      </c>
      <c r="G70" s="42">
        <v>76</v>
      </c>
      <c r="H70" s="42">
        <v>69.099999999999994</v>
      </c>
      <c r="I70" s="42">
        <v>5.3</v>
      </c>
      <c r="J70" s="41" t="s">
        <v>127</v>
      </c>
      <c r="K70" t="str">
        <f t="shared" si="0"/>
        <v>TE</v>
      </c>
    </row>
    <row r="71" spans="1:11" ht="13">
      <c r="A71" s="38">
        <v>70</v>
      </c>
      <c r="B71" s="39">
        <v>7</v>
      </c>
      <c r="C71" s="41" t="s">
        <v>293</v>
      </c>
      <c r="D71" s="41" t="s">
        <v>141</v>
      </c>
      <c r="E71" s="41" t="s">
        <v>294</v>
      </c>
      <c r="F71" s="42">
        <v>44</v>
      </c>
      <c r="G71" s="42">
        <v>83</v>
      </c>
      <c r="H71" s="42">
        <v>69.8</v>
      </c>
      <c r="I71" s="42">
        <v>11.6</v>
      </c>
      <c r="J71" s="41" t="s">
        <v>127</v>
      </c>
      <c r="K71" t="str">
        <f t="shared" si="0"/>
        <v>WR</v>
      </c>
    </row>
    <row r="72" spans="1:11" ht="13">
      <c r="A72" s="38">
        <v>71</v>
      </c>
      <c r="B72" s="39">
        <v>7</v>
      </c>
      <c r="C72" s="41" t="s">
        <v>295</v>
      </c>
      <c r="D72" s="41" t="s">
        <v>155</v>
      </c>
      <c r="E72" s="41" t="s">
        <v>296</v>
      </c>
      <c r="F72" s="42">
        <v>62</v>
      </c>
      <c r="G72" s="42">
        <v>97</v>
      </c>
      <c r="H72" s="42">
        <v>69.900000000000006</v>
      </c>
      <c r="I72" s="42">
        <v>10.3</v>
      </c>
      <c r="J72" s="41" t="s">
        <v>127</v>
      </c>
      <c r="K72" t="str">
        <f t="shared" si="0"/>
        <v>QB</v>
      </c>
    </row>
    <row r="73" spans="1:11" ht="13">
      <c r="A73" s="38">
        <v>72</v>
      </c>
      <c r="B73" s="39">
        <v>7</v>
      </c>
      <c r="C73" s="41" t="s">
        <v>297</v>
      </c>
      <c r="D73" s="41" t="s">
        <v>250</v>
      </c>
      <c r="E73" s="41" t="s">
        <v>298</v>
      </c>
      <c r="F73" s="42">
        <v>58</v>
      </c>
      <c r="G73" s="42">
        <v>100</v>
      </c>
      <c r="H73" s="42">
        <v>71.3</v>
      </c>
      <c r="I73" s="42">
        <v>11.3</v>
      </c>
      <c r="J73" s="41" t="s">
        <v>127</v>
      </c>
      <c r="K73" t="str">
        <f t="shared" si="0"/>
        <v>QB</v>
      </c>
    </row>
    <row r="74" spans="1:11" ht="13">
      <c r="A74" s="38">
        <v>73</v>
      </c>
      <c r="B74" s="39">
        <v>8</v>
      </c>
      <c r="C74" s="41" t="s">
        <v>299</v>
      </c>
      <c r="D74" s="41" t="s">
        <v>300</v>
      </c>
      <c r="E74" s="41" t="s">
        <v>301</v>
      </c>
      <c r="F74" s="42">
        <v>64</v>
      </c>
      <c r="G74" s="42">
        <v>87</v>
      </c>
      <c r="H74" s="42">
        <v>72.8</v>
      </c>
      <c r="I74" s="42">
        <v>7.6</v>
      </c>
      <c r="J74" s="41" t="s">
        <v>127</v>
      </c>
      <c r="K74" t="str">
        <f t="shared" si="0"/>
        <v>RB</v>
      </c>
    </row>
    <row r="75" spans="1:11" ht="13">
      <c r="A75" s="38">
        <v>74</v>
      </c>
      <c r="B75" s="39">
        <v>8</v>
      </c>
      <c r="C75" s="41" t="s">
        <v>302</v>
      </c>
      <c r="D75" s="41" t="s">
        <v>253</v>
      </c>
      <c r="E75" s="41" t="s">
        <v>303</v>
      </c>
      <c r="F75" s="42">
        <v>54</v>
      </c>
      <c r="G75" s="42">
        <v>91</v>
      </c>
      <c r="H75" s="42">
        <v>73.900000000000006</v>
      </c>
      <c r="I75" s="42">
        <v>10.4</v>
      </c>
      <c r="J75" s="41" t="s">
        <v>127</v>
      </c>
      <c r="K75" t="str">
        <f t="shared" si="0"/>
        <v>WR</v>
      </c>
    </row>
    <row r="76" spans="1:11" ht="13">
      <c r="A76" s="38">
        <v>75</v>
      </c>
      <c r="B76" s="39">
        <v>8</v>
      </c>
      <c r="C76" s="41" t="s">
        <v>304</v>
      </c>
      <c r="D76" s="41" t="s">
        <v>274</v>
      </c>
      <c r="E76" s="41" t="s">
        <v>305</v>
      </c>
      <c r="F76" s="42">
        <v>56</v>
      </c>
      <c r="G76" s="42">
        <v>84</v>
      </c>
      <c r="H76" s="42">
        <v>74</v>
      </c>
      <c r="I76" s="42">
        <v>7.3</v>
      </c>
      <c r="J76" s="41" t="s">
        <v>127</v>
      </c>
      <c r="K76" t="str">
        <f t="shared" si="0"/>
        <v>TE</v>
      </c>
    </row>
    <row r="77" spans="1:11" ht="13">
      <c r="A77" s="38">
        <v>76</v>
      </c>
      <c r="B77" s="39">
        <v>8</v>
      </c>
      <c r="C77" s="41" t="s">
        <v>306</v>
      </c>
      <c r="D77" s="41" t="s">
        <v>300</v>
      </c>
      <c r="E77" s="41" t="s">
        <v>307</v>
      </c>
      <c r="F77" s="42">
        <v>59</v>
      </c>
      <c r="G77" s="42">
        <v>89</v>
      </c>
      <c r="H77" s="42">
        <v>75.5</v>
      </c>
      <c r="I77" s="42">
        <v>8.6</v>
      </c>
      <c r="J77" s="41" t="s">
        <v>127</v>
      </c>
      <c r="K77" t="str">
        <f t="shared" si="0"/>
        <v>WR</v>
      </c>
    </row>
    <row r="78" spans="1:11" ht="13">
      <c r="A78" s="38">
        <v>77</v>
      </c>
      <c r="B78" s="39">
        <v>8</v>
      </c>
      <c r="C78" s="41" t="s">
        <v>308</v>
      </c>
      <c r="D78" s="41" t="s">
        <v>187</v>
      </c>
      <c r="E78" s="41" t="s">
        <v>309</v>
      </c>
      <c r="F78" s="42">
        <v>58</v>
      </c>
      <c r="G78" s="42">
        <v>100</v>
      </c>
      <c r="H78" s="42">
        <v>75.900000000000006</v>
      </c>
      <c r="I78" s="42">
        <v>13.5</v>
      </c>
      <c r="J78" s="41" t="s">
        <v>127</v>
      </c>
      <c r="K78" t="str">
        <f t="shared" si="0"/>
        <v>QB</v>
      </c>
    </row>
    <row r="79" spans="1:11" ht="13">
      <c r="A79" s="38">
        <v>78</v>
      </c>
      <c r="B79" s="39">
        <v>8</v>
      </c>
      <c r="C79" s="41" t="s">
        <v>310</v>
      </c>
      <c r="D79" s="41" t="s">
        <v>250</v>
      </c>
      <c r="E79" s="41" t="s">
        <v>311</v>
      </c>
      <c r="F79" s="42">
        <v>66</v>
      </c>
      <c r="G79" s="42">
        <v>92</v>
      </c>
      <c r="H79" s="42">
        <v>76.3</v>
      </c>
      <c r="I79" s="42">
        <v>7.1</v>
      </c>
      <c r="J79" s="41" t="s">
        <v>127</v>
      </c>
      <c r="K79" t="str">
        <f t="shared" si="0"/>
        <v>RB</v>
      </c>
    </row>
    <row r="80" spans="1:11" ht="13">
      <c r="A80" s="38">
        <v>79</v>
      </c>
      <c r="B80" s="39">
        <v>8</v>
      </c>
      <c r="C80" s="41" t="s">
        <v>312</v>
      </c>
      <c r="D80" s="41" t="s">
        <v>129</v>
      </c>
      <c r="E80" s="41" t="s">
        <v>313</v>
      </c>
      <c r="F80" s="42">
        <v>71</v>
      </c>
      <c r="G80" s="42">
        <v>99</v>
      </c>
      <c r="H80" s="42">
        <v>80.2</v>
      </c>
      <c r="I80" s="42">
        <v>9.1999999999999993</v>
      </c>
      <c r="J80" s="41" t="s">
        <v>127</v>
      </c>
      <c r="K80" t="str">
        <f t="shared" si="0"/>
        <v>RB</v>
      </c>
    </row>
    <row r="81" spans="1:11" ht="13">
      <c r="A81" s="38">
        <v>80</v>
      </c>
      <c r="B81" s="39">
        <v>8</v>
      </c>
      <c r="C81" s="41" t="s">
        <v>314</v>
      </c>
      <c r="D81" s="41" t="s">
        <v>300</v>
      </c>
      <c r="E81" s="41" t="s">
        <v>315</v>
      </c>
      <c r="F81" s="42">
        <v>66</v>
      </c>
      <c r="G81" s="42">
        <v>99</v>
      </c>
      <c r="H81" s="42">
        <v>81.400000000000006</v>
      </c>
      <c r="I81" s="42">
        <v>8</v>
      </c>
      <c r="J81" s="41" t="s">
        <v>127</v>
      </c>
      <c r="K81" t="str">
        <f t="shared" si="0"/>
        <v>RB</v>
      </c>
    </row>
    <row r="82" spans="1:11" ht="13">
      <c r="A82" s="38">
        <v>81</v>
      </c>
      <c r="B82" s="39">
        <v>8</v>
      </c>
      <c r="C82" s="41" t="s">
        <v>316</v>
      </c>
      <c r="D82" s="41" t="s">
        <v>178</v>
      </c>
      <c r="E82" s="41" t="s">
        <v>317</v>
      </c>
      <c r="F82" s="42">
        <v>61</v>
      </c>
      <c r="G82" s="42">
        <v>98</v>
      </c>
      <c r="H82" s="42">
        <v>82</v>
      </c>
      <c r="I82" s="42">
        <v>9.3000000000000007</v>
      </c>
      <c r="J82" s="41" t="s">
        <v>127</v>
      </c>
      <c r="K82" t="str">
        <f t="shared" si="0"/>
        <v>WR</v>
      </c>
    </row>
    <row r="83" spans="1:11" ht="13">
      <c r="A83" s="38">
        <v>82</v>
      </c>
      <c r="B83" s="39">
        <v>8</v>
      </c>
      <c r="C83" s="41" t="s">
        <v>318</v>
      </c>
      <c r="D83" s="41" t="s">
        <v>212</v>
      </c>
      <c r="E83" s="41" t="s">
        <v>319</v>
      </c>
      <c r="F83" s="42">
        <v>66</v>
      </c>
      <c r="G83" s="42">
        <v>99</v>
      </c>
      <c r="H83" s="42">
        <v>82.5</v>
      </c>
      <c r="I83" s="42">
        <v>9.9</v>
      </c>
      <c r="J83" s="41" t="s">
        <v>127</v>
      </c>
      <c r="K83" t="str">
        <f t="shared" si="0"/>
        <v>RB</v>
      </c>
    </row>
    <row r="84" spans="1:11" ht="13">
      <c r="A84" s="38">
        <v>83</v>
      </c>
      <c r="B84" s="39">
        <v>8</v>
      </c>
      <c r="C84" s="41" t="s">
        <v>320</v>
      </c>
      <c r="D84" s="41" t="s">
        <v>132</v>
      </c>
      <c r="E84" s="41" t="s">
        <v>321</v>
      </c>
      <c r="F84" s="42">
        <v>76</v>
      </c>
      <c r="G84" s="42">
        <v>86</v>
      </c>
      <c r="H84" s="42">
        <v>83.6</v>
      </c>
      <c r="I84" s="42">
        <v>2</v>
      </c>
      <c r="J84" s="41" t="s">
        <v>127</v>
      </c>
      <c r="K84" t="str">
        <f t="shared" si="0"/>
        <v>TE</v>
      </c>
    </row>
    <row r="85" spans="1:11" ht="13">
      <c r="A85" s="38">
        <v>84</v>
      </c>
      <c r="B85" s="39">
        <v>8</v>
      </c>
      <c r="C85" s="41" t="s">
        <v>322</v>
      </c>
      <c r="D85" s="41" t="s">
        <v>283</v>
      </c>
      <c r="E85" s="41" t="s">
        <v>323</v>
      </c>
      <c r="F85" s="42">
        <v>62</v>
      </c>
      <c r="G85" s="42">
        <v>103</v>
      </c>
      <c r="H85" s="42">
        <v>84.1</v>
      </c>
      <c r="I85" s="42">
        <v>12.2</v>
      </c>
      <c r="J85" s="41" t="s">
        <v>127</v>
      </c>
      <c r="K85" t="str">
        <f t="shared" si="0"/>
        <v>QB</v>
      </c>
    </row>
    <row r="86" spans="1:11" ht="13">
      <c r="A86" s="38">
        <v>85</v>
      </c>
      <c r="B86" s="39">
        <v>8</v>
      </c>
      <c r="C86" s="41" t="s">
        <v>324</v>
      </c>
      <c r="D86" s="41" t="s">
        <v>125</v>
      </c>
      <c r="E86" s="41" t="s">
        <v>325</v>
      </c>
      <c r="F86" s="42">
        <v>76</v>
      </c>
      <c r="G86" s="42">
        <v>94</v>
      </c>
      <c r="H86" s="42">
        <v>86.9</v>
      </c>
      <c r="I86" s="42">
        <v>4.2</v>
      </c>
      <c r="J86" s="41" t="s">
        <v>127</v>
      </c>
      <c r="K86" t="str">
        <f t="shared" si="0"/>
        <v>TE</v>
      </c>
    </row>
    <row r="87" spans="1:11" ht="13">
      <c r="A87" s="38">
        <v>86</v>
      </c>
      <c r="B87" s="39">
        <v>8</v>
      </c>
      <c r="C87" s="41" t="s">
        <v>326</v>
      </c>
      <c r="D87" s="41" t="s">
        <v>144</v>
      </c>
      <c r="E87" s="41" t="s">
        <v>327</v>
      </c>
      <c r="F87" s="42">
        <v>62</v>
      </c>
      <c r="G87" s="42">
        <v>100</v>
      </c>
      <c r="H87" s="42">
        <v>88.1</v>
      </c>
      <c r="I87" s="42">
        <v>11.8</v>
      </c>
      <c r="J87" s="41" t="s">
        <v>127</v>
      </c>
      <c r="K87" t="str">
        <f t="shared" si="0"/>
        <v>QB</v>
      </c>
    </row>
    <row r="88" spans="1:11" ht="13">
      <c r="A88" s="38">
        <v>87</v>
      </c>
      <c r="B88" s="39">
        <v>8</v>
      </c>
      <c r="C88" s="41" t="s">
        <v>328</v>
      </c>
      <c r="D88" s="41" t="s">
        <v>178</v>
      </c>
      <c r="E88" s="41" t="s">
        <v>329</v>
      </c>
      <c r="F88" s="42">
        <v>66</v>
      </c>
      <c r="G88" s="42">
        <v>113</v>
      </c>
      <c r="H88" s="42">
        <v>89.9</v>
      </c>
      <c r="I88" s="42">
        <v>13.7</v>
      </c>
      <c r="J88" s="41" t="s">
        <v>127</v>
      </c>
      <c r="K88" t="str">
        <f t="shared" si="0"/>
        <v>RB</v>
      </c>
    </row>
    <row r="89" spans="1:11" ht="13">
      <c r="A89" s="38">
        <v>88</v>
      </c>
      <c r="B89" s="39">
        <v>8</v>
      </c>
      <c r="C89" s="41" t="s">
        <v>330</v>
      </c>
      <c r="D89" s="41" t="s">
        <v>283</v>
      </c>
      <c r="E89" s="41" t="s">
        <v>331</v>
      </c>
      <c r="F89" s="42">
        <v>69</v>
      </c>
      <c r="G89" s="42">
        <v>114</v>
      </c>
      <c r="H89" s="42">
        <v>89.9</v>
      </c>
      <c r="I89" s="42">
        <v>12.3</v>
      </c>
      <c r="J89" s="41" t="s">
        <v>127</v>
      </c>
      <c r="K89" t="str">
        <f t="shared" si="0"/>
        <v>WR</v>
      </c>
    </row>
    <row r="90" spans="1:11" ht="13">
      <c r="A90" s="38">
        <v>89</v>
      </c>
      <c r="B90" s="39">
        <v>8</v>
      </c>
      <c r="C90" s="41" t="s">
        <v>332</v>
      </c>
      <c r="D90" s="41" t="s">
        <v>333</v>
      </c>
      <c r="E90" s="41" t="s">
        <v>334</v>
      </c>
      <c r="F90" s="42">
        <v>66</v>
      </c>
      <c r="G90" s="42">
        <v>113</v>
      </c>
      <c r="H90" s="42">
        <v>90.2</v>
      </c>
      <c r="I90" s="42">
        <v>12.9</v>
      </c>
      <c r="J90" s="41" t="s">
        <v>127</v>
      </c>
      <c r="K90" t="str">
        <f t="shared" si="0"/>
        <v>RB</v>
      </c>
    </row>
    <row r="91" spans="1:11" ht="13">
      <c r="A91" s="38">
        <v>90</v>
      </c>
      <c r="B91" s="39">
        <v>8</v>
      </c>
      <c r="C91" s="41" t="s">
        <v>335</v>
      </c>
      <c r="D91" s="41" t="s">
        <v>149</v>
      </c>
      <c r="E91" s="41" t="s">
        <v>336</v>
      </c>
      <c r="F91" s="42">
        <v>73</v>
      </c>
      <c r="G91" s="42">
        <v>103</v>
      </c>
      <c r="H91" s="42">
        <v>90.7</v>
      </c>
      <c r="I91" s="42">
        <v>10.199999999999999</v>
      </c>
      <c r="J91" s="41" t="s">
        <v>127</v>
      </c>
      <c r="K91" t="str">
        <f t="shared" si="0"/>
        <v>QB</v>
      </c>
    </row>
    <row r="92" spans="1:11" ht="13">
      <c r="A92" s="43"/>
      <c r="B92" s="39">
        <v>8</v>
      </c>
      <c r="C92" s="41"/>
      <c r="D92" s="41"/>
      <c r="E92" s="41"/>
      <c r="F92" s="41"/>
      <c r="G92" s="41"/>
      <c r="H92" s="41"/>
      <c r="I92" s="41"/>
      <c r="J92" s="41"/>
      <c r="K92" t="str">
        <f t="shared" si="0"/>
        <v/>
      </c>
    </row>
    <row r="93" spans="1:11" ht="13">
      <c r="A93" s="38">
        <v>91</v>
      </c>
      <c r="B93" s="39">
        <v>8</v>
      </c>
      <c r="C93" s="41" t="s">
        <v>337</v>
      </c>
      <c r="D93" s="41" t="s">
        <v>195</v>
      </c>
      <c r="E93" s="41" t="s">
        <v>338</v>
      </c>
      <c r="F93" s="42">
        <v>73</v>
      </c>
      <c r="G93" s="42">
        <v>104</v>
      </c>
      <c r="H93" s="42">
        <v>92.1</v>
      </c>
      <c r="I93" s="42">
        <v>11.3</v>
      </c>
      <c r="J93" s="41" t="s">
        <v>127</v>
      </c>
      <c r="K93" t="str">
        <f t="shared" si="0"/>
        <v>QB</v>
      </c>
    </row>
    <row r="94" spans="1:11" ht="13">
      <c r="A94" s="38">
        <v>92</v>
      </c>
      <c r="B94" s="39">
        <v>8</v>
      </c>
      <c r="C94" s="41" t="s">
        <v>339</v>
      </c>
      <c r="D94" s="41" t="s">
        <v>206</v>
      </c>
      <c r="E94" s="41" t="s">
        <v>340</v>
      </c>
      <c r="F94" s="42">
        <v>66</v>
      </c>
      <c r="G94" s="42">
        <v>117</v>
      </c>
      <c r="H94" s="42">
        <v>92.3</v>
      </c>
      <c r="I94" s="42">
        <v>15.1</v>
      </c>
      <c r="J94" s="41" t="s">
        <v>127</v>
      </c>
      <c r="K94" t="str">
        <f t="shared" si="0"/>
        <v>RB</v>
      </c>
    </row>
    <row r="95" spans="1:11" ht="13">
      <c r="A95" s="38">
        <v>93</v>
      </c>
      <c r="B95" s="39">
        <v>8</v>
      </c>
      <c r="C95" s="41" t="s">
        <v>341</v>
      </c>
      <c r="D95" s="41" t="s">
        <v>178</v>
      </c>
      <c r="E95" s="41" t="s">
        <v>342</v>
      </c>
      <c r="F95" s="42">
        <v>74</v>
      </c>
      <c r="G95" s="42">
        <v>120</v>
      </c>
      <c r="H95" s="42">
        <v>92.8</v>
      </c>
      <c r="I95" s="42">
        <v>13.1</v>
      </c>
      <c r="J95" s="41" t="s">
        <v>127</v>
      </c>
      <c r="K95" t="str">
        <f t="shared" si="0"/>
        <v>WR</v>
      </c>
    </row>
    <row r="96" spans="1:11" ht="13">
      <c r="A96" s="38">
        <v>94</v>
      </c>
      <c r="B96" s="39">
        <v>8</v>
      </c>
      <c r="C96" s="41" t="s">
        <v>343</v>
      </c>
      <c r="D96" s="41" t="s">
        <v>158</v>
      </c>
      <c r="E96" s="41" t="s">
        <v>344</v>
      </c>
      <c r="F96" s="42">
        <v>81</v>
      </c>
      <c r="G96" s="42">
        <v>116</v>
      </c>
      <c r="H96" s="42">
        <v>94.1</v>
      </c>
      <c r="I96" s="42">
        <v>8.6999999999999993</v>
      </c>
      <c r="J96" s="41" t="s">
        <v>127</v>
      </c>
      <c r="K96" t="str">
        <f t="shared" si="0"/>
        <v>WR</v>
      </c>
    </row>
    <row r="97" spans="1:11" ht="13">
      <c r="A97" s="38">
        <v>95</v>
      </c>
      <c r="B97" s="39">
        <v>9</v>
      </c>
      <c r="C97" s="41" t="s">
        <v>345</v>
      </c>
      <c r="D97" s="41" t="s">
        <v>138</v>
      </c>
      <c r="E97" s="41" t="s">
        <v>346</v>
      </c>
      <c r="F97" s="42">
        <v>60</v>
      </c>
      <c r="G97" s="42">
        <v>163</v>
      </c>
      <c r="H97" s="42">
        <v>95.2</v>
      </c>
      <c r="I97" s="42">
        <v>20.9</v>
      </c>
      <c r="J97" s="41" t="s">
        <v>127</v>
      </c>
      <c r="K97" t="str">
        <f t="shared" si="0"/>
        <v>RB</v>
      </c>
    </row>
    <row r="98" spans="1:11" ht="13">
      <c r="A98" s="38">
        <v>96</v>
      </c>
      <c r="B98" s="39">
        <v>9</v>
      </c>
      <c r="C98" s="41" t="s">
        <v>347</v>
      </c>
      <c r="D98" s="41" t="s">
        <v>243</v>
      </c>
      <c r="E98" s="41" t="s">
        <v>348</v>
      </c>
      <c r="F98" s="42">
        <v>80</v>
      </c>
      <c r="G98" s="42">
        <v>115</v>
      </c>
      <c r="H98" s="42">
        <v>96.8</v>
      </c>
      <c r="I98" s="42">
        <v>10.6</v>
      </c>
      <c r="J98" s="41" t="s">
        <v>127</v>
      </c>
      <c r="K98" t="str">
        <f t="shared" si="0"/>
        <v>WR</v>
      </c>
    </row>
    <row r="99" spans="1:11" ht="13">
      <c r="A99" s="38">
        <v>97</v>
      </c>
      <c r="B99" s="39">
        <v>9</v>
      </c>
      <c r="C99" s="41" t="s">
        <v>349</v>
      </c>
      <c r="D99" s="41" t="s">
        <v>253</v>
      </c>
      <c r="E99" s="41" t="s">
        <v>350</v>
      </c>
      <c r="F99" s="42">
        <v>64</v>
      </c>
      <c r="G99" s="42">
        <v>140</v>
      </c>
      <c r="H99" s="42">
        <v>101</v>
      </c>
      <c r="I99" s="42">
        <v>22.4</v>
      </c>
      <c r="J99" s="41" t="s">
        <v>127</v>
      </c>
      <c r="K99" t="str">
        <f t="shared" si="0"/>
        <v>RB</v>
      </c>
    </row>
    <row r="100" spans="1:11" ht="13">
      <c r="A100" s="38">
        <v>98</v>
      </c>
      <c r="B100" s="39">
        <v>9</v>
      </c>
      <c r="C100" s="41" t="s">
        <v>351</v>
      </c>
      <c r="D100" s="41" t="s">
        <v>152</v>
      </c>
      <c r="E100" s="41" t="s">
        <v>352</v>
      </c>
      <c r="F100" s="42">
        <v>94</v>
      </c>
      <c r="G100" s="42">
        <v>130</v>
      </c>
      <c r="H100" s="42">
        <v>101</v>
      </c>
      <c r="I100" s="42">
        <v>12.9</v>
      </c>
      <c r="J100" s="41" t="s">
        <v>127</v>
      </c>
      <c r="K100" t="str">
        <f t="shared" si="0"/>
        <v>TE</v>
      </c>
    </row>
    <row r="101" spans="1:11" ht="13">
      <c r="A101" s="38">
        <v>99</v>
      </c>
      <c r="B101" s="39">
        <v>9</v>
      </c>
      <c r="C101" s="41" t="s">
        <v>353</v>
      </c>
      <c r="D101" s="41" t="s">
        <v>238</v>
      </c>
      <c r="E101" s="41" t="s">
        <v>354</v>
      </c>
      <c r="F101" s="42">
        <v>87</v>
      </c>
      <c r="G101" s="42">
        <v>121</v>
      </c>
      <c r="H101" s="42">
        <v>104</v>
      </c>
      <c r="I101" s="42">
        <v>10.3</v>
      </c>
      <c r="J101" s="41" t="s">
        <v>127</v>
      </c>
      <c r="K101" t="str">
        <f t="shared" si="0"/>
        <v>RB</v>
      </c>
    </row>
    <row r="102" spans="1:11" ht="13">
      <c r="A102" s="38">
        <v>100</v>
      </c>
      <c r="B102" s="39">
        <v>9</v>
      </c>
      <c r="C102" s="41" t="s">
        <v>355</v>
      </c>
      <c r="D102" s="41" t="s">
        <v>253</v>
      </c>
      <c r="E102" s="41" t="s">
        <v>356</v>
      </c>
      <c r="F102" s="42">
        <v>97</v>
      </c>
      <c r="G102" s="42">
        <v>112</v>
      </c>
      <c r="H102" s="42">
        <v>104</v>
      </c>
      <c r="I102" s="42">
        <v>4.3</v>
      </c>
      <c r="J102" s="41" t="s">
        <v>127</v>
      </c>
      <c r="K102" t="str">
        <f t="shared" si="0"/>
        <v>QB</v>
      </c>
    </row>
    <row r="103" spans="1:11" ht="13">
      <c r="A103" s="38">
        <v>101</v>
      </c>
      <c r="B103" s="39">
        <v>9</v>
      </c>
      <c r="C103" s="41" t="s">
        <v>357</v>
      </c>
      <c r="D103" s="41" t="s">
        <v>129</v>
      </c>
      <c r="E103" s="41" t="s">
        <v>358</v>
      </c>
      <c r="F103" s="42">
        <v>90</v>
      </c>
      <c r="G103" s="42">
        <v>118</v>
      </c>
      <c r="H103" s="42">
        <v>104</v>
      </c>
      <c r="I103" s="42">
        <v>5.6</v>
      </c>
      <c r="J103" s="41" t="s">
        <v>127</v>
      </c>
      <c r="K103" t="str">
        <f t="shared" si="0"/>
        <v>QB</v>
      </c>
    </row>
    <row r="104" spans="1:11" ht="13">
      <c r="A104" s="38">
        <v>102</v>
      </c>
      <c r="B104" s="39">
        <v>9</v>
      </c>
      <c r="C104" s="41" t="s">
        <v>359</v>
      </c>
      <c r="D104" s="41" t="s">
        <v>149</v>
      </c>
      <c r="E104" s="41" t="s">
        <v>360</v>
      </c>
      <c r="F104" s="42">
        <v>91</v>
      </c>
      <c r="G104" s="42">
        <v>122</v>
      </c>
      <c r="H104" s="42">
        <v>104</v>
      </c>
      <c r="I104" s="42">
        <v>7.9</v>
      </c>
      <c r="J104" s="41" t="s">
        <v>127</v>
      </c>
      <c r="K104" t="str">
        <f t="shared" si="0"/>
        <v>WR</v>
      </c>
    </row>
    <row r="105" spans="1:11" ht="13">
      <c r="A105" s="38">
        <v>103</v>
      </c>
      <c r="B105" s="39">
        <v>9</v>
      </c>
      <c r="C105" s="41" t="s">
        <v>361</v>
      </c>
      <c r="D105" s="41" t="s">
        <v>283</v>
      </c>
      <c r="E105" s="41" t="s">
        <v>362</v>
      </c>
      <c r="F105" s="42">
        <v>74</v>
      </c>
      <c r="G105" s="42">
        <v>129</v>
      </c>
      <c r="H105" s="42">
        <v>105</v>
      </c>
      <c r="I105" s="42">
        <v>16.899999999999999</v>
      </c>
      <c r="J105" s="41" t="s">
        <v>127</v>
      </c>
      <c r="K105" t="str">
        <f t="shared" si="0"/>
        <v>WR</v>
      </c>
    </row>
    <row r="106" spans="1:11" ht="13">
      <c r="A106" s="38">
        <v>104</v>
      </c>
      <c r="B106" s="39">
        <v>9</v>
      </c>
      <c r="C106" s="41" t="s">
        <v>363</v>
      </c>
      <c r="D106" s="41" t="s">
        <v>187</v>
      </c>
      <c r="E106" s="41" t="s">
        <v>364</v>
      </c>
      <c r="F106" s="42">
        <v>88</v>
      </c>
      <c r="G106" s="42">
        <v>129</v>
      </c>
      <c r="H106" s="42">
        <v>106</v>
      </c>
      <c r="I106" s="42">
        <v>11.5</v>
      </c>
      <c r="J106" s="41" t="s">
        <v>127</v>
      </c>
      <c r="K106" t="str">
        <f t="shared" si="0"/>
        <v>WR</v>
      </c>
    </row>
    <row r="107" spans="1:11" ht="13">
      <c r="A107" s="38">
        <v>105</v>
      </c>
      <c r="B107" s="39">
        <v>9</v>
      </c>
      <c r="C107" s="41" t="s">
        <v>365</v>
      </c>
      <c r="D107" s="41" t="s">
        <v>187</v>
      </c>
      <c r="E107" s="41" t="s">
        <v>366</v>
      </c>
      <c r="F107" s="42">
        <v>94</v>
      </c>
      <c r="G107" s="42">
        <v>137</v>
      </c>
      <c r="H107" s="42">
        <v>106</v>
      </c>
      <c r="I107" s="42">
        <v>12</v>
      </c>
      <c r="J107" s="41" t="s">
        <v>127</v>
      </c>
      <c r="K107" t="str">
        <f t="shared" si="0"/>
        <v>TE</v>
      </c>
    </row>
    <row r="108" spans="1:11" ht="13">
      <c r="A108" s="38">
        <v>106</v>
      </c>
      <c r="B108" s="39">
        <v>9</v>
      </c>
      <c r="C108" s="41" t="s">
        <v>367</v>
      </c>
      <c r="D108" s="41" t="s">
        <v>300</v>
      </c>
      <c r="E108" s="41" t="s">
        <v>368</v>
      </c>
      <c r="F108" s="42">
        <v>81</v>
      </c>
      <c r="G108" s="42">
        <v>122</v>
      </c>
      <c r="H108" s="42">
        <v>107</v>
      </c>
      <c r="I108" s="42">
        <v>11.9</v>
      </c>
      <c r="J108" s="41" t="s">
        <v>127</v>
      </c>
      <c r="K108" t="str">
        <f t="shared" si="0"/>
        <v>WR</v>
      </c>
    </row>
    <row r="109" spans="1:11" ht="13">
      <c r="A109" s="38">
        <v>107</v>
      </c>
      <c r="B109" s="39">
        <v>9</v>
      </c>
      <c r="C109" s="41" t="s">
        <v>369</v>
      </c>
      <c r="D109" s="41" t="s">
        <v>163</v>
      </c>
      <c r="E109" s="41" t="s">
        <v>370</v>
      </c>
      <c r="F109" s="42">
        <v>78</v>
      </c>
      <c r="G109" s="42">
        <v>159</v>
      </c>
      <c r="H109" s="42">
        <v>109</v>
      </c>
      <c r="I109" s="42">
        <v>22.3</v>
      </c>
      <c r="J109" s="41" t="s">
        <v>127</v>
      </c>
      <c r="K109" t="str">
        <f t="shared" si="0"/>
        <v>RB</v>
      </c>
    </row>
    <row r="110" spans="1:11" ht="13">
      <c r="A110" s="38">
        <v>108</v>
      </c>
      <c r="B110" s="39">
        <v>9</v>
      </c>
      <c r="C110" s="41" t="s">
        <v>371</v>
      </c>
      <c r="D110" s="41" t="s">
        <v>209</v>
      </c>
      <c r="E110" s="41" t="s">
        <v>372</v>
      </c>
      <c r="F110" s="42">
        <v>103</v>
      </c>
      <c r="G110" s="42">
        <v>128</v>
      </c>
      <c r="H110" s="42">
        <v>113</v>
      </c>
      <c r="I110" s="42">
        <v>8.1</v>
      </c>
      <c r="J110" s="41" t="s">
        <v>127</v>
      </c>
      <c r="K110" t="str">
        <f t="shared" si="0"/>
        <v>QB</v>
      </c>
    </row>
    <row r="111" spans="1:11" ht="13">
      <c r="A111" s="38">
        <v>109</v>
      </c>
      <c r="B111" s="39">
        <v>9</v>
      </c>
      <c r="C111" s="41" t="s">
        <v>373</v>
      </c>
      <c r="D111" s="41" t="s">
        <v>149</v>
      </c>
      <c r="E111" s="41" t="s">
        <v>374</v>
      </c>
      <c r="F111" s="42">
        <v>75</v>
      </c>
      <c r="G111" s="42">
        <v>183</v>
      </c>
      <c r="H111" s="42">
        <v>113</v>
      </c>
      <c r="I111" s="42">
        <v>32.5</v>
      </c>
      <c r="J111" s="41" t="s">
        <v>127</v>
      </c>
      <c r="K111" t="str">
        <f t="shared" si="0"/>
        <v>WR</v>
      </c>
    </row>
    <row r="112" spans="1:11" ht="13">
      <c r="A112" s="38">
        <v>110</v>
      </c>
      <c r="B112" s="39">
        <v>9</v>
      </c>
      <c r="C112" s="41" t="s">
        <v>375</v>
      </c>
      <c r="D112" s="41" t="s">
        <v>283</v>
      </c>
      <c r="E112" s="41" t="s">
        <v>376</v>
      </c>
      <c r="F112" s="42">
        <v>106</v>
      </c>
      <c r="G112" s="42">
        <v>122</v>
      </c>
      <c r="H112" s="42">
        <v>113</v>
      </c>
      <c r="I112" s="42">
        <v>4.5</v>
      </c>
      <c r="J112" s="41" t="s">
        <v>127</v>
      </c>
      <c r="K112" t="str">
        <f t="shared" si="0"/>
        <v>WR</v>
      </c>
    </row>
    <row r="113" spans="1:11" ht="13">
      <c r="A113" s="38">
        <v>111</v>
      </c>
      <c r="B113" s="39">
        <v>9</v>
      </c>
      <c r="C113" s="41" t="s">
        <v>377</v>
      </c>
      <c r="D113" s="41" t="s">
        <v>132</v>
      </c>
      <c r="E113" s="41" t="s">
        <v>378</v>
      </c>
      <c r="F113" s="42">
        <v>97</v>
      </c>
      <c r="G113" s="42">
        <v>128</v>
      </c>
      <c r="H113" s="42">
        <v>114</v>
      </c>
      <c r="I113" s="42">
        <v>6.8</v>
      </c>
      <c r="J113" s="41" t="s">
        <v>127</v>
      </c>
      <c r="K113" t="str">
        <f t="shared" si="0"/>
        <v>QB</v>
      </c>
    </row>
    <row r="114" spans="1:11" ht="13">
      <c r="A114" s="38">
        <v>112</v>
      </c>
      <c r="B114" s="39">
        <v>9</v>
      </c>
      <c r="C114" s="41" t="s">
        <v>379</v>
      </c>
      <c r="D114" s="41" t="s">
        <v>158</v>
      </c>
      <c r="E114" s="41" t="s">
        <v>380</v>
      </c>
      <c r="F114" s="42">
        <v>102</v>
      </c>
      <c r="G114" s="42">
        <v>127</v>
      </c>
      <c r="H114" s="42">
        <v>115</v>
      </c>
      <c r="I114" s="42">
        <v>5.3</v>
      </c>
      <c r="J114" s="41" t="s">
        <v>127</v>
      </c>
      <c r="K114" t="str">
        <f t="shared" si="0"/>
        <v>RB</v>
      </c>
    </row>
    <row r="115" spans="1:11" ht="13">
      <c r="A115" s="38">
        <v>113</v>
      </c>
      <c r="B115" s="39">
        <v>9</v>
      </c>
      <c r="C115" s="41" t="s">
        <v>381</v>
      </c>
      <c r="D115" s="41" t="s">
        <v>144</v>
      </c>
      <c r="E115" s="41" t="s">
        <v>382</v>
      </c>
      <c r="F115" s="42">
        <v>105</v>
      </c>
      <c r="G115" s="42">
        <v>157</v>
      </c>
      <c r="H115" s="42">
        <v>115</v>
      </c>
      <c r="I115" s="42">
        <v>14.3</v>
      </c>
      <c r="J115" s="41" t="s">
        <v>127</v>
      </c>
      <c r="K115" t="str">
        <f t="shared" si="0"/>
        <v>TE</v>
      </c>
    </row>
    <row r="116" spans="1:11" ht="13">
      <c r="A116" s="38">
        <v>114</v>
      </c>
      <c r="B116" s="39">
        <v>9</v>
      </c>
      <c r="C116" s="41" t="s">
        <v>383</v>
      </c>
      <c r="D116" s="41" t="s">
        <v>333</v>
      </c>
      <c r="E116" s="41" t="s">
        <v>384</v>
      </c>
      <c r="F116" s="42">
        <v>91</v>
      </c>
      <c r="G116" s="42">
        <v>138</v>
      </c>
      <c r="H116" s="42">
        <v>116</v>
      </c>
      <c r="I116" s="42">
        <v>13.9</v>
      </c>
      <c r="J116" s="41" t="s">
        <v>127</v>
      </c>
      <c r="K116" t="str">
        <f t="shared" si="0"/>
        <v>WR</v>
      </c>
    </row>
    <row r="117" spans="1:11" ht="13">
      <c r="A117" s="38">
        <v>115</v>
      </c>
      <c r="B117" s="39">
        <v>9</v>
      </c>
      <c r="C117" s="41" t="s">
        <v>385</v>
      </c>
      <c r="D117" s="41" t="s">
        <v>173</v>
      </c>
      <c r="E117" s="41" t="s">
        <v>386</v>
      </c>
      <c r="F117" s="42">
        <v>80</v>
      </c>
      <c r="G117" s="42">
        <v>194</v>
      </c>
      <c r="H117" s="42">
        <v>117</v>
      </c>
      <c r="I117" s="42">
        <v>32.200000000000003</v>
      </c>
      <c r="J117" s="41" t="s">
        <v>127</v>
      </c>
      <c r="K117" t="str">
        <f t="shared" si="0"/>
        <v>WR</v>
      </c>
    </row>
    <row r="118" spans="1:11" ht="13">
      <c r="A118" s="38">
        <v>116</v>
      </c>
      <c r="B118" s="39">
        <v>9</v>
      </c>
      <c r="C118" s="41" t="s">
        <v>387</v>
      </c>
      <c r="D118" s="41" t="s">
        <v>158</v>
      </c>
      <c r="E118" s="41" t="s">
        <v>388</v>
      </c>
      <c r="F118" s="42">
        <v>92</v>
      </c>
      <c r="G118" s="42">
        <v>131</v>
      </c>
      <c r="H118" s="42">
        <v>120</v>
      </c>
      <c r="I118" s="42">
        <v>10.199999999999999</v>
      </c>
      <c r="J118" s="41" t="s">
        <v>127</v>
      </c>
      <c r="K118" t="str">
        <f t="shared" si="0"/>
        <v>RB</v>
      </c>
    </row>
    <row r="119" spans="1:11" ht="13">
      <c r="A119" s="38">
        <v>117</v>
      </c>
      <c r="B119" s="39">
        <v>9</v>
      </c>
      <c r="C119" s="41" t="s">
        <v>389</v>
      </c>
      <c r="D119" s="41" t="s">
        <v>184</v>
      </c>
      <c r="E119" s="41" t="s">
        <v>390</v>
      </c>
      <c r="F119" s="42">
        <v>105</v>
      </c>
      <c r="G119" s="42">
        <v>157</v>
      </c>
      <c r="H119" s="42">
        <v>121</v>
      </c>
      <c r="I119" s="42">
        <v>15.4</v>
      </c>
      <c r="J119" s="41" t="s">
        <v>127</v>
      </c>
      <c r="K119" t="str">
        <f t="shared" si="0"/>
        <v>TE</v>
      </c>
    </row>
    <row r="120" spans="1:11" ht="13">
      <c r="A120" s="38">
        <v>118</v>
      </c>
      <c r="B120" s="39">
        <v>10</v>
      </c>
      <c r="C120" s="41" t="s">
        <v>391</v>
      </c>
      <c r="D120" s="41" t="s">
        <v>178</v>
      </c>
      <c r="E120" s="41" t="s">
        <v>392</v>
      </c>
      <c r="F120" s="42">
        <v>95</v>
      </c>
      <c r="G120" s="42">
        <v>155</v>
      </c>
      <c r="H120" s="42">
        <v>122</v>
      </c>
      <c r="I120" s="42">
        <v>16.100000000000001</v>
      </c>
      <c r="J120" s="41" t="s">
        <v>127</v>
      </c>
      <c r="K120" t="str">
        <f t="shared" si="0"/>
        <v>RB</v>
      </c>
    </row>
    <row r="121" spans="1:11" ht="13">
      <c r="A121" s="38">
        <v>119</v>
      </c>
      <c r="B121" s="39">
        <v>10</v>
      </c>
      <c r="C121" s="41" t="s">
        <v>393</v>
      </c>
      <c r="D121" s="41" t="s">
        <v>163</v>
      </c>
      <c r="E121" s="41" t="s">
        <v>394</v>
      </c>
      <c r="F121" s="42">
        <v>109</v>
      </c>
      <c r="G121" s="42">
        <v>139</v>
      </c>
      <c r="H121" s="42">
        <v>122</v>
      </c>
      <c r="I121" s="42">
        <v>9</v>
      </c>
      <c r="J121" s="41" t="s">
        <v>127</v>
      </c>
      <c r="K121" t="str">
        <f t="shared" si="0"/>
        <v>WR</v>
      </c>
    </row>
    <row r="122" spans="1:11" ht="13">
      <c r="A122" s="38">
        <v>120</v>
      </c>
      <c r="B122" s="39">
        <v>10</v>
      </c>
      <c r="C122" s="41" t="s">
        <v>395</v>
      </c>
      <c r="D122" s="41" t="s">
        <v>173</v>
      </c>
      <c r="E122" s="41" t="s">
        <v>396</v>
      </c>
      <c r="F122" s="42">
        <v>101</v>
      </c>
      <c r="G122" s="42">
        <v>165</v>
      </c>
      <c r="H122" s="42">
        <v>124</v>
      </c>
      <c r="I122" s="42">
        <v>16.5</v>
      </c>
      <c r="J122" s="41" t="s">
        <v>127</v>
      </c>
      <c r="K122" t="str">
        <f t="shared" si="0"/>
        <v>WR</v>
      </c>
    </row>
    <row r="123" spans="1:11" ht="13">
      <c r="A123" s="38">
        <v>121</v>
      </c>
      <c r="B123" s="39">
        <v>10</v>
      </c>
      <c r="C123" s="41" t="s">
        <v>397</v>
      </c>
      <c r="D123" s="41" t="s">
        <v>166</v>
      </c>
      <c r="E123" s="41" t="s">
        <v>398</v>
      </c>
      <c r="F123" s="42">
        <v>104</v>
      </c>
      <c r="G123" s="42">
        <v>213</v>
      </c>
      <c r="H123" s="42">
        <v>124</v>
      </c>
      <c r="I123" s="42">
        <v>24.7</v>
      </c>
      <c r="J123" s="41" t="s">
        <v>127</v>
      </c>
      <c r="K123" t="str">
        <f t="shared" si="0"/>
        <v>QB</v>
      </c>
    </row>
    <row r="124" spans="1:11" ht="13">
      <c r="A124" s="38">
        <v>122</v>
      </c>
      <c r="B124" s="39">
        <v>10</v>
      </c>
      <c r="C124" s="41" t="s">
        <v>399</v>
      </c>
      <c r="D124" s="41" t="s">
        <v>283</v>
      </c>
      <c r="E124" s="41" t="s">
        <v>400</v>
      </c>
      <c r="F124" s="42">
        <v>105</v>
      </c>
      <c r="G124" s="42">
        <v>157</v>
      </c>
      <c r="H124" s="42">
        <v>125</v>
      </c>
      <c r="I124" s="42">
        <v>17</v>
      </c>
      <c r="J124" s="41" t="s">
        <v>127</v>
      </c>
      <c r="K124" t="str">
        <f t="shared" si="0"/>
        <v>TE</v>
      </c>
    </row>
    <row r="125" spans="1:11" ht="13">
      <c r="A125" s="38">
        <v>123</v>
      </c>
      <c r="B125" s="39">
        <v>10</v>
      </c>
      <c r="C125" s="41" t="s">
        <v>401</v>
      </c>
      <c r="D125" s="41" t="s">
        <v>184</v>
      </c>
      <c r="E125" s="41" t="s">
        <v>402</v>
      </c>
      <c r="F125" s="42">
        <v>107</v>
      </c>
      <c r="G125" s="42">
        <v>133</v>
      </c>
      <c r="H125" s="42">
        <v>125</v>
      </c>
      <c r="I125" s="42">
        <v>7.7</v>
      </c>
      <c r="J125" s="41" t="s">
        <v>127</v>
      </c>
      <c r="K125" t="str">
        <f t="shared" si="0"/>
        <v>QB</v>
      </c>
    </row>
    <row r="126" spans="1:11" ht="13">
      <c r="A126" s="38">
        <v>124</v>
      </c>
      <c r="B126" s="39">
        <v>10</v>
      </c>
      <c r="C126" s="41" t="s">
        <v>403</v>
      </c>
      <c r="D126" s="41" t="s">
        <v>158</v>
      </c>
      <c r="E126" s="41" t="s">
        <v>404</v>
      </c>
      <c r="F126" s="42">
        <v>100</v>
      </c>
      <c r="G126" s="42">
        <v>146</v>
      </c>
      <c r="H126" s="42">
        <v>126</v>
      </c>
      <c r="I126" s="42">
        <v>16.5</v>
      </c>
      <c r="J126" s="41" t="s">
        <v>127</v>
      </c>
      <c r="K126" t="str">
        <f t="shared" si="0"/>
        <v>QB</v>
      </c>
    </row>
    <row r="127" spans="1:11" ht="13">
      <c r="A127" s="38">
        <v>125</v>
      </c>
      <c r="B127" s="39">
        <v>10</v>
      </c>
      <c r="C127" s="41" t="s">
        <v>405</v>
      </c>
      <c r="D127" s="41" t="s">
        <v>243</v>
      </c>
      <c r="E127" s="41" t="s">
        <v>406</v>
      </c>
      <c r="F127" s="42">
        <v>118</v>
      </c>
      <c r="G127" s="42">
        <v>136</v>
      </c>
      <c r="H127" s="42">
        <v>127</v>
      </c>
      <c r="I127" s="42">
        <v>5.7</v>
      </c>
      <c r="J127" s="41" t="s">
        <v>127</v>
      </c>
      <c r="K127" t="str">
        <f t="shared" si="0"/>
        <v>QB</v>
      </c>
    </row>
    <row r="128" spans="1:11" ht="13">
      <c r="A128" s="38">
        <v>126</v>
      </c>
      <c r="B128" s="39">
        <v>10</v>
      </c>
      <c r="C128" s="41" t="s">
        <v>407</v>
      </c>
      <c r="D128" s="41" t="s">
        <v>195</v>
      </c>
      <c r="E128" s="41" t="s">
        <v>408</v>
      </c>
      <c r="F128" s="42">
        <v>86</v>
      </c>
      <c r="G128" s="42">
        <v>195</v>
      </c>
      <c r="H128" s="42">
        <v>128</v>
      </c>
      <c r="I128" s="42">
        <v>29.9</v>
      </c>
      <c r="J128" s="41" t="s">
        <v>127</v>
      </c>
      <c r="K128" t="str">
        <f t="shared" si="0"/>
        <v>TE</v>
      </c>
    </row>
    <row r="129" spans="1:11" ht="13">
      <c r="A129" s="38">
        <v>127</v>
      </c>
      <c r="B129" s="39">
        <v>10</v>
      </c>
      <c r="C129" s="41" t="s">
        <v>409</v>
      </c>
      <c r="D129" s="41" t="s">
        <v>181</v>
      </c>
      <c r="E129" s="41" t="s">
        <v>410</v>
      </c>
      <c r="F129" s="42">
        <v>111</v>
      </c>
      <c r="G129" s="42">
        <v>172</v>
      </c>
      <c r="H129" s="42">
        <v>131</v>
      </c>
      <c r="I129" s="42">
        <v>15.7</v>
      </c>
      <c r="J129" s="41" t="s">
        <v>127</v>
      </c>
      <c r="K129" t="str">
        <f t="shared" si="0"/>
        <v>TE</v>
      </c>
    </row>
    <row r="130" spans="1:11" ht="13">
      <c r="A130" s="38">
        <v>128</v>
      </c>
      <c r="B130" s="39">
        <v>10</v>
      </c>
      <c r="C130" s="41" t="s">
        <v>411</v>
      </c>
      <c r="D130" s="41" t="s">
        <v>173</v>
      </c>
      <c r="E130" s="41" t="s">
        <v>412</v>
      </c>
      <c r="F130" s="42">
        <v>85</v>
      </c>
      <c r="G130" s="42">
        <v>262</v>
      </c>
      <c r="H130" s="42">
        <v>133</v>
      </c>
      <c r="I130" s="42">
        <v>52.3</v>
      </c>
      <c r="J130" s="41" t="s">
        <v>127</v>
      </c>
      <c r="K130" t="str">
        <f t="shared" si="0"/>
        <v>RB</v>
      </c>
    </row>
    <row r="131" spans="1:11" ht="13">
      <c r="A131" s="38">
        <v>129</v>
      </c>
      <c r="B131" s="39">
        <v>10</v>
      </c>
      <c r="C131" s="41" t="s">
        <v>413</v>
      </c>
      <c r="D131" s="41" t="s">
        <v>219</v>
      </c>
      <c r="E131" s="41" t="s">
        <v>414</v>
      </c>
      <c r="F131" s="42">
        <v>108</v>
      </c>
      <c r="G131" s="42">
        <v>174</v>
      </c>
      <c r="H131" s="42">
        <v>134</v>
      </c>
      <c r="I131" s="42">
        <v>18.399999999999999</v>
      </c>
      <c r="J131" s="41" t="s">
        <v>127</v>
      </c>
      <c r="K131" t="str">
        <f t="shared" si="0"/>
        <v>RB</v>
      </c>
    </row>
    <row r="132" spans="1:11" ht="13">
      <c r="A132" s="38">
        <v>130</v>
      </c>
      <c r="B132" s="39">
        <v>10</v>
      </c>
      <c r="C132" s="41" t="s">
        <v>415</v>
      </c>
      <c r="D132" s="41" t="s">
        <v>209</v>
      </c>
      <c r="E132" s="41" t="s">
        <v>416</v>
      </c>
      <c r="F132" s="42">
        <v>116</v>
      </c>
      <c r="G132" s="42">
        <v>153</v>
      </c>
      <c r="H132" s="42">
        <v>134</v>
      </c>
      <c r="I132" s="42">
        <v>9.6999999999999993</v>
      </c>
      <c r="J132" s="41" t="s">
        <v>127</v>
      </c>
      <c r="K132" t="str">
        <f t="shared" si="0"/>
        <v>WR</v>
      </c>
    </row>
    <row r="133" spans="1:11" ht="13">
      <c r="A133" s="38">
        <v>131</v>
      </c>
      <c r="B133" s="39">
        <v>10</v>
      </c>
      <c r="C133" s="41" t="s">
        <v>417</v>
      </c>
      <c r="D133" s="41" t="s">
        <v>243</v>
      </c>
      <c r="E133" s="41" t="s">
        <v>418</v>
      </c>
      <c r="F133" s="42">
        <v>121</v>
      </c>
      <c r="G133" s="42">
        <v>148</v>
      </c>
      <c r="H133" s="42">
        <v>135</v>
      </c>
      <c r="I133" s="42">
        <v>8.5</v>
      </c>
      <c r="J133" s="41" t="s">
        <v>127</v>
      </c>
      <c r="K133" t="str">
        <f t="shared" si="0"/>
        <v>RB</v>
      </c>
    </row>
    <row r="134" spans="1:11" ht="13">
      <c r="A134" s="38">
        <v>132</v>
      </c>
      <c r="B134" s="39">
        <v>10</v>
      </c>
      <c r="C134" s="41" t="s">
        <v>419</v>
      </c>
      <c r="D134" s="41" t="s">
        <v>212</v>
      </c>
      <c r="E134" s="41" t="s">
        <v>420</v>
      </c>
      <c r="F134" s="42">
        <v>89</v>
      </c>
      <c r="G134" s="42">
        <v>194</v>
      </c>
      <c r="H134" s="42">
        <v>136</v>
      </c>
      <c r="I134" s="42">
        <v>33.5</v>
      </c>
      <c r="J134" s="41" t="s">
        <v>127</v>
      </c>
      <c r="K134" t="str">
        <f t="shared" si="0"/>
        <v>WR</v>
      </c>
    </row>
    <row r="135" spans="1:11" ht="13">
      <c r="A135" s="38">
        <v>133</v>
      </c>
      <c r="B135" s="39">
        <v>10</v>
      </c>
      <c r="C135" s="41" t="s">
        <v>421</v>
      </c>
      <c r="D135" s="41" t="s">
        <v>155</v>
      </c>
      <c r="E135" s="41" t="s">
        <v>422</v>
      </c>
      <c r="F135" s="42">
        <v>126</v>
      </c>
      <c r="G135" s="42">
        <v>181</v>
      </c>
      <c r="H135" s="42">
        <v>136</v>
      </c>
      <c r="I135" s="42">
        <v>15</v>
      </c>
      <c r="J135" s="41" t="s">
        <v>127</v>
      </c>
      <c r="K135" t="str">
        <f t="shared" si="0"/>
        <v>RB</v>
      </c>
    </row>
    <row r="136" spans="1:11" ht="13">
      <c r="A136" s="38">
        <v>134</v>
      </c>
      <c r="B136" s="39">
        <v>10</v>
      </c>
      <c r="C136" s="41" t="s">
        <v>423</v>
      </c>
      <c r="D136" s="41" t="s">
        <v>149</v>
      </c>
      <c r="E136" s="41" t="s">
        <v>424</v>
      </c>
      <c r="F136" s="42">
        <v>56</v>
      </c>
      <c r="G136" s="42">
        <v>202</v>
      </c>
      <c r="H136" s="42">
        <v>137</v>
      </c>
      <c r="I136" s="42">
        <v>32.5</v>
      </c>
      <c r="J136" s="41" t="s">
        <v>127</v>
      </c>
      <c r="K136" t="str">
        <f t="shared" si="0"/>
        <v>TE</v>
      </c>
    </row>
    <row r="137" spans="1:11" ht="13">
      <c r="A137" s="38">
        <v>135</v>
      </c>
      <c r="B137" s="39">
        <v>10</v>
      </c>
      <c r="C137" s="41" t="s">
        <v>425</v>
      </c>
      <c r="D137" s="41" t="s">
        <v>212</v>
      </c>
      <c r="E137" s="41" t="s">
        <v>426</v>
      </c>
      <c r="F137" s="42">
        <v>111</v>
      </c>
      <c r="G137" s="42">
        <v>154</v>
      </c>
      <c r="H137" s="42">
        <v>138</v>
      </c>
      <c r="I137" s="42">
        <v>11.5</v>
      </c>
      <c r="J137" s="41" t="s">
        <v>127</v>
      </c>
      <c r="K137" t="str">
        <f t="shared" si="0"/>
        <v>TE</v>
      </c>
    </row>
    <row r="138" spans="1:11" ht="13">
      <c r="A138" s="38">
        <v>136</v>
      </c>
      <c r="B138" s="39">
        <v>10</v>
      </c>
      <c r="C138" s="41" t="s">
        <v>427</v>
      </c>
      <c r="D138" s="41" t="s">
        <v>195</v>
      </c>
      <c r="E138" s="41" t="s">
        <v>428</v>
      </c>
      <c r="F138" s="42">
        <v>125</v>
      </c>
      <c r="G138" s="42">
        <v>149</v>
      </c>
      <c r="H138" s="42">
        <v>139</v>
      </c>
      <c r="I138" s="42">
        <v>7.6</v>
      </c>
      <c r="J138" s="41" t="s">
        <v>127</v>
      </c>
      <c r="K138" t="str">
        <f t="shared" si="0"/>
        <v>WR</v>
      </c>
    </row>
    <row r="139" spans="1:11" ht="13">
      <c r="A139" s="38">
        <v>137</v>
      </c>
      <c r="B139" s="39">
        <v>10</v>
      </c>
      <c r="C139" s="41" t="s">
        <v>429</v>
      </c>
      <c r="D139" s="41" t="s">
        <v>152</v>
      </c>
      <c r="E139" s="41" t="s">
        <v>430</v>
      </c>
      <c r="F139" s="42">
        <v>129</v>
      </c>
      <c r="G139" s="42">
        <v>164</v>
      </c>
      <c r="H139" s="42">
        <v>140</v>
      </c>
      <c r="I139" s="42">
        <v>8.4</v>
      </c>
      <c r="J139" s="41" t="s">
        <v>127</v>
      </c>
      <c r="K139" t="str">
        <f t="shared" si="0"/>
        <v>WR</v>
      </c>
    </row>
    <row r="140" spans="1:11" ht="13">
      <c r="A140" s="38">
        <v>138</v>
      </c>
      <c r="B140" s="39">
        <v>10</v>
      </c>
      <c r="C140" s="41" t="s">
        <v>431</v>
      </c>
      <c r="D140" s="41" t="s">
        <v>163</v>
      </c>
      <c r="E140" s="41" t="s">
        <v>432</v>
      </c>
      <c r="F140" s="42">
        <v>124</v>
      </c>
      <c r="G140" s="42">
        <v>158</v>
      </c>
      <c r="H140" s="42">
        <v>141</v>
      </c>
      <c r="I140" s="42">
        <v>10.9</v>
      </c>
      <c r="J140" s="41" t="s">
        <v>127</v>
      </c>
      <c r="K140" t="str">
        <f t="shared" si="0"/>
        <v>QB</v>
      </c>
    </row>
    <row r="141" spans="1:11" ht="13">
      <c r="A141" s="38">
        <v>139</v>
      </c>
      <c r="B141" s="39">
        <v>10</v>
      </c>
      <c r="C141" s="41" t="s">
        <v>433</v>
      </c>
      <c r="D141" s="41" t="s">
        <v>141</v>
      </c>
      <c r="E141" s="41" t="s">
        <v>434</v>
      </c>
      <c r="F141" s="42">
        <v>122</v>
      </c>
      <c r="G141" s="42">
        <v>165</v>
      </c>
      <c r="H141" s="42">
        <v>141</v>
      </c>
      <c r="I141" s="42">
        <v>11.8</v>
      </c>
      <c r="J141" s="41" t="s">
        <v>127</v>
      </c>
      <c r="K141" t="str">
        <f t="shared" si="0"/>
        <v>WR</v>
      </c>
    </row>
    <row r="142" spans="1:11" ht="13">
      <c r="A142" s="38">
        <v>140</v>
      </c>
      <c r="B142" s="39">
        <v>10</v>
      </c>
      <c r="C142" s="41" t="s">
        <v>435</v>
      </c>
      <c r="D142" s="41" t="s">
        <v>173</v>
      </c>
      <c r="E142" s="41" t="s">
        <v>436</v>
      </c>
      <c r="F142" s="42">
        <v>99</v>
      </c>
      <c r="G142" s="42">
        <v>270</v>
      </c>
      <c r="H142" s="42">
        <v>143</v>
      </c>
      <c r="I142" s="42">
        <v>42.5</v>
      </c>
      <c r="J142" s="41" t="s">
        <v>127</v>
      </c>
      <c r="K142" t="str">
        <f t="shared" si="0"/>
        <v>RB</v>
      </c>
    </row>
    <row r="143" spans="1:11" ht="13">
      <c r="A143" s="38">
        <v>141</v>
      </c>
      <c r="B143" s="39">
        <v>10</v>
      </c>
      <c r="C143" s="41" t="s">
        <v>437</v>
      </c>
      <c r="D143" s="41" t="s">
        <v>238</v>
      </c>
      <c r="E143" s="41" t="s">
        <v>438</v>
      </c>
      <c r="F143" s="42">
        <v>117</v>
      </c>
      <c r="G143" s="42">
        <v>207</v>
      </c>
      <c r="H143" s="42">
        <v>145</v>
      </c>
      <c r="I143" s="42">
        <v>19.5</v>
      </c>
      <c r="J143" s="41" t="s">
        <v>127</v>
      </c>
      <c r="K143" t="str">
        <f t="shared" si="0"/>
        <v>RB</v>
      </c>
    </row>
    <row r="144" spans="1:11" ht="13">
      <c r="A144" s="38">
        <v>142</v>
      </c>
      <c r="B144" s="39">
        <v>10</v>
      </c>
      <c r="C144" s="41" t="s">
        <v>439</v>
      </c>
      <c r="D144" s="41" t="s">
        <v>173</v>
      </c>
      <c r="E144" s="41" t="s">
        <v>440</v>
      </c>
      <c r="F144" s="42">
        <v>91</v>
      </c>
      <c r="G144" s="42">
        <v>300</v>
      </c>
      <c r="H144" s="42">
        <v>145</v>
      </c>
      <c r="I144" s="42">
        <v>49</v>
      </c>
      <c r="J144" s="41" t="s">
        <v>127</v>
      </c>
      <c r="K144" t="str">
        <f t="shared" si="0"/>
        <v>WR</v>
      </c>
    </row>
    <row r="145" spans="1:11" ht="13">
      <c r="A145" s="38">
        <v>143</v>
      </c>
      <c r="B145" s="39">
        <v>10</v>
      </c>
      <c r="C145" s="41" t="s">
        <v>441</v>
      </c>
      <c r="D145" s="41" t="s">
        <v>184</v>
      </c>
      <c r="E145" s="41" t="s">
        <v>442</v>
      </c>
      <c r="F145" s="42">
        <v>126</v>
      </c>
      <c r="G145" s="42">
        <v>221</v>
      </c>
      <c r="H145" s="42">
        <v>146</v>
      </c>
      <c r="I145" s="42">
        <v>21.6</v>
      </c>
      <c r="J145" s="41" t="s">
        <v>127</v>
      </c>
      <c r="K145" t="str">
        <f t="shared" si="0"/>
        <v>RB</v>
      </c>
    </row>
    <row r="146" spans="1:11" ht="13">
      <c r="A146" s="38">
        <v>144</v>
      </c>
      <c r="B146" s="39">
        <v>10</v>
      </c>
      <c r="C146" s="41" t="s">
        <v>443</v>
      </c>
      <c r="D146" s="41" t="s">
        <v>181</v>
      </c>
      <c r="E146" s="41" t="s">
        <v>444</v>
      </c>
      <c r="F146" s="42">
        <v>134</v>
      </c>
      <c r="G146" s="42">
        <v>174</v>
      </c>
      <c r="H146" s="42">
        <v>148</v>
      </c>
      <c r="I146" s="42">
        <v>11.6</v>
      </c>
      <c r="J146" s="41" t="s">
        <v>127</v>
      </c>
      <c r="K146" t="str">
        <f t="shared" si="0"/>
        <v>RB</v>
      </c>
    </row>
    <row r="147" spans="1:11" ht="13">
      <c r="A147" s="38">
        <v>145</v>
      </c>
      <c r="B147" s="39">
        <v>10</v>
      </c>
      <c r="C147" s="41" t="s">
        <v>445</v>
      </c>
      <c r="D147" s="41" t="s">
        <v>138</v>
      </c>
      <c r="E147" s="41" t="s">
        <v>446</v>
      </c>
      <c r="F147" s="42">
        <v>128</v>
      </c>
      <c r="G147" s="42">
        <v>213</v>
      </c>
      <c r="H147" s="42">
        <v>149</v>
      </c>
      <c r="I147" s="42">
        <v>20.2</v>
      </c>
      <c r="J147" s="41" t="s">
        <v>127</v>
      </c>
      <c r="K147" t="str">
        <f t="shared" si="0"/>
        <v>QB</v>
      </c>
    </row>
    <row r="148" spans="1:11" ht="13">
      <c r="A148" s="38">
        <v>146</v>
      </c>
      <c r="B148" s="39">
        <v>10</v>
      </c>
      <c r="C148" s="41" t="s">
        <v>447</v>
      </c>
      <c r="D148" s="41" t="s">
        <v>163</v>
      </c>
      <c r="E148" s="41" t="s">
        <v>448</v>
      </c>
      <c r="F148" s="42">
        <v>150</v>
      </c>
      <c r="G148" s="42">
        <v>150</v>
      </c>
      <c r="H148" s="42">
        <v>150</v>
      </c>
      <c r="I148" s="42">
        <v>0</v>
      </c>
      <c r="J148" s="41" t="s">
        <v>127</v>
      </c>
      <c r="K148" t="str">
        <f t="shared" si="0"/>
        <v>DS</v>
      </c>
    </row>
    <row r="149" spans="1:11" ht="13">
      <c r="A149" s="38">
        <v>147</v>
      </c>
      <c r="B149" s="39">
        <v>10</v>
      </c>
      <c r="C149" s="41" t="s">
        <v>449</v>
      </c>
      <c r="D149" s="41" t="s">
        <v>206</v>
      </c>
      <c r="E149" s="41" t="s">
        <v>450</v>
      </c>
      <c r="F149" s="42">
        <v>95</v>
      </c>
      <c r="G149" s="42">
        <v>196</v>
      </c>
      <c r="H149" s="42">
        <v>150</v>
      </c>
      <c r="I149" s="42">
        <v>26.3</v>
      </c>
      <c r="J149" s="41" t="s">
        <v>127</v>
      </c>
      <c r="K149" t="str">
        <f t="shared" si="0"/>
        <v>RB</v>
      </c>
    </row>
    <row r="150" spans="1:11" ht="13">
      <c r="A150" s="38">
        <v>148</v>
      </c>
      <c r="B150" s="39">
        <v>10</v>
      </c>
      <c r="C150" s="41" t="s">
        <v>451</v>
      </c>
      <c r="D150" s="41" t="s">
        <v>132</v>
      </c>
      <c r="E150" s="41" t="s">
        <v>452</v>
      </c>
      <c r="F150" s="42">
        <v>127</v>
      </c>
      <c r="G150" s="42">
        <v>167</v>
      </c>
      <c r="H150" s="42">
        <v>151</v>
      </c>
      <c r="I150" s="42">
        <v>9.6</v>
      </c>
      <c r="J150" s="41" t="s">
        <v>127</v>
      </c>
      <c r="K150" t="str">
        <f t="shared" si="0"/>
        <v>RB</v>
      </c>
    </row>
    <row r="151" spans="1:11" ht="13">
      <c r="A151" s="38">
        <v>149</v>
      </c>
      <c r="B151" s="39">
        <v>10</v>
      </c>
      <c r="C151" s="41" t="s">
        <v>453</v>
      </c>
      <c r="D151" s="41" t="s">
        <v>274</v>
      </c>
      <c r="E151" s="41" t="s">
        <v>454</v>
      </c>
      <c r="F151" s="42">
        <v>141</v>
      </c>
      <c r="G151" s="42">
        <v>181</v>
      </c>
      <c r="H151" s="42">
        <v>151</v>
      </c>
      <c r="I151" s="42">
        <v>10.9</v>
      </c>
      <c r="J151" s="41" t="s">
        <v>127</v>
      </c>
      <c r="K151" t="str">
        <f t="shared" si="0"/>
        <v>RB</v>
      </c>
    </row>
    <row r="152" spans="1:11" ht="13">
      <c r="A152" s="38">
        <v>150</v>
      </c>
      <c r="B152" s="39">
        <v>11</v>
      </c>
      <c r="C152" s="41" t="s">
        <v>455</v>
      </c>
      <c r="D152" s="41" t="s">
        <v>173</v>
      </c>
      <c r="E152" s="41" t="s">
        <v>456</v>
      </c>
      <c r="F152" s="42">
        <v>120</v>
      </c>
      <c r="G152" s="42">
        <v>203</v>
      </c>
      <c r="H152" s="42">
        <v>151</v>
      </c>
      <c r="I152" s="42">
        <v>24</v>
      </c>
      <c r="J152" s="41" t="s">
        <v>127</v>
      </c>
      <c r="K152" t="str">
        <f t="shared" si="0"/>
        <v>WR</v>
      </c>
    </row>
    <row r="153" spans="1:11" ht="13">
      <c r="A153" s="38">
        <v>151</v>
      </c>
      <c r="B153" s="39">
        <v>11</v>
      </c>
      <c r="C153" s="41" t="s">
        <v>457</v>
      </c>
      <c r="D153" s="41" t="s">
        <v>283</v>
      </c>
      <c r="E153" s="41" t="s">
        <v>458</v>
      </c>
      <c r="F153" s="42">
        <v>102</v>
      </c>
      <c r="G153" s="42">
        <v>218</v>
      </c>
      <c r="H153" s="42">
        <v>153</v>
      </c>
      <c r="I153" s="42">
        <v>31.9</v>
      </c>
      <c r="J153" s="41" t="s">
        <v>127</v>
      </c>
      <c r="K153" t="str">
        <f t="shared" si="0"/>
        <v>RB</v>
      </c>
    </row>
    <row r="154" spans="1:11" ht="13">
      <c r="A154" s="38">
        <v>152</v>
      </c>
      <c r="B154" s="39">
        <v>11</v>
      </c>
      <c r="C154" s="41" t="s">
        <v>459</v>
      </c>
      <c r="D154" s="41" t="s">
        <v>206</v>
      </c>
      <c r="E154" s="41" t="s">
        <v>460</v>
      </c>
      <c r="F154" s="42">
        <v>135</v>
      </c>
      <c r="G154" s="42">
        <v>175</v>
      </c>
      <c r="H154" s="42">
        <v>153</v>
      </c>
      <c r="I154" s="42">
        <v>12.1</v>
      </c>
      <c r="J154" s="41" t="s">
        <v>127</v>
      </c>
      <c r="K154" t="str">
        <f t="shared" si="0"/>
        <v>WR</v>
      </c>
    </row>
    <row r="155" spans="1:11" ht="13">
      <c r="A155" s="38">
        <v>153</v>
      </c>
      <c r="B155" s="39">
        <v>11</v>
      </c>
      <c r="C155" s="41" t="s">
        <v>461</v>
      </c>
      <c r="D155" s="41" t="s">
        <v>173</v>
      </c>
      <c r="E155" s="41" t="s">
        <v>462</v>
      </c>
      <c r="F155" s="42">
        <v>132</v>
      </c>
      <c r="G155" s="42">
        <v>204</v>
      </c>
      <c r="H155" s="42">
        <v>154</v>
      </c>
      <c r="I155" s="42">
        <v>20.3</v>
      </c>
      <c r="J155" s="41" t="s">
        <v>127</v>
      </c>
      <c r="K155" t="str">
        <f t="shared" si="0"/>
        <v>WR</v>
      </c>
    </row>
    <row r="156" spans="1:11" ht="13">
      <c r="A156" s="38">
        <v>154</v>
      </c>
      <c r="B156" s="39">
        <v>11</v>
      </c>
      <c r="C156" s="41" t="s">
        <v>463</v>
      </c>
      <c r="D156" s="41" t="s">
        <v>173</v>
      </c>
      <c r="E156" s="41" t="s">
        <v>464</v>
      </c>
      <c r="F156" s="42">
        <v>83</v>
      </c>
      <c r="G156" s="42">
        <v>264</v>
      </c>
      <c r="H156" s="42">
        <v>156</v>
      </c>
      <c r="I156" s="42">
        <v>55.1</v>
      </c>
      <c r="J156" s="41" t="s">
        <v>127</v>
      </c>
      <c r="K156" t="str">
        <f t="shared" si="0"/>
        <v>WR</v>
      </c>
    </row>
    <row r="157" spans="1:11" ht="13">
      <c r="A157" s="38">
        <v>155</v>
      </c>
      <c r="B157" s="39">
        <v>11</v>
      </c>
      <c r="C157" s="41" t="s">
        <v>465</v>
      </c>
      <c r="D157" s="41" t="s">
        <v>155</v>
      </c>
      <c r="E157" s="41" t="s">
        <v>466</v>
      </c>
      <c r="F157" s="42">
        <v>105</v>
      </c>
      <c r="G157" s="42">
        <v>225</v>
      </c>
      <c r="H157" s="42">
        <v>158</v>
      </c>
      <c r="I157" s="42">
        <v>28.4</v>
      </c>
      <c r="J157" s="41" t="s">
        <v>127</v>
      </c>
      <c r="K157" t="str">
        <f t="shared" si="0"/>
        <v>TE</v>
      </c>
    </row>
    <row r="158" spans="1:11" ht="13">
      <c r="A158" s="38">
        <v>156</v>
      </c>
      <c r="B158" s="39">
        <v>11</v>
      </c>
      <c r="C158" s="41" t="s">
        <v>467</v>
      </c>
      <c r="D158" s="41" t="s">
        <v>190</v>
      </c>
      <c r="E158" s="41" t="s">
        <v>468</v>
      </c>
      <c r="F158" s="42">
        <v>130</v>
      </c>
      <c r="G158" s="42">
        <v>195</v>
      </c>
      <c r="H158" s="42">
        <v>158</v>
      </c>
      <c r="I158" s="42">
        <v>15.4</v>
      </c>
      <c r="J158" s="41" t="s">
        <v>127</v>
      </c>
      <c r="K158" t="str">
        <f t="shared" si="0"/>
        <v>TE</v>
      </c>
    </row>
    <row r="159" spans="1:11" ht="13">
      <c r="A159" s="38">
        <v>157</v>
      </c>
      <c r="B159" s="39">
        <v>11</v>
      </c>
      <c r="C159" s="41" t="s">
        <v>469</v>
      </c>
      <c r="D159" s="41" t="s">
        <v>173</v>
      </c>
      <c r="E159" s="41" t="s">
        <v>470</v>
      </c>
      <c r="F159" s="42">
        <v>96</v>
      </c>
      <c r="G159" s="42">
        <v>260</v>
      </c>
      <c r="H159" s="42">
        <v>159</v>
      </c>
      <c r="I159" s="42">
        <v>73.599999999999994</v>
      </c>
      <c r="J159" s="41" t="s">
        <v>127</v>
      </c>
      <c r="K159" t="str">
        <f t="shared" si="0"/>
        <v>TE</v>
      </c>
    </row>
    <row r="160" spans="1:11" ht="13">
      <c r="A160" s="38">
        <v>158</v>
      </c>
      <c r="B160" s="39">
        <v>11</v>
      </c>
      <c r="C160" s="41" t="s">
        <v>471</v>
      </c>
      <c r="D160" s="41" t="s">
        <v>333</v>
      </c>
      <c r="E160" s="41" t="s">
        <v>472</v>
      </c>
      <c r="F160" s="42">
        <v>152</v>
      </c>
      <c r="G160" s="42">
        <v>178</v>
      </c>
      <c r="H160" s="42">
        <v>159</v>
      </c>
      <c r="I160" s="42">
        <v>11.1</v>
      </c>
      <c r="J160" s="41" t="s">
        <v>127</v>
      </c>
      <c r="K160" t="str">
        <f t="shared" si="0"/>
        <v>QB</v>
      </c>
    </row>
    <row r="161" spans="1:11" ht="13">
      <c r="A161" s="38">
        <v>159</v>
      </c>
      <c r="B161" s="39">
        <v>11</v>
      </c>
      <c r="C161" s="41" t="s">
        <v>473</v>
      </c>
      <c r="D161" s="41" t="s">
        <v>212</v>
      </c>
      <c r="E161" s="41" t="s">
        <v>474</v>
      </c>
      <c r="F161" s="42">
        <v>135</v>
      </c>
      <c r="G161" s="42">
        <v>179</v>
      </c>
      <c r="H161" s="42">
        <v>160</v>
      </c>
      <c r="I161" s="42">
        <v>13.6</v>
      </c>
      <c r="J161" s="41" t="s">
        <v>127</v>
      </c>
      <c r="K161" t="str">
        <f t="shared" si="0"/>
        <v>WR</v>
      </c>
    </row>
    <row r="162" spans="1:11" ht="13">
      <c r="A162" s="38">
        <v>160</v>
      </c>
      <c r="B162" s="39">
        <v>11</v>
      </c>
      <c r="C162" s="41" t="s">
        <v>475</v>
      </c>
      <c r="D162" s="41" t="s">
        <v>253</v>
      </c>
      <c r="E162" s="41" t="s">
        <v>476</v>
      </c>
      <c r="F162" s="42">
        <v>160</v>
      </c>
      <c r="G162" s="42">
        <v>166</v>
      </c>
      <c r="H162" s="42">
        <v>160</v>
      </c>
      <c r="I162" s="42">
        <v>1.4</v>
      </c>
      <c r="J162" s="41" t="s">
        <v>127</v>
      </c>
      <c r="K162" t="str">
        <f t="shared" si="0"/>
        <v>DS</v>
      </c>
    </row>
    <row r="163" spans="1:11" ht="13">
      <c r="A163" s="38">
        <v>161</v>
      </c>
      <c r="B163" s="39">
        <v>11</v>
      </c>
      <c r="C163" s="41" t="s">
        <v>477</v>
      </c>
      <c r="D163" s="41" t="s">
        <v>173</v>
      </c>
      <c r="E163" s="41" t="s">
        <v>478</v>
      </c>
      <c r="F163" s="42">
        <v>113</v>
      </c>
      <c r="G163" s="42">
        <v>247</v>
      </c>
      <c r="H163" s="42">
        <v>162</v>
      </c>
      <c r="I163" s="42">
        <v>43.4</v>
      </c>
      <c r="J163" s="41" t="s">
        <v>127</v>
      </c>
      <c r="K163" t="str">
        <f t="shared" si="0"/>
        <v>RB</v>
      </c>
    </row>
    <row r="164" spans="1:11" ht="13">
      <c r="A164" s="38">
        <v>162</v>
      </c>
      <c r="B164" s="39">
        <v>11</v>
      </c>
      <c r="C164" s="41" t="s">
        <v>479</v>
      </c>
      <c r="D164" s="41" t="s">
        <v>333</v>
      </c>
      <c r="E164" s="41" t="s">
        <v>480</v>
      </c>
      <c r="F164" s="42">
        <v>145</v>
      </c>
      <c r="G164" s="42">
        <v>207</v>
      </c>
      <c r="H164" s="42">
        <v>165</v>
      </c>
      <c r="I164" s="42">
        <v>16.5</v>
      </c>
      <c r="J164" s="41" t="s">
        <v>127</v>
      </c>
      <c r="K164" t="str">
        <f t="shared" si="0"/>
        <v>RB</v>
      </c>
    </row>
    <row r="165" spans="1:11" ht="13">
      <c r="A165" s="38">
        <v>163</v>
      </c>
      <c r="B165" s="39">
        <v>11</v>
      </c>
      <c r="C165" s="41" t="s">
        <v>481</v>
      </c>
      <c r="D165" s="41" t="s">
        <v>138</v>
      </c>
      <c r="E165" s="41" t="s">
        <v>482</v>
      </c>
      <c r="F165" s="42">
        <v>160</v>
      </c>
      <c r="G165" s="42">
        <v>166</v>
      </c>
      <c r="H165" s="42">
        <v>166</v>
      </c>
      <c r="I165" s="42">
        <v>1.4</v>
      </c>
      <c r="J165" s="41" t="s">
        <v>127</v>
      </c>
      <c r="K165" t="str">
        <f t="shared" si="0"/>
        <v>DS</v>
      </c>
    </row>
    <row r="166" spans="1:11" ht="13">
      <c r="A166" s="38">
        <v>164</v>
      </c>
      <c r="B166" s="39">
        <v>11</v>
      </c>
      <c r="C166" s="41" t="s">
        <v>483</v>
      </c>
      <c r="D166" s="41" t="s">
        <v>187</v>
      </c>
      <c r="E166" s="41" t="s">
        <v>484</v>
      </c>
      <c r="F166" s="42">
        <v>140</v>
      </c>
      <c r="G166" s="42">
        <v>247</v>
      </c>
      <c r="H166" s="42">
        <v>167</v>
      </c>
      <c r="I166" s="42">
        <v>22.9</v>
      </c>
      <c r="J166" s="41" t="s">
        <v>127</v>
      </c>
      <c r="K166" t="str">
        <f t="shared" si="0"/>
        <v>RB</v>
      </c>
    </row>
    <row r="167" spans="1:11" ht="13">
      <c r="A167" s="38">
        <v>165</v>
      </c>
      <c r="B167" s="39">
        <v>11</v>
      </c>
      <c r="C167" s="41" t="s">
        <v>485</v>
      </c>
      <c r="D167" s="41" t="s">
        <v>219</v>
      </c>
      <c r="E167" s="41" t="s">
        <v>486</v>
      </c>
      <c r="F167" s="42">
        <v>149</v>
      </c>
      <c r="G167" s="42">
        <v>204</v>
      </c>
      <c r="H167" s="42">
        <v>167</v>
      </c>
      <c r="I167" s="42">
        <v>13.2</v>
      </c>
      <c r="J167" s="41" t="s">
        <v>127</v>
      </c>
      <c r="K167" t="str">
        <f t="shared" si="0"/>
        <v>WR</v>
      </c>
    </row>
    <row r="168" spans="1:11" ht="13">
      <c r="A168" s="38">
        <v>166</v>
      </c>
      <c r="B168" s="39">
        <v>11</v>
      </c>
      <c r="C168" s="41" t="s">
        <v>487</v>
      </c>
      <c r="D168" s="41" t="s">
        <v>125</v>
      </c>
      <c r="E168" s="41" t="s">
        <v>488</v>
      </c>
      <c r="F168" s="42">
        <v>126</v>
      </c>
      <c r="G168" s="42">
        <v>196</v>
      </c>
      <c r="H168" s="42">
        <v>169</v>
      </c>
      <c r="I168" s="42">
        <v>18.600000000000001</v>
      </c>
      <c r="J168" s="41" t="s">
        <v>127</v>
      </c>
      <c r="K168" t="str">
        <f t="shared" si="0"/>
        <v>RB</v>
      </c>
    </row>
    <row r="169" spans="1:11" ht="13">
      <c r="A169" s="38">
        <v>167</v>
      </c>
      <c r="B169" s="39">
        <v>11</v>
      </c>
      <c r="C169" s="41" t="s">
        <v>489</v>
      </c>
      <c r="D169" s="41" t="s">
        <v>181</v>
      </c>
      <c r="E169" s="41" t="s">
        <v>490</v>
      </c>
      <c r="F169" s="42">
        <v>170</v>
      </c>
      <c r="G169" s="42">
        <v>171</v>
      </c>
      <c r="H169" s="42">
        <v>171</v>
      </c>
      <c r="I169" s="42">
        <v>0.5</v>
      </c>
      <c r="J169" s="41" t="s">
        <v>127</v>
      </c>
      <c r="K169" t="str">
        <f t="shared" si="0"/>
        <v>DS</v>
      </c>
    </row>
    <row r="170" spans="1:11" ht="13">
      <c r="A170" s="38">
        <v>168</v>
      </c>
      <c r="B170" s="39">
        <v>11</v>
      </c>
      <c r="C170" s="41" t="s">
        <v>491</v>
      </c>
      <c r="D170" s="41" t="s">
        <v>206</v>
      </c>
      <c r="E170" s="41" t="s">
        <v>492</v>
      </c>
      <c r="F170" s="42">
        <v>136</v>
      </c>
      <c r="G170" s="42">
        <v>241</v>
      </c>
      <c r="H170" s="42">
        <v>171</v>
      </c>
      <c r="I170" s="42">
        <v>28.9</v>
      </c>
      <c r="J170" s="41" t="s">
        <v>127</v>
      </c>
      <c r="K170" t="str">
        <f t="shared" si="0"/>
        <v>QB</v>
      </c>
    </row>
    <row r="171" spans="1:11" ht="13">
      <c r="A171" s="38">
        <v>169</v>
      </c>
      <c r="B171" s="39">
        <v>11</v>
      </c>
      <c r="C171" s="41" t="s">
        <v>493</v>
      </c>
      <c r="D171" s="41" t="s">
        <v>129</v>
      </c>
      <c r="E171" s="41" t="s">
        <v>494</v>
      </c>
      <c r="F171" s="42">
        <v>170</v>
      </c>
      <c r="G171" s="42">
        <v>182</v>
      </c>
      <c r="H171" s="42">
        <v>172</v>
      </c>
      <c r="I171" s="42">
        <v>3.9</v>
      </c>
      <c r="J171" s="41" t="s">
        <v>127</v>
      </c>
      <c r="K171" t="str">
        <f t="shared" si="0"/>
        <v>DS</v>
      </c>
    </row>
    <row r="172" spans="1:11" ht="13">
      <c r="A172" s="38">
        <v>170</v>
      </c>
      <c r="B172" s="39">
        <v>11</v>
      </c>
      <c r="C172" s="41" t="s">
        <v>495</v>
      </c>
      <c r="D172" s="41" t="s">
        <v>178</v>
      </c>
      <c r="E172" s="41" t="s">
        <v>496</v>
      </c>
      <c r="F172" s="42">
        <v>131</v>
      </c>
      <c r="G172" s="42">
        <v>232</v>
      </c>
      <c r="H172" s="42">
        <v>172</v>
      </c>
      <c r="I172" s="42">
        <v>33.1</v>
      </c>
      <c r="J172" s="41" t="s">
        <v>127</v>
      </c>
      <c r="K172" t="str">
        <f t="shared" si="0"/>
        <v>RB</v>
      </c>
    </row>
    <row r="173" spans="1:11" ht="13">
      <c r="A173" s="38">
        <v>171</v>
      </c>
      <c r="B173" s="39">
        <v>11</v>
      </c>
      <c r="C173" s="41" t="s">
        <v>497</v>
      </c>
      <c r="D173" s="41" t="s">
        <v>274</v>
      </c>
      <c r="E173" s="41" t="s">
        <v>498</v>
      </c>
      <c r="F173" s="42">
        <v>147</v>
      </c>
      <c r="G173" s="42">
        <v>203</v>
      </c>
      <c r="H173" s="42">
        <v>173</v>
      </c>
      <c r="I173" s="42">
        <v>15.1</v>
      </c>
      <c r="J173" s="41" t="s">
        <v>127</v>
      </c>
      <c r="K173" t="str">
        <f t="shared" si="0"/>
        <v>WR</v>
      </c>
    </row>
    <row r="174" spans="1:11" ht="13">
      <c r="A174" s="38">
        <v>172</v>
      </c>
      <c r="B174" s="39">
        <v>11</v>
      </c>
      <c r="C174" s="41" t="s">
        <v>499</v>
      </c>
      <c r="D174" s="41" t="s">
        <v>163</v>
      </c>
      <c r="E174" s="41" t="s">
        <v>500</v>
      </c>
      <c r="F174" s="42">
        <v>137</v>
      </c>
      <c r="G174" s="42">
        <v>228</v>
      </c>
      <c r="H174" s="42">
        <v>173</v>
      </c>
      <c r="I174" s="42">
        <v>21.8</v>
      </c>
      <c r="J174" s="41" t="s">
        <v>127</v>
      </c>
      <c r="K174" t="str">
        <f t="shared" si="0"/>
        <v>TE</v>
      </c>
    </row>
    <row r="175" spans="1:11" ht="13">
      <c r="A175" s="38">
        <v>173</v>
      </c>
      <c r="B175" s="39">
        <v>11</v>
      </c>
      <c r="C175" s="41" t="s">
        <v>501</v>
      </c>
      <c r="D175" s="41" t="s">
        <v>173</v>
      </c>
      <c r="E175" s="41" t="s">
        <v>502</v>
      </c>
      <c r="F175" s="42">
        <v>131</v>
      </c>
      <c r="G175" s="42">
        <v>302</v>
      </c>
      <c r="H175" s="42">
        <v>173</v>
      </c>
      <c r="I175" s="42">
        <v>53.5</v>
      </c>
      <c r="J175" s="41" t="s">
        <v>127</v>
      </c>
      <c r="K175" t="str">
        <f t="shared" si="0"/>
        <v>RB</v>
      </c>
    </row>
    <row r="176" spans="1:11" ht="13">
      <c r="A176" s="38">
        <v>174</v>
      </c>
      <c r="B176" s="39">
        <v>11</v>
      </c>
      <c r="C176" s="41" t="s">
        <v>503</v>
      </c>
      <c r="D176" s="41" t="s">
        <v>138</v>
      </c>
      <c r="E176" s="41" t="s">
        <v>504</v>
      </c>
      <c r="F176" s="42">
        <v>162</v>
      </c>
      <c r="G176" s="42">
        <v>198</v>
      </c>
      <c r="H176" s="42">
        <v>173</v>
      </c>
      <c r="I176" s="42">
        <v>9.1999999999999993</v>
      </c>
      <c r="J176" s="41" t="s">
        <v>127</v>
      </c>
      <c r="K176" t="str">
        <f t="shared" si="0"/>
        <v>WR</v>
      </c>
    </row>
    <row r="177" spans="1:11" ht="13">
      <c r="A177" s="38">
        <v>175</v>
      </c>
      <c r="B177" s="39">
        <v>11</v>
      </c>
      <c r="C177" s="41" t="s">
        <v>505</v>
      </c>
      <c r="D177" s="41" t="s">
        <v>253</v>
      </c>
      <c r="E177" s="41" t="s">
        <v>506</v>
      </c>
      <c r="F177" s="42">
        <v>138</v>
      </c>
      <c r="G177" s="42">
        <v>244</v>
      </c>
      <c r="H177" s="42">
        <v>174</v>
      </c>
      <c r="I177" s="42">
        <v>30.4</v>
      </c>
      <c r="J177" s="41" t="s">
        <v>127</v>
      </c>
      <c r="K177" t="str">
        <f t="shared" si="0"/>
        <v>WR</v>
      </c>
    </row>
    <row r="178" spans="1:11" ht="13">
      <c r="A178" s="38">
        <v>176</v>
      </c>
      <c r="B178" s="39">
        <v>11</v>
      </c>
      <c r="C178" s="41" t="s">
        <v>507</v>
      </c>
      <c r="D178" s="41" t="s">
        <v>187</v>
      </c>
      <c r="E178" s="41" t="s">
        <v>508</v>
      </c>
      <c r="F178" s="42">
        <v>148</v>
      </c>
      <c r="G178" s="42">
        <v>240</v>
      </c>
      <c r="H178" s="42">
        <v>176</v>
      </c>
      <c r="I178" s="42">
        <v>29</v>
      </c>
      <c r="J178" s="41" t="s">
        <v>127</v>
      </c>
      <c r="K178" t="str">
        <f t="shared" si="0"/>
        <v>RB</v>
      </c>
    </row>
    <row r="179" spans="1:11" ht="13">
      <c r="A179" s="38">
        <v>177</v>
      </c>
      <c r="B179" s="39">
        <v>11</v>
      </c>
      <c r="C179" s="41" t="s">
        <v>509</v>
      </c>
      <c r="D179" s="41" t="s">
        <v>132</v>
      </c>
      <c r="E179" s="41" t="s">
        <v>510</v>
      </c>
      <c r="F179" s="42">
        <v>169</v>
      </c>
      <c r="G179" s="42">
        <v>194</v>
      </c>
      <c r="H179" s="42">
        <v>177</v>
      </c>
      <c r="I179" s="42">
        <v>7</v>
      </c>
      <c r="J179" s="41" t="s">
        <v>127</v>
      </c>
      <c r="K179" t="str">
        <f t="shared" si="0"/>
        <v>WR</v>
      </c>
    </row>
    <row r="180" spans="1:11" ht="13">
      <c r="A180" s="38">
        <v>178</v>
      </c>
      <c r="B180" s="39">
        <v>11</v>
      </c>
      <c r="C180" s="41" t="s">
        <v>511</v>
      </c>
      <c r="D180" s="41" t="s">
        <v>163</v>
      </c>
      <c r="E180" s="41" t="s">
        <v>512</v>
      </c>
      <c r="F180" s="42">
        <v>164</v>
      </c>
      <c r="G180" s="42">
        <v>295</v>
      </c>
      <c r="H180" s="42">
        <v>181</v>
      </c>
      <c r="I180" s="42">
        <v>29.9</v>
      </c>
      <c r="J180" s="41" t="s">
        <v>127</v>
      </c>
      <c r="K180" t="str">
        <f t="shared" si="0"/>
        <v>WR</v>
      </c>
    </row>
    <row r="181" spans="1:11" ht="13">
      <c r="A181" s="38">
        <v>179</v>
      </c>
      <c r="B181" s="39">
        <v>11</v>
      </c>
      <c r="C181" s="41" t="s">
        <v>513</v>
      </c>
      <c r="D181" s="41" t="s">
        <v>158</v>
      </c>
      <c r="E181" s="41" t="s">
        <v>514</v>
      </c>
      <c r="F181" s="42">
        <v>182</v>
      </c>
      <c r="G181" s="42">
        <v>184</v>
      </c>
      <c r="H181" s="42">
        <v>182</v>
      </c>
      <c r="I181" s="42">
        <v>0.5</v>
      </c>
      <c r="J181" s="41" t="s">
        <v>127</v>
      </c>
      <c r="K181" t="str">
        <f t="shared" si="0"/>
        <v>DS</v>
      </c>
    </row>
    <row r="182" spans="1:11" ht="13">
      <c r="A182" s="38">
        <v>180</v>
      </c>
      <c r="B182" s="39">
        <v>11</v>
      </c>
      <c r="C182" s="41" t="s">
        <v>515</v>
      </c>
      <c r="D182" s="41" t="s">
        <v>283</v>
      </c>
      <c r="E182" s="41" t="s">
        <v>516</v>
      </c>
      <c r="F182" s="42">
        <v>115</v>
      </c>
      <c r="G182" s="42">
        <v>238</v>
      </c>
      <c r="H182" s="42">
        <v>183</v>
      </c>
      <c r="I182" s="42">
        <v>37</v>
      </c>
      <c r="J182" s="41" t="s">
        <v>127</v>
      </c>
      <c r="K182" t="str">
        <f t="shared" si="0"/>
        <v>WR</v>
      </c>
    </row>
    <row r="183" spans="1:11" ht="13">
      <c r="A183" s="38">
        <v>181</v>
      </c>
      <c r="B183" s="39">
        <v>11</v>
      </c>
      <c r="C183" s="41" t="s">
        <v>517</v>
      </c>
      <c r="D183" s="41" t="s">
        <v>209</v>
      </c>
      <c r="E183" s="41" t="s">
        <v>518</v>
      </c>
      <c r="F183" s="42">
        <v>116</v>
      </c>
      <c r="G183" s="42">
        <v>209</v>
      </c>
      <c r="H183" s="42">
        <v>183</v>
      </c>
      <c r="I183" s="42">
        <v>27.6</v>
      </c>
      <c r="J183" s="41" t="s">
        <v>127</v>
      </c>
      <c r="K183" t="str">
        <f t="shared" si="0"/>
        <v>WR</v>
      </c>
    </row>
    <row r="184" spans="1:11" ht="13">
      <c r="A184" s="38">
        <v>182</v>
      </c>
      <c r="B184" s="39">
        <v>12</v>
      </c>
      <c r="C184" s="41" t="s">
        <v>519</v>
      </c>
      <c r="D184" s="41" t="s">
        <v>212</v>
      </c>
      <c r="E184" s="41" t="s">
        <v>520</v>
      </c>
      <c r="F184" s="42">
        <v>184</v>
      </c>
      <c r="G184" s="42">
        <v>185</v>
      </c>
      <c r="H184" s="42">
        <v>184</v>
      </c>
      <c r="I184" s="42">
        <v>0.2</v>
      </c>
      <c r="J184" s="41" t="s">
        <v>127</v>
      </c>
      <c r="K184" t="str">
        <f t="shared" si="0"/>
        <v>DS</v>
      </c>
    </row>
    <row r="185" spans="1:11" ht="13">
      <c r="A185" s="38">
        <v>183</v>
      </c>
      <c r="B185" s="39">
        <v>12</v>
      </c>
      <c r="C185" s="41" t="s">
        <v>521</v>
      </c>
      <c r="D185" s="41" t="s">
        <v>283</v>
      </c>
      <c r="E185" s="41" t="s">
        <v>522</v>
      </c>
      <c r="F185" s="42">
        <v>185</v>
      </c>
      <c r="G185" s="42">
        <v>187</v>
      </c>
      <c r="H185" s="42">
        <v>185</v>
      </c>
      <c r="I185" s="42">
        <v>0.5</v>
      </c>
      <c r="J185" s="41" t="s">
        <v>127</v>
      </c>
      <c r="K185" t="str">
        <f t="shared" si="0"/>
        <v>DS</v>
      </c>
    </row>
    <row r="186" spans="1:11" ht="13">
      <c r="A186" s="38">
        <v>184</v>
      </c>
      <c r="B186" s="39">
        <v>12</v>
      </c>
      <c r="C186" s="41" t="s">
        <v>523</v>
      </c>
      <c r="D186" s="41" t="s">
        <v>144</v>
      </c>
      <c r="E186" s="41" t="s">
        <v>524</v>
      </c>
      <c r="F186" s="42">
        <v>186</v>
      </c>
      <c r="G186" s="42">
        <v>186</v>
      </c>
      <c r="H186" s="42">
        <v>186</v>
      </c>
      <c r="I186" s="42">
        <v>0</v>
      </c>
      <c r="J186" s="41" t="s">
        <v>127</v>
      </c>
      <c r="K186" t="str">
        <f t="shared" si="0"/>
        <v>K1</v>
      </c>
    </row>
    <row r="187" spans="1:11" ht="13">
      <c r="A187" s="38">
        <v>185</v>
      </c>
      <c r="B187" s="39">
        <v>12</v>
      </c>
      <c r="C187" s="41" t="s">
        <v>525</v>
      </c>
      <c r="D187" s="41" t="s">
        <v>333</v>
      </c>
      <c r="E187" s="41" t="s">
        <v>526</v>
      </c>
      <c r="F187" s="42">
        <v>165</v>
      </c>
      <c r="G187" s="42">
        <v>223</v>
      </c>
      <c r="H187" s="42">
        <v>187</v>
      </c>
      <c r="I187" s="42">
        <v>18</v>
      </c>
      <c r="J187" s="41" t="s">
        <v>127</v>
      </c>
      <c r="K187" t="str">
        <f t="shared" si="0"/>
        <v>WR</v>
      </c>
    </row>
    <row r="188" spans="1:11" ht="13">
      <c r="A188" s="38">
        <v>186</v>
      </c>
      <c r="B188" s="39">
        <v>12</v>
      </c>
      <c r="C188" s="41" t="s">
        <v>527</v>
      </c>
      <c r="D188" s="41" t="s">
        <v>187</v>
      </c>
      <c r="E188" s="41" t="s">
        <v>528</v>
      </c>
      <c r="F188" s="42">
        <v>187</v>
      </c>
      <c r="G188" s="42">
        <v>189</v>
      </c>
      <c r="H188" s="42">
        <v>188</v>
      </c>
      <c r="I188" s="42">
        <v>0.9</v>
      </c>
      <c r="J188" s="41" t="s">
        <v>127</v>
      </c>
      <c r="K188" t="str">
        <f t="shared" si="0"/>
        <v>DS</v>
      </c>
    </row>
    <row r="189" spans="1:11" ht="13">
      <c r="A189" s="38">
        <v>187</v>
      </c>
      <c r="B189" s="39">
        <v>12</v>
      </c>
      <c r="C189" s="41" t="s">
        <v>529</v>
      </c>
      <c r="D189" s="41" t="s">
        <v>243</v>
      </c>
      <c r="E189" s="41" t="s">
        <v>530</v>
      </c>
      <c r="F189" s="42">
        <v>161</v>
      </c>
      <c r="G189" s="42">
        <v>250</v>
      </c>
      <c r="H189" s="42">
        <v>189</v>
      </c>
      <c r="I189" s="42">
        <v>25.4</v>
      </c>
      <c r="J189" s="41" t="s">
        <v>127</v>
      </c>
      <c r="K189" t="str">
        <f t="shared" si="0"/>
        <v>RB</v>
      </c>
    </row>
    <row r="190" spans="1:11" ht="13">
      <c r="A190" s="38">
        <v>188</v>
      </c>
      <c r="B190" s="39">
        <v>12</v>
      </c>
      <c r="C190" s="41" t="s">
        <v>531</v>
      </c>
      <c r="D190" s="41" t="s">
        <v>209</v>
      </c>
      <c r="E190" s="41" t="s">
        <v>532</v>
      </c>
      <c r="F190" s="42">
        <v>189</v>
      </c>
      <c r="G190" s="42">
        <v>190</v>
      </c>
      <c r="H190" s="42">
        <v>189</v>
      </c>
      <c r="I190" s="42">
        <v>0.4</v>
      </c>
      <c r="J190" s="41" t="s">
        <v>127</v>
      </c>
      <c r="K190" t="str">
        <f t="shared" si="0"/>
        <v>DS</v>
      </c>
    </row>
    <row r="191" spans="1:11" ht="13">
      <c r="A191" s="38">
        <v>189</v>
      </c>
      <c r="B191" s="39">
        <v>12</v>
      </c>
      <c r="C191" s="41" t="s">
        <v>533</v>
      </c>
      <c r="D191" s="41" t="s">
        <v>173</v>
      </c>
      <c r="E191" s="41" t="s">
        <v>534</v>
      </c>
      <c r="F191" s="42">
        <v>89</v>
      </c>
      <c r="G191" s="42">
        <v>179</v>
      </c>
      <c r="H191" s="42">
        <v>126</v>
      </c>
      <c r="I191" s="42">
        <v>26.4</v>
      </c>
      <c r="J191" s="41" t="s">
        <v>127</v>
      </c>
      <c r="K191" t="str">
        <f t="shared" si="0"/>
        <v>WR</v>
      </c>
    </row>
    <row r="192" spans="1:11" ht="13">
      <c r="A192" s="38">
        <v>190</v>
      </c>
      <c r="B192" s="39">
        <v>12</v>
      </c>
      <c r="C192" s="41" t="s">
        <v>535</v>
      </c>
      <c r="D192" s="41" t="s">
        <v>300</v>
      </c>
      <c r="E192" s="41" t="s">
        <v>536</v>
      </c>
      <c r="F192" s="42">
        <v>187</v>
      </c>
      <c r="G192" s="42">
        <v>193</v>
      </c>
      <c r="H192" s="42">
        <v>190</v>
      </c>
      <c r="I192" s="42">
        <v>1.7</v>
      </c>
      <c r="J192" s="41" t="s">
        <v>127</v>
      </c>
      <c r="K192" t="str">
        <f t="shared" si="0"/>
        <v>DS</v>
      </c>
    </row>
    <row r="193" spans="1:11" ht="13">
      <c r="A193" s="38">
        <v>191</v>
      </c>
      <c r="B193" s="39">
        <v>12</v>
      </c>
      <c r="C193" s="41" t="s">
        <v>537</v>
      </c>
      <c r="D193" s="41" t="s">
        <v>163</v>
      </c>
      <c r="E193" s="41" t="s">
        <v>538</v>
      </c>
      <c r="F193" s="42">
        <v>191</v>
      </c>
      <c r="G193" s="42">
        <v>191</v>
      </c>
      <c r="H193" s="42">
        <v>191</v>
      </c>
      <c r="I193" s="42">
        <v>0</v>
      </c>
      <c r="J193" s="41" t="s">
        <v>127</v>
      </c>
      <c r="K193" t="str">
        <f t="shared" si="0"/>
        <v>K2</v>
      </c>
    </row>
    <row r="194" spans="1:11" ht="13">
      <c r="A194" s="38">
        <v>192</v>
      </c>
      <c r="B194" s="39">
        <v>12</v>
      </c>
      <c r="C194" s="41" t="s">
        <v>539</v>
      </c>
      <c r="D194" s="41" t="s">
        <v>138</v>
      </c>
      <c r="E194" s="41" t="s">
        <v>540</v>
      </c>
      <c r="F194" s="42">
        <v>140</v>
      </c>
      <c r="G194" s="42">
        <v>218</v>
      </c>
      <c r="H194" s="42">
        <v>180</v>
      </c>
      <c r="I194" s="42">
        <v>23.6</v>
      </c>
      <c r="J194" s="41" t="s">
        <v>127</v>
      </c>
      <c r="K194" t="str">
        <f t="shared" si="0"/>
        <v>RB</v>
      </c>
    </row>
    <row r="195" spans="1:11" ht="13">
      <c r="A195" s="38">
        <v>193</v>
      </c>
      <c r="B195" s="39">
        <v>12</v>
      </c>
      <c r="C195" s="41" t="s">
        <v>541</v>
      </c>
      <c r="D195" s="41" t="s">
        <v>283</v>
      </c>
      <c r="E195" s="41" t="s">
        <v>542</v>
      </c>
      <c r="F195" s="42">
        <v>192</v>
      </c>
      <c r="G195" s="42">
        <v>197</v>
      </c>
      <c r="H195" s="42">
        <v>193</v>
      </c>
      <c r="I195" s="42">
        <v>2.2000000000000002</v>
      </c>
      <c r="J195" s="41" t="s">
        <v>127</v>
      </c>
      <c r="K195" t="str">
        <f t="shared" si="0"/>
        <v>K3</v>
      </c>
    </row>
    <row r="196" spans="1:11" ht="13">
      <c r="A196" s="38">
        <v>194</v>
      </c>
      <c r="B196" s="39">
        <v>12</v>
      </c>
      <c r="C196" s="41" t="s">
        <v>543</v>
      </c>
      <c r="D196" s="41" t="s">
        <v>166</v>
      </c>
      <c r="E196" s="41" t="s">
        <v>544</v>
      </c>
      <c r="F196" s="42">
        <v>140</v>
      </c>
      <c r="G196" s="42">
        <v>259</v>
      </c>
      <c r="H196" s="42">
        <v>193</v>
      </c>
      <c r="I196" s="42">
        <v>28.3</v>
      </c>
      <c r="J196" s="41" t="s">
        <v>127</v>
      </c>
      <c r="K196" t="str">
        <f t="shared" si="0"/>
        <v>RB</v>
      </c>
    </row>
    <row r="197" spans="1:11" ht="13">
      <c r="A197" s="38">
        <v>195</v>
      </c>
      <c r="B197" s="39">
        <v>12</v>
      </c>
      <c r="C197" s="41" t="s">
        <v>545</v>
      </c>
      <c r="D197" s="41" t="s">
        <v>333</v>
      </c>
      <c r="E197" s="41" t="s">
        <v>546</v>
      </c>
      <c r="F197" s="42">
        <v>165</v>
      </c>
      <c r="G197" s="42">
        <v>243</v>
      </c>
      <c r="H197" s="42">
        <v>196</v>
      </c>
      <c r="I197" s="42">
        <v>21.8</v>
      </c>
      <c r="J197" s="41" t="s">
        <v>127</v>
      </c>
      <c r="K197" t="str">
        <f t="shared" si="0"/>
        <v>WR</v>
      </c>
    </row>
    <row r="198" spans="1:11" ht="13">
      <c r="A198" s="38">
        <v>196</v>
      </c>
      <c r="B198" s="39">
        <v>12</v>
      </c>
      <c r="C198" s="41" t="s">
        <v>547</v>
      </c>
      <c r="D198" s="41" t="s">
        <v>187</v>
      </c>
      <c r="E198" s="41" t="s">
        <v>548</v>
      </c>
      <c r="F198" s="42">
        <v>192</v>
      </c>
      <c r="G198" s="42">
        <v>197</v>
      </c>
      <c r="H198" s="42">
        <v>196</v>
      </c>
      <c r="I198" s="42">
        <v>2.2000000000000002</v>
      </c>
      <c r="J198" s="41" t="s">
        <v>127</v>
      </c>
      <c r="K198" t="str">
        <f t="shared" si="0"/>
        <v>K4</v>
      </c>
    </row>
    <row r="199" spans="1:11" ht="13">
      <c r="A199" s="38">
        <v>197</v>
      </c>
      <c r="B199" s="39">
        <v>12</v>
      </c>
      <c r="C199" s="41" t="s">
        <v>549</v>
      </c>
      <c r="D199" s="41" t="s">
        <v>129</v>
      </c>
      <c r="E199" s="41" t="s">
        <v>550</v>
      </c>
      <c r="F199" s="42">
        <v>172</v>
      </c>
      <c r="G199" s="42">
        <v>245</v>
      </c>
      <c r="H199" s="42">
        <v>196</v>
      </c>
      <c r="I199" s="42">
        <v>20.6</v>
      </c>
      <c r="J199" s="41" t="s">
        <v>127</v>
      </c>
      <c r="K199" t="str">
        <f t="shared" si="0"/>
        <v>TE</v>
      </c>
    </row>
    <row r="200" spans="1:11" ht="13">
      <c r="A200" s="38">
        <v>198</v>
      </c>
      <c r="B200" s="39">
        <v>12</v>
      </c>
      <c r="C200" s="41" t="s">
        <v>551</v>
      </c>
      <c r="D200" s="41" t="s">
        <v>274</v>
      </c>
      <c r="E200" s="41" t="s">
        <v>552</v>
      </c>
      <c r="F200" s="42">
        <v>190</v>
      </c>
      <c r="G200" s="42">
        <v>205</v>
      </c>
      <c r="H200" s="42">
        <v>197</v>
      </c>
      <c r="I200" s="42">
        <v>5.7</v>
      </c>
      <c r="J200" s="41" t="s">
        <v>127</v>
      </c>
      <c r="K200" t="str">
        <f t="shared" si="0"/>
        <v>DS</v>
      </c>
    </row>
    <row r="201" spans="1:11" ht="13">
      <c r="A201" s="38">
        <v>199</v>
      </c>
      <c r="B201" s="39">
        <v>12</v>
      </c>
      <c r="C201" s="41" t="s">
        <v>553</v>
      </c>
      <c r="D201" s="41" t="s">
        <v>163</v>
      </c>
      <c r="E201" s="41" t="s">
        <v>554</v>
      </c>
      <c r="F201" s="42">
        <v>173</v>
      </c>
      <c r="G201" s="42">
        <v>222</v>
      </c>
      <c r="H201" s="42">
        <v>197</v>
      </c>
      <c r="I201" s="42">
        <v>13.8</v>
      </c>
      <c r="J201" s="41" t="s">
        <v>127</v>
      </c>
      <c r="K201" t="str">
        <f t="shared" si="0"/>
        <v>WR</v>
      </c>
    </row>
    <row r="202" spans="1:11" ht="13">
      <c r="A202" s="38">
        <v>200</v>
      </c>
      <c r="B202" s="39">
        <v>12</v>
      </c>
      <c r="C202" s="41" t="s">
        <v>555</v>
      </c>
      <c r="D202" s="41" t="s">
        <v>138</v>
      </c>
      <c r="E202" s="41" t="s">
        <v>556</v>
      </c>
      <c r="F202" s="42">
        <v>123</v>
      </c>
      <c r="G202" s="42">
        <v>228</v>
      </c>
      <c r="H202" s="42">
        <v>197</v>
      </c>
      <c r="I202" s="42">
        <v>22.2</v>
      </c>
      <c r="J202" s="41" t="s">
        <v>127</v>
      </c>
      <c r="K202" t="str">
        <f t="shared" si="0"/>
        <v>TE</v>
      </c>
    </row>
    <row r="203" spans="1:11" ht="13">
      <c r="A203" s="38">
        <v>201</v>
      </c>
      <c r="B203" s="39">
        <v>12</v>
      </c>
      <c r="C203" s="41" t="s">
        <v>557</v>
      </c>
      <c r="D203" s="41" t="s">
        <v>212</v>
      </c>
      <c r="E203" s="41" t="s">
        <v>558</v>
      </c>
      <c r="F203" s="42">
        <v>175</v>
      </c>
      <c r="G203" s="42">
        <v>243</v>
      </c>
      <c r="H203" s="42">
        <v>199</v>
      </c>
      <c r="I203" s="42">
        <v>22.1</v>
      </c>
      <c r="J203" s="41" t="s">
        <v>127</v>
      </c>
      <c r="K203" t="str">
        <f t="shared" si="0"/>
        <v>WR</v>
      </c>
    </row>
    <row r="204" spans="1:11" ht="13">
      <c r="A204" s="38">
        <v>202</v>
      </c>
      <c r="B204" s="39">
        <v>12</v>
      </c>
      <c r="C204" s="41" t="s">
        <v>559</v>
      </c>
      <c r="D204" s="41" t="s">
        <v>141</v>
      </c>
      <c r="E204" s="41" t="s">
        <v>560</v>
      </c>
      <c r="F204" s="42">
        <v>128</v>
      </c>
      <c r="G204" s="42">
        <v>254</v>
      </c>
      <c r="H204" s="42">
        <v>202</v>
      </c>
      <c r="I204" s="42">
        <v>40.4</v>
      </c>
      <c r="J204" s="41" t="s">
        <v>127</v>
      </c>
      <c r="K204" t="str">
        <f t="shared" si="0"/>
        <v>QB</v>
      </c>
    </row>
    <row r="205" spans="1:11" ht="13">
      <c r="A205" s="38">
        <v>203</v>
      </c>
      <c r="B205" s="39">
        <v>12</v>
      </c>
      <c r="C205" s="41" t="s">
        <v>561</v>
      </c>
      <c r="D205" s="41" t="s">
        <v>243</v>
      </c>
      <c r="E205" s="41" t="s">
        <v>562</v>
      </c>
      <c r="F205" s="42">
        <v>162</v>
      </c>
      <c r="G205" s="42">
        <v>229</v>
      </c>
      <c r="H205" s="42">
        <v>203</v>
      </c>
      <c r="I205" s="42">
        <v>22</v>
      </c>
      <c r="J205" s="41" t="s">
        <v>127</v>
      </c>
      <c r="K205" t="str">
        <f t="shared" si="0"/>
        <v>WR</v>
      </c>
    </row>
    <row r="206" spans="1:11" ht="13">
      <c r="A206" s="38">
        <v>204</v>
      </c>
      <c r="B206" s="39">
        <v>12</v>
      </c>
      <c r="C206" s="41" t="s">
        <v>563</v>
      </c>
      <c r="D206" s="41" t="s">
        <v>138</v>
      </c>
      <c r="E206" s="41" t="s">
        <v>564</v>
      </c>
      <c r="F206" s="42">
        <v>199</v>
      </c>
      <c r="G206" s="42">
        <v>210</v>
      </c>
      <c r="H206" s="42">
        <v>203</v>
      </c>
      <c r="I206" s="42">
        <v>4.5</v>
      </c>
      <c r="J206" s="41" t="s">
        <v>127</v>
      </c>
      <c r="K206" t="str">
        <f t="shared" si="0"/>
        <v>K5</v>
      </c>
    </row>
    <row r="207" spans="1:11" ht="13">
      <c r="A207" s="38">
        <v>205</v>
      </c>
      <c r="B207" s="39">
        <v>12</v>
      </c>
      <c r="C207" s="41" t="s">
        <v>565</v>
      </c>
      <c r="D207" s="41" t="s">
        <v>190</v>
      </c>
      <c r="E207" s="41" t="s">
        <v>566</v>
      </c>
      <c r="F207" s="42">
        <v>199</v>
      </c>
      <c r="G207" s="42">
        <v>212</v>
      </c>
      <c r="H207" s="42">
        <v>208</v>
      </c>
      <c r="I207" s="42">
        <v>4.8</v>
      </c>
      <c r="J207" s="41" t="s">
        <v>127</v>
      </c>
      <c r="K207" t="str">
        <f t="shared" si="0"/>
        <v>K6</v>
      </c>
    </row>
    <row r="208" spans="1:11" ht="13">
      <c r="A208" s="38">
        <v>206</v>
      </c>
      <c r="B208" s="39">
        <v>12</v>
      </c>
      <c r="C208" s="41" t="s">
        <v>567</v>
      </c>
      <c r="D208" s="41" t="s">
        <v>300</v>
      </c>
      <c r="E208" s="41" t="s">
        <v>568</v>
      </c>
      <c r="F208" s="42">
        <v>134</v>
      </c>
      <c r="G208" s="42">
        <v>291</v>
      </c>
      <c r="H208" s="42">
        <v>210</v>
      </c>
      <c r="I208" s="42">
        <v>55.5</v>
      </c>
      <c r="J208" s="41" t="s">
        <v>127</v>
      </c>
      <c r="K208" t="str">
        <f t="shared" si="0"/>
        <v>RB</v>
      </c>
    </row>
    <row r="209" spans="1:11" ht="13">
      <c r="A209" s="38">
        <v>207</v>
      </c>
      <c r="B209" s="39">
        <v>12</v>
      </c>
      <c r="C209" s="41" t="s">
        <v>569</v>
      </c>
      <c r="D209" s="41" t="s">
        <v>135</v>
      </c>
      <c r="E209" s="41" t="s">
        <v>570</v>
      </c>
      <c r="F209" s="42">
        <v>199</v>
      </c>
      <c r="G209" s="42">
        <v>239</v>
      </c>
      <c r="H209" s="42">
        <v>210</v>
      </c>
      <c r="I209" s="42">
        <v>10.8</v>
      </c>
      <c r="J209" s="41" t="s">
        <v>127</v>
      </c>
      <c r="K209" t="str">
        <f t="shared" si="0"/>
        <v>K7</v>
      </c>
    </row>
    <row r="210" spans="1:11" ht="13">
      <c r="A210" s="38">
        <v>208</v>
      </c>
      <c r="B210" s="39">
        <v>12</v>
      </c>
      <c r="C210" s="41" t="s">
        <v>571</v>
      </c>
      <c r="D210" s="41" t="s">
        <v>169</v>
      </c>
      <c r="E210" s="41" t="s">
        <v>572</v>
      </c>
      <c r="F210" s="42">
        <v>200</v>
      </c>
      <c r="G210" s="42">
        <v>231</v>
      </c>
      <c r="H210" s="42">
        <v>210</v>
      </c>
      <c r="I210" s="42">
        <v>9.5</v>
      </c>
      <c r="J210" s="41" t="s">
        <v>127</v>
      </c>
      <c r="K210" t="str">
        <f t="shared" si="0"/>
        <v>WR</v>
      </c>
    </row>
    <row r="211" spans="1:11" ht="13">
      <c r="A211" s="38">
        <v>209</v>
      </c>
      <c r="B211" s="39">
        <v>12</v>
      </c>
      <c r="C211" s="41" t="s">
        <v>573</v>
      </c>
      <c r="D211" s="41" t="s">
        <v>187</v>
      </c>
      <c r="E211" s="41" t="s">
        <v>574</v>
      </c>
      <c r="F211" s="42">
        <v>194</v>
      </c>
      <c r="G211" s="42">
        <v>269</v>
      </c>
      <c r="H211" s="42">
        <v>210</v>
      </c>
      <c r="I211" s="42">
        <v>19.3</v>
      </c>
      <c r="J211" s="41" t="s">
        <v>127</v>
      </c>
      <c r="K211" t="str">
        <f t="shared" si="0"/>
        <v>WR</v>
      </c>
    </row>
    <row r="212" spans="1:11" ht="13">
      <c r="A212" s="38">
        <v>210</v>
      </c>
      <c r="B212" s="39">
        <v>12</v>
      </c>
      <c r="C212" s="41" t="s">
        <v>575</v>
      </c>
      <c r="D212" s="41" t="s">
        <v>152</v>
      </c>
      <c r="E212" s="41" t="s">
        <v>576</v>
      </c>
      <c r="F212" s="42">
        <v>167</v>
      </c>
      <c r="G212" s="42">
        <v>240</v>
      </c>
      <c r="H212" s="42">
        <v>211</v>
      </c>
      <c r="I212" s="42">
        <v>18.399999999999999</v>
      </c>
      <c r="J212" s="41" t="s">
        <v>127</v>
      </c>
      <c r="K212" t="str">
        <f t="shared" si="0"/>
        <v>RB</v>
      </c>
    </row>
    <row r="213" spans="1:11" ht="13">
      <c r="A213" s="38">
        <v>211</v>
      </c>
      <c r="B213" s="39">
        <v>12</v>
      </c>
      <c r="C213" s="41" t="s">
        <v>577</v>
      </c>
      <c r="D213" s="41" t="s">
        <v>178</v>
      </c>
      <c r="E213" s="41" t="s">
        <v>578</v>
      </c>
      <c r="F213" s="42">
        <v>136</v>
      </c>
      <c r="G213" s="42">
        <v>284</v>
      </c>
      <c r="H213" s="42">
        <v>211</v>
      </c>
      <c r="I213" s="42">
        <v>53.8</v>
      </c>
      <c r="J213" s="41" t="s">
        <v>127</v>
      </c>
      <c r="K213" t="str">
        <f t="shared" si="0"/>
        <v>QB</v>
      </c>
    </row>
    <row r="214" spans="1:11" ht="13">
      <c r="A214" s="38">
        <v>212</v>
      </c>
      <c r="B214" s="39">
        <v>12</v>
      </c>
      <c r="C214" s="41" t="s">
        <v>579</v>
      </c>
      <c r="D214" s="41" t="s">
        <v>195</v>
      </c>
      <c r="E214" s="41" t="s">
        <v>580</v>
      </c>
      <c r="F214" s="42">
        <v>205</v>
      </c>
      <c r="G214" s="42">
        <v>219</v>
      </c>
      <c r="H214" s="42">
        <v>212</v>
      </c>
      <c r="I214" s="42">
        <v>5</v>
      </c>
      <c r="J214" s="41" t="s">
        <v>127</v>
      </c>
      <c r="K214" t="str">
        <f t="shared" si="0"/>
        <v>DS</v>
      </c>
    </row>
    <row r="215" spans="1:11" ht="13">
      <c r="A215" s="38">
        <v>213</v>
      </c>
      <c r="B215" s="39">
        <v>12</v>
      </c>
      <c r="C215" s="41" t="s">
        <v>581</v>
      </c>
      <c r="D215" s="41" t="s">
        <v>212</v>
      </c>
      <c r="E215" s="41" t="s">
        <v>582</v>
      </c>
      <c r="F215" s="42">
        <v>210</v>
      </c>
      <c r="G215" s="42">
        <v>216</v>
      </c>
      <c r="H215" s="42">
        <v>212</v>
      </c>
      <c r="I215" s="42">
        <v>1.7</v>
      </c>
      <c r="J215" s="41" t="s">
        <v>127</v>
      </c>
      <c r="K215" t="str">
        <f t="shared" si="0"/>
        <v>K8</v>
      </c>
    </row>
    <row r="216" spans="1:11" ht="13">
      <c r="A216" s="38">
        <v>214</v>
      </c>
      <c r="B216" s="39">
        <v>12</v>
      </c>
      <c r="C216" s="41" t="s">
        <v>583</v>
      </c>
      <c r="D216" s="41" t="s">
        <v>173</v>
      </c>
      <c r="E216" s="41" t="s">
        <v>584</v>
      </c>
      <c r="F216" s="42">
        <v>164</v>
      </c>
      <c r="G216" s="42">
        <v>276</v>
      </c>
      <c r="H216" s="42">
        <v>212</v>
      </c>
      <c r="I216" s="42">
        <v>36.1</v>
      </c>
      <c r="J216" s="41" t="s">
        <v>127</v>
      </c>
      <c r="K216" t="str">
        <f t="shared" si="0"/>
        <v>WR</v>
      </c>
    </row>
    <row r="217" spans="1:11" ht="13">
      <c r="A217" s="38">
        <v>215</v>
      </c>
      <c r="B217" s="39">
        <v>12</v>
      </c>
      <c r="C217" s="41" t="s">
        <v>585</v>
      </c>
      <c r="D217" s="41" t="s">
        <v>149</v>
      </c>
      <c r="E217" s="41" t="s">
        <v>586</v>
      </c>
      <c r="F217" s="42">
        <v>210</v>
      </c>
      <c r="G217" s="42">
        <v>214</v>
      </c>
      <c r="H217" s="42">
        <v>213</v>
      </c>
      <c r="I217" s="42">
        <v>1.6</v>
      </c>
      <c r="J217" s="41" t="s">
        <v>127</v>
      </c>
      <c r="K217" t="str">
        <f t="shared" si="0"/>
        <v>K9</v>
      </c>
    </row>
    <row r="218" spans="1:11" ht="13">
      <c r="A218" s="38">
        <v>216</v>
      </c>
      <c r="B218" s="39">
        <v>12</v>
      </c>
      <c r="C218" s="41" t="s">
        <v>587</v>
      </c>
      <c r="D218" s="41" t="s">
        <v>173</v>
      </c>
      <c r="E218" s="41" t="s">
        <v>588</v>
      </c>
      <c r="F218" s="42">
        <v>161</v>
      </c>
      <c r="G218" s="42">
        <v>286</v>
      </c>
      <c r="H218" s="42">
        <v>214</v>
      </c>
      <c r="I218" s="42">
        <v>46</v>
      </c>
      <c r="J218" s="41" t="s">
        <v>127</v>
      </c>
      <c r="K218" t="str">
        <f t="shared" si="0"/>
        <v>RB</v>
      </c>
    </row>
    <row r="219" spans="1:11" ht="13">
      <c r="A219" s="38">
        <v>217</v>
      </c>
      <c r="B219" s="39">
        <v>12</v>
      </c>
      <c r="C219" s="41" t="s">
        <v>589</v>
      </c>
      <c r="D219" s="41" t="s">
        <v>158</v>
      </c>
      <c r="E219" s="41" t="s">
        <v>590</v>
      </c>
      <c r="F219" s="42">
        <v>172</v>
      </c>
      <c r="G219" s="42">
        <v>253</v>
      </c>
      <c r="H219" s="42">
        <v>217</v>
      </c>
      <c r="I219" s="42">
        <v>20.100000000000001</v>
      </c>
      <c r="J219" s="41" t="s">
        <v>127</v>
      </c>
      <c r="K219" t="str">
        <f t="shared" si="0"/>
        <v>TE</v>
      </c>
    </row>
    <row r="220" spans="1:11" ht="13">
      <c r="A220" s="38">
        <v>218</v>
      </c>
      <c r="B220" s="39">
        <v>12</v>
      </c>
      <c r="C220" s="41" t="s">
        <v>591</v>
      </c>
      <c r="D220" s="41" t="s">
        <v>173</v>
      </c>
      <c r="E220" s="41" t="s">
        <v>592</v>
      </c>
      <c r="F220" s="42">
        <v>155</v>
      </c>
      <c r="G220" s="42">
        <v>299</v>
      </c>
      <c r="H220" s="42">
        <v>218</v>
      </c>
      <c r="I220" s="42">
        <v>51.1</v>
      </c>
      <c r="J220" s="41" t="s">
        <v>127</v>
      </c>
      <c r="K220" t="str">
        <f t="shared" si="0"/>
        <v>RB</v>
      </c>
    </row>
    <row r="221" spans="1:11" ht="13">
      <c r="A221" s="38">
        <v>219</v>
      </c>
      <c r="B221" s="39">
        <v>12</v>
      </c>
      <c r="C221" s="41" t="s">
        <v>593</v>
      </c>
      <c r="D221" s="41" t="s">
        <v>243</v>
      </c>
      <c r="E221" s="41" t="s">
        <v>594</v>
      </c>
      <c r="F221" s="42">
        <v>216</v>
      </c>
      <c r="G221" s="42">
        <v>224</v>
      </c>
      <c r="H221" s="42">
        <v>218</v>
      </c>
      <c r="I221" s="42">
        <v>3.5</v>
      </c>
      <c r="J221" s="41" t="s">
        <v>127</v>
      </c>
      <c r="K221" t="str">
        <f t="shared" si="0"/>
        <v>K1</v>
      </c>
    </row>
    <row r="222" spans="1:11" ht="13">
      <c r="A222" s="38">
        <v>220</v>
      </c>
      <c r="B222" s="39">
        <v>12</v>
      </c>
      <c r="C222" s="41" t="s">
        <v>595</v>
      </c>
      <c r="D222" s="41" t="s">
        <v>132</v>
      </c>
      <c r="E222" s="41" t="s">
        <v>596</v>
      </c>
      <c r="F222" s="42">
        <v>193</v>
      </c>
      <c r="G222" s="42">
        <v>248</v>
      </c>
      <c r="H222" s="42">
        <v>219</v>
      </c>
      <c r="I222" s="42">
        <v>19.2</v>
      </c>
      <c r="J222" s="41" t="s">
        <v>127</v>
      </c>
      <c r="K222" t="str">
        <f t="shared" si="0"/>
        <v>DS</v>
      </c>
    </row>
    <row r="223" spans="1:11" ht="13">
      <c r="A223" s="38">
        <v>221</v>
      </c>
      <c r="B223" s="39">
        <v>12</v>
      </c>
      <c r="C223" s="41" t="s">
        <v>597</v>
      </c>
      <c r="D223" s="41" t="s">
        <v>144</v>
      </c>
      <c r="E223" s="41" t="s">
        <v>598</v>
      </c>
      <c r="F223" s="42">
        <v>203</v>
      </c>
      <c r="G223" s="42">
        <v>271</v>
      </c>
      <c r="H223" s="42">
        <v>219</v>
      </c>
      <c r="I223" s="42">
        <v>17.399999999999999</v>
      </c>
      <c r="J223" s="41" t="s">
        <v>127</v>
      </c>
      <c r="K223" t="str">
        <f t="shared" si="0"/>
        <v>WR</v>
      </c>
    </row>
    <row r="224" spans="1:11" ht="13">
      <c r="A224" s="38">
        <v>222</v>
      </c>
      <c r="B224" s="39">
        <v>12</v>
      </c>
      <c r="C224" s="41" t="s">
        <v>599</v>
      </c>
      <c r="D224" s="41" t="s">
        <v>173</v>
      </c>
      <c r="E224" s="41" t="s">
        <v>600</v>
      </c>
      <c r="F224" s="42">
        <v>121</v>
      </c>
      <c r="G224" s="42">
        <v>286</v>
      </c>
      <c r="H224" s="42">
        <v>209</v>
      </c>
      <c r="I224" s="42">
        <v>53.3</v>
      </c>
      <c r="J224" s="41" t="s">
        <v>127</v>
      </c>
      <c r="K224" t="str">
        <f t="shared" si="0"/>
        <v>RB</v>
      </c>
    </row>
    <row r="225" spans="1:11" ht="13">
      <c r="A225" s="38">
        <v>223</v>
      </c>
      <c r="B225" s="39">
        <v>12</v>
      </c>
      <c r="C225" s="41" t="s">
        <v>601</v>
      </c>
      <c r="D225" s="41" t="s">
        <v>152</v>
      </c>
      <c r="E225" s="41" t="s">
        <v>602</v>
      </c>
      <c r="F225" s="42">
        <v>211</v>
      </c>
      <c r="G225" s="42">
        <v>234</v>
      </c>
      <c r="H225" s="42">
        <v>220</v>
      </c>
      <c r="I225" s="42">
        <v>6</v>
      </c>
      <c r="J225" s="41" t="s">
        <v>127</v>
      </c>
      <c r="K225" t="str">
        <f t="shared" si="0"/>
        <v>DS</v>
      </c>
    </row>
    <row r="226" spans="1:11" ht="13">
      <c r="A226" s="38">
        <v>224</v>
      </c>
      <c r="B226" s="39">
        <v>13</v>
      </c>
      <c r="C226" s="41" t="s">
        <v>603</v>
      </c>
      <c r="D226" s="41" t="s">
        <v>138</v>
      </c>
      <c r="E226" s="41" t="s">
        <v>604</v>
      </c>
      <c r="F226" s="42">
        <v>204</v>
      </c>
      <c r="G226" s="42">
        <v>287</v>
      </c>
      <c r="H226" s="42">
        <v>221</v>
      </c>
      <c r="I226" s="42">
        <v>20.5</v>
      </c>
      <c r="J226" s="41" t="s">
        <v>127</v>
      </c>
      <c r="K226" t="str">
        <f t="shared" si="0"/>
        <v>WR</v>
      </c>
    </row>
    <row r="227" spans="1:11" ht="13">
      <c r="A227" s="38">
        <v>225</v>
      </c>
      <c r="B227" s="39">
        <v>13</v>
      </c>
      <c r="C227" s="41" t="s">
        <v>605</v>
      </c>
      <c r="D227" s="41" t="s">
        <v>253</v>
      </c>
      <c r="E227" s="41" t="s">
        <v>606</v>
      </c>
      <c r="F227" s="42">
        <v>215</v>
      </c>
      <c r="G227" s="42">
        <v>238</v>
      </c>
      <c r="H227" s="42">
        <v>221</v>
      </c>
      <c r="I227" s="42">
        <v>7.4</v>
      </c>
      <c r="J227" s="41" t="s">
        <v>127</v>
      </c>
      <c r="K227" t="str">
        <f t="shared" si="0"/>
        <v>WR</v>
      </c>
    </row>
    <row r="228" spans="1:11" ht="13">
      <c r="A228" s="38">
        <v>226</v>
      </c>
      <c r="B228" s="39">
        <v>13</v>
      </c>
      <c r="C228" s="41" t="s">
        <v>607</v>
      </c>
      <c r="D228" s="41" t="s">
        <v>173</v>
      </c>
      <c r="E228" s="41" t="s">
        <v>608</v>
      </c>
      <c r="F228" s="42">
        <v>180</v>
      </c>
      <c r="G228" s="42">
        <v>280</v>
      </c>
      <c r="H228" s="42">
        <v>221</v>
      </c>
      <c r="I228" s="42">
        <v>26.9</v>
      </c>
      <c r="J228" s="41" t="s">
        <v>127</v>
      </c>
      <c r="K228" t="str">
        <f t="shared" si="0"/>
        <v>TE</v>
      </c>
    </row>
    <row r="229" spans="1:11" ht="13">
      <c r="A229" s="38">
        <v>227</v>
      </c>
      <c r="B229" s="39">
        <v>13</v>
      </c>
      <c r="C229" s="41" t="s">
        <v>609</v>
      </c>
      <c r="D229" s="41" t="s">
        <v>184</v>
      </c>
      <c r="E229" s="41" t="s">
        <v>610</v>
      </c>
      <c r="F229" s="42">
        <v>159</v>
      </c>
      <c r="G229" s="42">
        <v>296</v>
      </c>
      <c r="H229" s="42">
        <v>223</v>
      </c>
      <c r="I229" s="42">
        <v>44.8</v>
      </c>
      <c r="J229" s="41" t="s">
        <v>127</v>
      </c>
      <c r="K229" t="str">
        <f t="shared" si="0"/>
        <v>RB</v>
      </c>
    </row>
    <row r="230" spans="1:11" ht="13">
      <c r="A230" s="38">
        <v>228</v>
      </c>
      <c r="B230" s="39">
        <v>13</v>
      </c>
      <c r="C230" s="41" t="s">
        <v>611</v>
      </c>
      <c r="D230" s="41" t="s">
        <v>155</v>
      </c>
      <c r="E230" s="41" t="s">
        <v>612</v>
      </c>
      <c r="F230" s="42">
        <v>180</v>
      </c>
      <c r="G230" s="42">
        <v>280</v>
      </c>
      <c r="H230" s="42">
        <v>223</v>
      </c>
      <c r="I230" s="42">
        <v>30.7</v>
      </c>
      <c r="J230" s="41" t="s">
        <v>127</v>
      </c>
      <c r="K230" t="str">
        <f t="shared" si="0"/>
        <v>TE</v>
      </c>
    </row>
    <row r="231" spans="1:11" ht="13">
      <c r="A231" s="38">
        <v>229</v>
      </c>
      <c r="B231" s="39">
        <v>13</v>
      </c>
      <c r="C231" s="41" t="s">
        <v>613</v>
      </c>
      <c r="D231" s="41" t="s">
        <v>333</v>
      </c>
      <c r="E231" s="41" t="s">
        <v>614</v>
      </c>
      <c r="F231" s="42">
        <v>179</v>
      </c>
      <c r="G231" s="42">
        <v>246</v>
      </c>
      <c r="H231" s="42">
        <v>223</v>
      </c>
      <c r="I231" s="42">
        <v>16.8</v>
      </c>
      <c r="J231" s="41" t="s">
        <v>127</v>
      </c>
      <c r="K231" t="str">
        <f t="shared" si="0"/>
        <v>WR</v>
      </c>
    </row>
    <row r="232" spans="1:11" ht="13">
      <c r="A232" s="38">
        <v>230</v>
      </c>
      <c r="B232" s="39">
        <v>13</v>
      </c>
      <c r="C232" s="41" t="s">
        <v>615</v>
      </c>
      <c r="D232" s="41" t="s">
        <v>190</v>
      </c>
      <c r="E232" s="41" t="s">
        <v>616</v>
      </c>
      <c r="F232" s="42">
        <v>189</v>
      </c>
      <c r="G232" s="42">
        <v>248</v>
      </c>
      <c r="H232" s="42">
        <v>223</v>
      </c>
      <c r="I232" s="42">
        <v>16.399999999999999</v>
      </c>
      <c r="J232" s="41" t="s">
        <v>127</v>
      </c>
      <c r="K232" t="str">
        <f t="shared" si="0"/>
        <v>DS</v>
      </c>
    </row>
    <row r="233" spans="1:11" ht="13">
      <c r="A233" s="38">
        <v>231</v>
      </c>
      <c r="B233" s="39">
        <v>13</v>
      </c>
      <c r="C233" s="41" t="s">
        <v>617</v>
      </c>
      <c r="D233" s="41" t="s">
        <v>250</v>
      </c>
      <c r="E233" s="41" t="s">
        <v>618</v>
      </c>
      <c r="F233" s="42">
        <v>216</v>
      </c>
      <c r="G233" s="42">
        <v>233</v>
      </c>
      <c r="H233" s="42">
        <v>224</v>
      </c>
      <c r="I233" s="42">
        <v>4.7</v>
      </c>
      <c r="J233" s="41" t="s">
        <v>127</v>
      </c>
      <c r="K233" t="str">
        <f t="shared" si="0"/>
        <v>K1</v>
      </c>
    </row>
    <row r="234" spans="1:11" ht="13">
      <c r="A234" s="38">
        <v>232</v>
      </c>
      <c r="B234" s="39">
        <v>13</v>
      </c>
      <c r="C234" s="41" t="s">
        <v>619</v>
      </c>
      <c r="D234" s="41" t="s">
        <v>166</v>
      </c>
      <c r="E234" s="41" t="s">
        <v>620</v>
      </c>
      <c r="F234" s="42">
        <v>174</v>
      </c>
      <c r="G234" s="42">
        <v>250</v>
      </c>
      <c r="H234" s="42">
        <v>226</v>
      </c>
      <c r="I234" s="42">
        <v>17.2</v>
      </c>
      <c r="J234" s="41" t="s">
        <v>127</v>
      </c>
      <c r="K234" t="str">
        <f t="shared" si="0"/>
        <v>RB</v>
      </c>
    </row>
    <row r="235" spans="1:11" ht="13">
      <c r="A235" s="38">
        <v>233</v>
      </c>
      <c r="B235" s="39">
        <v>13</v>
      </c>
      <c r="C235" s="41" t="s">
        <v>621</v>
      </c>
      <c r="D235" s="41" t="s">
        <v>184</v>
      </c>
      <c r="E235" s="41" t="s">
        <v>622</v>
      </c>
      <c r="F235" s="42">
        <v>176</v>
      </c>
      <c r="G235" s="42">
        <v>300</v>
      </c>
      <c r="H235" s="42">
        <v>227</v>
      </c>
      <c r="I235" s="42">
        <v>36.700000000000003</v>
      </c>
      <c r="J235" s="41" t="s">
        <v>127</v>
      </c>
      <c r="K235" t="str">
        <f t="shared" si="0"/>
        <v>RB</v>
      </c>
    </row>
    <row r="236" spans="1:11" ht="13">
      <c r="A236" s="38">
        <v>234</v>
      </c>
      <c r="B236" s="39">
        <v>13</v>
      </c>
      <c r="C236" s="41" t="s">
        <v>623</v>
      </c>
      <c r="D236" s="41" t="s">
        <v>173</v>
      </c>
      <c r="E236" s="41" t="s">
        <v>624</v>
      </c>
      <c r="F236" s="42">
        <v>146</v>
      </c>
      <c r="G236" s="42">
        <v>302</v>
      </c>
      <c r="H236" s="42">
        <v>228</v>
      </c>
      <c r="I236" s="42">
        <v>53.7</v>
      </c>
      <c r="J236" s="41" t="s">
        <v>127</v>
      </c>
      <c r="K236" t="str">
        <f t="shared" si="0"/>
        <v>QB</v>
      </c>
    </row>
    <row r="237" spans="1:11" ht="13">
      <c r="A237" s="38">
        <v>235</v>
      </c>
      <c r="B237" s="39">
        <v>13</v>
      </c>
      <c r="C237" s="41" t="s">
        <v>625</v>
      </c>
      <c r="D237" s="41" t="s">
        <v>155</v>
      </c>
      <c r="E237" s="41" t="s">
        <v>626</v>
      </c>
      <c r="F237" s="42">
        <v>201</v>
      </c>
      <c r="G237" s="42">
        <v>268</v>
      </c>
      <c r="H237" s="42">
        <v>228</v>
      </c>
      <c r="I237" s="42">
        <v>14.3</v>
      </c>
      <c r="J237" s="41" t="s">
        <v>127</v>
      </c>
      <c r="K237" t="str">
        <f t="shared" si="0"/>
        <v>WR</v>
      </c>
    </row>
    <row r="238" spans="1:11" ht="13">
      <c r="A238" s="38">
        <v>236</v>
      </c>
      <c r="B238" s="39">
        <v>13</v>
      </c>
      <c r="C238" s="41" t="s">
        <v>627</v>
      </c>
      <c r="D238" s="41" t="s">
        <v>190</v>
      </c>
      <c r="E238" s="41" t="s">
        <v>628</v>
      </c>
      <c r="F238" s="42">
        <v>203</v>
      </c>
      <c r="G238" s="42">
        <v>264</v>
      </c>
      <c r="H238" s="42">
        <v>228</v>
      </c>
      <c r="I238" s="42">
        <v>16.600000000000001</v>
      </c>
      <c r="J238" s="41" t="s">
        <v>127</v>
      </c>
      <c r="K238" t="str">
        <f t="shared" si="0"/>
        <v>WR</v>
      </c>
    </row>
    <row r="239" spans="1:11" ht="13">
      <c r="A239" s="38">
        <v>237</v>
      </c>
      <c r="B239" s="39">
        <v>13</v>
      </c>
      <c r="C239" s="41" t="s">
        <v>629</v>
      </c>
      <c r="D239" s="41" t="s">
        <v>173</v>
      </c>
      <c r="E239" s="41" t="s">
        <v>630</v>
      </c>
      <c r="F239" s="42">
        <v>168</v>
      </c>
      <c r="G239" s="42">
        <v>289</v>
      </c>
      <c r="H239" s="42">
        <v>230</v>
      </c>
      <c r="I239" s="42">
        <v>37.9</v>
      </c>
      <c r="J239" s="41" t="s">
        <v>127</v>
      </c>
      <c r="K239" t="str">
        <f t="shared" si="0"/>
        <v>WR</v>
      </c>
    </row>
    <row r="240" spans="1:11" ht="13">
      <c r="A240" s="38">
        <v>238</v>
      </c>
      <c r="B240" s="39">
        <v>13</v>
      </c>
      <c r="C240" s="41" t="s">
        <v>631</v>
      </c>
      <c r="D240" s="41" t="s">
        <v>173</v>
      </c>
      <c r="E240" s="41" t="s">
        <v>632</v>
      </c>
      <c r="F240" s="42">
        <v>225</v>
      </c>
      <c r="G240" s="42">
        <v>256</v>
      </c>
      <c r="H240" s="42">
        <v>233</v>
      </c>
      <c r="I240" s="42">
        <v>9</v>
      </c>
      <c r="J240" s="41" t="s">
        <v>127</v>
      </c>
      <c r="K240" t="str">
        <f t="shared" si="0"/>
        <v>TE</v>
      </c>
    </row>
    <row r="241" spans="1:11" ht="13">
      <c r="A241" s="38">
        <v>239</v>
      </c>
      <c r="B241" s="39">
        <v>13</v>
      </c>
      <c r="C241" s="41" t="s">
        <v>633</v>
      </c>
      <c r="D241" s="41" t="s">
        <v>253</v>
      </c>
      <c r="E241" s="41" t="s">
        <v>634</v>
      </c>
      <c r="F241" s="42">
        <v>220</v>
      </c>
      <c r="G241" s="42">
        <v>258</v>
      </c>
      <c r="H241" s="42">
        <v>234</v>
      </c>
      <c r="I241" s="42">
        <v>9.6</v>
      </c>
      <c r="J241" s="41" t="s">
        <v>127</v>
      </c>
      <c r="K241" t="str">
        <f t="shared" si="0"/>
        <v>WR</v>
      </c>
    </row>
    <row r="242" spans="1:11" ht="13">
      <c r="A242" s="38">
        <v>240</v>
      </c>
      <c r="B242" s="39">
        <v>13</v>
      </c>
      <c r="C242" s="41" t="s">
        <v>635</v>
      </c>
      <c r="D242" s="41" t="s">
        <v>132</v>
      </c>
      <c r="E242" s="41" t="s">
        <v>636</v>
      </c>
      <c r="F242" s="42">
        <v>216</v>
      </c>
      <c r="G242" s="42">
        <v>249</v>
      </c>
      <c r="H242" s="42">
        <v>235</v>
      </c>
      <c r="I242" s="42">
        <v>7.1</v>
      </c>
      <c r="J242" s="41" t="s">
        <v>127</v>
      </c>
      <c r="K242" t="str">
        <f t="shared" si="0"/>
        <v>K1</v>
      </c>
    </row>
    <row r="243" spans="1:11" ht="13">
      <c r="A243" s="38">
        <v>241</v>
      </c>
      <c r="B243" s="39">
        <v>13</v>
      </c>
      <c r="C243" s="41" t="s">
        <v>637</v>
      </c>
      <c r="D243" s="41" t="s">
        <v>219</v>
      </c>
      <c r="E243" s="41" t="s">
        <v>638</v>
      </c>
      <c r="F243" s="42">
        <v>202</v>
      </c>
      <c r="G243" s="42">
        <v>256</v>
      </c>
      <c r="H243" s="42">
        <v>238</v>
      </c>
      <c r="I243" s="42">
        <v>14.4</v>
      </c>
      <c r="J243" s="41" t="s">
        <v>127</v>
      </c>
      <c r="K243" t="str">
        <f t="shared" si="0"/>
        <v>TE</v>
      </c>
    </row>
    <row r="244" spans="1:11" ht="13">
      <c r="A244" s="38">
        <v>242</v>
      </c>
      <c r="B244" s="39">
        <v>13</v>
      </c>
      <c r="C244" s="41" t="s">
        <v>639</v>
      </c>
      <c r="D244" s="41" t="s">
        <v>152</v>
      </c>
      <c r="E244" s="41" t="s">
        <v>640</v>
      </c>
      <c r="F244" s="42">
        <v>209</v>
      </c>
      <c r="G244" s="42">
        <v>288</v>
      </c>
      <c r="H244" s="42">
        <v>240</v>
      </c>
      <c r="I244" s="42">
        <v>23.2</v>
      </c>
      <c r="J244" s="41" t="s">
        <v>127</v>
      </c>
      <c r="K244" t="str">
        <f t="shared" si="0"/>
        <v>WR</v>
      </c>
    </row>
    <row r="245" spans="1:11" ht="13">
      <c r="A245" s="38">
        <v>243</v>
      </c>
      <c r="B245" s="39">
        <v>13</v>
      </c>
      <c r="C245" s="41" t="s">
        <v>641</v>
      </c>
      <c r="D245" s="41" t="s">
        <v>238</v>
      </c>
      <c r="E245" s="41" t="s">
        <v>642</v>
      </c>
      <c r="F245" s="42">
        <v>195</v>
      </c>
      <c r="G245" s="42">
        <v>267</v>
      </c>
      <c r="H245" s="42">
        <v>241</v>
      </c>
      <c r="I245" s="42">
        <v>22.6</v>
      </c>
      <c r="J245" s="41" t="s">
        <v>127</v>
      </c>
      <c r="K245" t="str">
        <f t="shared" si="0"/>
        <v>TE</v>
      </c>
    </row>
    <row r="246" spans="1:11" ht="13">
      <c r="A246" s="38">
        <v>244</v>
      </c>
      <c r="B246" s="39">
        <v>13</v>
      </c>
      <c r="C246" s="41" t="s">
        <v>643</v>
      </c>
      <c r="D246" s="41" t="s">
        <v>206</v>
      </c>
      <c r="E246" s="41" t="s">
        <v>644</v>
      </c>
      <c r="F246" s="42">
        <v>222</v>
      </c>
      <c r="G246" s="42">
        <v>276</v>
      </c>
      <c r="H246" s="42">
        <v>242</v>
      </c>
      <c r="I246" s="42">
        <v>14.3</v>
      </c>
      <c r="J246" s="41" t="s">
        <v>127</v>
      </c>
      <c r="K246" t="str">
        <f t="shared" si="0"/>
        <v>WR</v>
      </c>
    </row>
    <row r="247" spans="1:11" ht="13">
      <c r="A247" s="38">
        <v>245</v>
      </c>
      <c r="B247" s="39">
        <v>13</v>
      </c>
      <c r="C247" s="41" t="s">
        <v>645</v>
      </c>
      <c r="D247" s="41" t="s">
        <v>129</v>
      </c>
      <c r="E247" s="41" t="s">
        <v>646</v>
      </c>
      <c r="F247" s="42">
        <v>233</v>
      </c>
      <c r="G247" s="42">
        <v>252</v>
      </c>
      <c r="H247" s="42">
        <v>242</v>
      </c>
      <c r="I247" s="42">
        <v>7.9</v>
      </c>
      <c r="J247" s="41" t="s">
        <v>127</v>
      </c>
      <c r="K247" t="str">
        <f t="shared" si="0"/>
        <v>K1</v>
      </c>
    </row>
    <row r="248" spans="1:11" ht="13">
      <c r="A248" s="38">
        <v>246</v>
      </c>
      <c r="B248" s="39">
        <v>13</v>
      </c>
      <c r="C248" s="41" t="s">
        <v>647</v>
      </c>
      <c r="D248" s="41" t="s">
        <v>209</v>
      </c>
      <c r="E248" s="41" t="s">
        <v>648</v>
      </c>
      <c r="F248" s="42">
        <v>223</v>
      </c>
      <c r="G248" s="42">
        <v>266</v>
      </c>
      <c r="H248" s="42">
        <v>243</v>
      </c>
      <c r="I248" s="42">
        <v>14</v>
      </c>
      <c r="J248" s="41" t="s">
        <v>127</v>
      </c>
      <c r="K248" t="str">
        <f t="shared" si="0"/>
        <v>WR</v>
      </c>
    </row>
    <row r="249" spans="1:11" ht="13">
      <c r="A249" s="38">
        <v>247</v>
      </c>
      <c r="B249" s="39">
        <v>13</v>
      </c>
      <c r="C249" s="41" t="s">
        <v>649</v>
      </c>
      <c r="D249" s="41" t="s">
        <v>212</v>
      </c>
      <c r="E249" s="41" t="s">
        <v>650</v>
      </c>
      <c r="F249" s="42">
        <v>223</v>
      </c>
      <c r="G249" s="42">
        <v>285</v>
      </c>
      <c r="H249" s="42">
        <v>244</v>
      </c>
      <c r="I249" s="42">
        <v>17.899999999999999</v>
      </c>
      <c r="J249" s="41" t="s">
        <v>127</v>
      </c>
      <c r="K249" t="str">
        <f t="shared" si="0"/>
        <v>WR</v>
      </c>
    </row>
    <row r="250" spans="1:11" ht="13">
      <c r="A250" s="38">
        <v>248</v>
      </c>
      <c r="B250" s="39">
        <v>13</v>
      </c>
      <c r="C250" s="41" t="s">
        <v>651</v>
      </c>
      <c r="D250" s="41" t="s">
        <v>219</v>
      </c>
      <c r="E250" s="41" t="s">
        <v>652</v>
      </c>
      <c r="F250" s="42">
        <v>230</v>
      </c>
      <c r="G250" s="42">
        <v>296</v>
      </c>
      <c r="H250" s="42">
        <v>246</v>
      </c>
      <c r="I250" s="42">
        <v>16.8</v>
      </c>
      <c r="J250" s="41" t="s">
        <v>127</v>
      </c>
      <c r="K250" t="str">
        <f t="shared" si="0"/>
        <v>RB</v>
      </c>
    </row>
    <row r="251" spans="1:11" ht="13">
      <c r="A251" s="38">
        <v>249</v>
      </c>
      <c r="B251" s="39">
        <v>13</v>
      </c>
      <c r="C251" s="41" t="s">
        <v>653</v>
      </c>
      <c r="D251" s="41" t="s">
        <v>129</v>
      </c>
      <c r="E251" s="41" t="s">
        <v>654</v>
      </c>
      <c r="F251" s="42">
        <v>228</v>
      </c>
      <c r="G251" s="42">
        <v>273</v>
      </c>
      <c r="H251" s="42">
        <v>248</v>
      </c>
      <c r="I251" s="42">
        <v>10.4</v>
      </c>
      <c r="J251" s="41" t="s">
        <v>127</v>
      </c>
      <c r="K251" t="str">
        <f t="shared" si="0"/>
        <v>TE</v>
      </c>
    </row>
    <row r="252" spans="1:11" ht="13">
      <c r="A252" s="38">
        <v>250</v>
      </c>
      <c r="B252" s="39">
        <v>13</v>
      </c>
      <c r="C252" s="41" t="s">
        <v>655</v>
      </c>
      <c r="D252" s="41" t="s">
        <v>138</v>
      </c>
      <c r="E252" s="41" t="s">
        <v>656</v>
      </c>
      <c r="F252" s="42">
        <v>156</v>
      </c>
      <c r="G252" s="42">
        <v>295</v>
      </c>
      <c r="H252" s="42">
        <v>248</v>
      </c>
      <c r="I252" s="42">
        <v>32.299999999999997</v>
      </c>
      <c r="J252" s="41" t="s">
        <v>127</v>
      </c>
      <c r="K252" t="str">
        <f t="shared" si="0"/>
        <v>RB</v>
      </c>
    </row>
    <row r="253" spans="1:11" ht="13">
      <c r="A253" s="38">
        <v>251</v>
      </c>
      <c r="B253" s="39">
        <v>13</v>
      </c>
      <c r="C253" s="41" t="s">
        <v>657</v>
      </c>
      <c r="D253" s="41" t="s">
        <v>187</v>
      </c>
      <c r="E253" s="41" t="s">
        <v>658</v>
      </c>
      <c r="F253" s="42">
        <v>227</v>
      </c>
      <c r="G253" s="42">
        <v>274</v>
      </c>
      <c r="H253" s="42">
        <v>239</v>
      </c>
      <c r="I253" s="42">
        <v>11.4</v>
      </c>
      <c r="J253" s="41" t="s">
        <v>127</v>
      </c>
      <c r="K253" t="str">
        <f t="shared" si="0"/>
        <v>RB</v>
      </c>
    </row>
    <row r="254" spans="1:11" ht="13">
      <c r="A254" s="38">
        <v>252</v>
      </c>
      <c r="B254" s="39">
        <v>13</v>
      </c>
      <c r="C254" s="41" t="s">
        <v>659</v>
      </c>
      <c r="D254" s="41" t="s">
        <v>300</v>
      </c>
      <c r="E254" s="41" t="s">
        <v>660</v>
      </c>
      <c r="F254" s="42">
        <v>249</v>
      </c>
      <c r="G254" s="42">
        <v>252</v>
      </c>
      <c r="H254" s="42">
        <v>251</v>
      </c>
      <c r="I254" s="42">
        <v>0.9</v>
      </c>
      <c r="J254" s="41" t="s">
        <v>127</v>
      </c>
      <c r="K254" t="str">
        <f t="shared" si="0"/>
        <v>K1</v>
      </c>
    </row>
    <row r="255" spans="1:11" ht="13">
      <c r="A255" s="38">
        <v>253</v>
      </c>
      <c r="B255" s="39">
        <v>13</v>
      </c>
      <c r="C255" s="41" t="s">
        <v>661</v>
      </c>
      <c r="D255" s="41" t="s">
        <v>300</v>
      </c>
      <c r="E255" s="41" t="s">
        <v>662</v>
      </c>
      <c r="F255" s="42">
        <v>208</v>
      </c>
      <c r="G255" s="42">
        <v>260</v>
      </c>
      <c r="H255" s="42">
        <v>253</v>
      </c>
      <c r="I255" s="42">
        <v>11.7</v>
      </c>
      <c r="J255" s="41" t="s">
        <v>127</v>
      </c>
      <c r="K255" t="str">
        <f t="shared" si="0"/>
        <v>TE</v>
      </c>
    </row>
    <row r="256" spans="1:11" ht="13">
      <c r="A256" s="38">
        <v>254</v>
      </c>
      <c r="B256" s="39">
        <v>13</v>
      </c>
      <c r="C256" s="41" t="s">
        <v>663</v>
      </c>
      <c r="D256" s="41" t="s">
        <v>173</v>
      </c>
      <c r="E256" s="41" t="s">
        <v>664</v>
      </c>
      <c r="F256" s="42">
        <v>217</v>
      </c>
      <c r="G256" s="42">
        <v>276</v>
      </c>
      <c r="H256" s="42">
        <v>253</v>
      </c>
      <c r="I256" s="42">
        <v>18.2</v>
      </c>
      <c r="J256" s="41" t="s">
        <v>127</v>
      </c>
      <c r="K256" t="str">
        <f t="shared" si="0"/>
        <v>WR</v>
      </c>
    </row>
    <row r="257" spans="1:11" ht="13">
      <c r="A257" s="38">
        <v>255</v>
      </c>
      <c r="B257" s="39">
        <v>13</v>
      </c>
      <c r="C257" s="41" t="s">
        <v>665</v>
      </c>
      <c r="D257" s="41" t="s">
        <v>195</v>
      </c>
      <c r="E257" s="41" t="s">
        <v>666</v>
      </c>
      <c r="F257" s="42">
        <v>214</v>
      </c>
      <c r="G257" s="42">
        <v>281</v>
      </c>
      <c r="H257" s="42">
        <v>254</v>
      </c>
      <c r="I257" s="42">
        <v>19.399999999999999</v>
      </c>
      <c r="J257" s="41" t="s">
        <v>127</v>
      </c>
      <c r="K257" t="str">
        <f t="shared" ref="K257:K352" si="1">LEFT(E257,2)</f>
        <v>K1</v>
      </c>
    </row>
    <row r="258" spans="1:11" ht="13">
      <c r="A258" s="38">
        <v>256</v>
      </c>
      <c r="B258" s="39">
        <v>13</v>
      </c>
      <c r="C258" s="41" t="s">
        <v>667</v>
      </c>
      <c r="D258" s="41" t="s">
        <v>152</v>
      </c>
      <c r="E258" s="41" t="s">
        <v>668</v>
      </c>
      <c r="F258" s="42">
        <v>240</v>
      </c>
      <c r="G258" s="42">
        <v>289</v>
      </c>
      <c r="H258" s="42">
        <v>255</v>
      </c>
      <c r="I258" s="42">
        <v>14</v>
      </c>
      <c r="J258" s="41" t="s">
        <v>127</v>
      </c>
      <c r="K258" t="str">
        <f t="shared" si="1"/>
        <v>RB</v>
      </c>
    </row>
    <row r="259" spans="1:11" ht="13">
      <c r="A259" s="38">
        <v>257</v>
      </c>
      <c r="B259" s="39">
        <v>13</v>
      </c>
      <c r="C259" s="41" t="s">
        <v>669</v>
      </c>
      <c r="D259" s="41" t="s">
        <v>333</v>
      </c>
      <c r="E259" s="41" t="s">
        <v>670</v>
      </c>
      <c r="F259" s="42">
        <v>235</v>
      </c>
      <c r="G259" s="42">
        <v>273</v>
      </c>
      <c r="H259" s="42">
        <v>255</v>
      </c>
      <c r="I259" s="42">
        <v>9.8000000000000007</v>
      </c>
      <c r="J259" s="41" t="s">
        <v>127</v>
      </c>
      <c r="K259" t="str">
        <f t="shared" si="1"/>
        <v>TE</v>
      </c>
    </row>
    <row r="260" spans="1:11" ht="13">
      <c r="A260" s="38">
        <v>258</v>
      </c>
      <c r="B260" s="39">
        <v>13</v>
      </c>
      <c r="C260" s="41" t="s">
        <v>671</v>
      </c>
      <c r="D260" s="41" t="s">
        <v>149</v>
      </c>
      <c r="E260" s="41" t="s">
        <v>672</v>
      </c>
      <c r="F260" s="42">
        <v>218</v>
      </c>
      <c r="G260" s="42">
        <v>317</v>
      </c>
      <c r="H260" s="42">
        <v>248</v>
      </c>
      <c r="I260" s="42">
        <v>27.5</v>
      </c>
      <c r="J260" s="41" t="s">
        <v>127</v>
      </c>
      <c r="K260" t="str">
        <f t="shared" si="1"/>
        <v>RB</v>
      </c>
    </row>
    <row r="261" spans="1:11" ht="13">
      <c r="A261" s="38">
        <v>259</v>
      </c>
      <c r="B261" s="39">
        <v>13</v>
      </c>
      <c r="C261" s="41" t="s">
        <v>673</v>
      </c>
      <c r="D261" s="41" t="s">
        <v>138</v>
      </c>
      <c r="E261" s="41" t="s">
        <v>674</v>
      </c>
      <c r="F261" s="42">
        <v>229</v>
      </c>
      <c r="G261" s="42">
        <v>344</v>
      </c>
      <c r="H261" s="42">
        <v>256</v>
      </c>
      <c r="I261" s="42">
        <v>25.8</v>
      </c>
      <c r="J261" s="41" t="s">
        <v>127</v>
      </c>
      <c r="K261" t="str">
        <f t="shared" si="1"/>
        <v>WR</v>
      </c>
    </row>
    <row r="262" spans="1:11" ht="13">
      <c r="A262" s="38">
        <v>260</v>
      </c>
      <c r="B262" s="39">
        <v>13</v>
      </c>
      <c r="C262" s="41" t="s">
        <v>675</v>
      </c>
      <c r="D262" s="41" t="s">
        <v>155</v>
      </c>
      <c r="E262" s="41" t="s">
        <v>676</v>
      </c>
      <c r="F262" s="42">
        <v>238</v>
      </c>
      <c r="G262" s="42">
        <v>292</v>
      </c>
      <c r="H262" s="42">
        <v>257</v>
      </c>
      <c r="I262" s="42">
        <v>16.7</v>
      </c>
      <c r="J262" s="41" t="s">
        <v>127</v>
      </c>
      <c r="K262" t="str">
        <f t="shared" si="1"/>
        <v>WR</v>
      </c>
    </row>
    <row r="263" spans="1:11" ht="13">
      <c r="A263" s="38">
        <v>261</v>
      </c>
      <c r="B263" s="39">
        <v>13</v>
      </c>
      <c r="C263" s="41" t="s">
        <v>677</v>
      </c>
      <c r="D263" s="41" t="s">
        <v>125</v>
      </c>
      <c r="E263" s="41" t="s">
        <v>678</v>
      </c>
      <c r="F263" s="42">
        <v>178</v>
      </c>
      <c r="G263" s="42">
        <v>320</v>
      </c>
      <c r="H263" s="42">
        <v>259</v>
      </c>
      <c r="I263" s="42">
        <v>36.299999999999997</v>
      </c>
      <c r="J263" s="41" t="s">
        <v>127</v>
      </c>
      <c r="K263" t="str">
        <f t="shared" si="1"/>
        <v>QB</v>
      </c>
    </row>
    <row r="264" spans="1:11" ht="13">
      <c r="A264" s="38">
        <v>262</v>
      </c>
      <c r="B264" s="39">
        <v>13</v>
      </c>
      <c r="C264" s="41" t="s">
        <v>679</v>
      </c>
      <c r="D264" s="41" t="s">
        <v>144</v>
      </c>
      <c r="E264" s="41" t="s">
        <v>680</v>
      </c>
      <c r="F264" s="42">
        <v>161</v>
      </c>
      <c r="G264" s="42">
        <v>314</v>
      </c>
      <c r="H264" s="42">
        <v>260</v>
      </c>
      <c r="I264" s="42">
        <v>36.299999999999997</v>
      </c>
      <c r="J264" s="41" t="s">
        <v>127</v>
      </c>
      <c r="K264" t="str">
        <f t="shared" si="1"/>
        <v>RB</v>
      </c>
    </row>
    <row r="265" spans="1:11" ht="13">
      <c r="A265" s="38">
        <v>263</v>
      </c>
      <c r="B265" s="39">
        <v>13</v>
      </c>
      <c r="C265" s="41" t="s">
        <v>681</v>
      </c>
      <c r="D265" s="41" t="s">
        <v>173</v>
      </c>
      <c r="E265" s="41" t="s">
        <v>682</v>
      </c>
      <c r="F265" s="42">
        <v>200</v>
      </c>
      <c r="G265" s="42">
        <v>297</v>
      </c>
      <c r="H265" s="42">
        <v>262</v>
      </c>
      <c r="I265" s="42">
        <v>26.7</v>
      </c>
      <c r="J265" s="41" t="s">
        <v>127</v>
      </c>
      <c r="K265" t="str">
        <f t="shared" si="1"/>
        <v>WR</v>
      </c>
    </row>
    <row r="266" spans="1:11" ht="13">
      <c r="A266" s="38">
        <v>264</v>
      </c>
      <c r="B266" s="39">
        <v>13</v>
      </c>
      <c r="C266" s="41" t="s">
        <v>683</v>
      </c>
      <c r="D266" s="41" t="s">
        <v>184</v>
      </c>
      <c r="E266" s="41" t="s">
        <v>684</v>
      </c>
      <c r="F266" s="42">
        <v>249</v>
      </c>
      <c r="G266" s="42">
        <v>316</v>
      </c>
      <c r="H266" s="42">
        <v>255</v>
      </c>
      <c r="I266" s="42">
        <v>16.399999999999999</v>
      </c>
      <c r="J266" s="41" t="s">
        <v>127</v>
      </c>
      <c r="K266" t="str">
        <f t="shared" si="1"/>
        <v>K1</v>
      </c>
    </row>
    <row r="267" spans="1:11" ht="13">
      <c r="A267" s="38">
        <v>265</v>
      </c>
      <c r="B267" s="39">
        <v>14</v>
      </c>
      <c r="C267" s="41" t="s">
        <v>685</v>
      </c>
      <c r="D267" s="41" t="s">
        <v>173</v>
      </c>
      <c r="E267" s="41" t="s">
        <v>686</v>
      </c>
      <c r="F267" s="42">
        <v>203</v>
      </c>
      <c r="G267" s="42">
        <v>318</v>
      </c>
      <c r="H267" s="42">
        <v>265</v>
      </c>
      <c r="I267" s="42">
        <v>34.9</v>
      </c>
      <c r="J267" s="41" t="s">
        <v>127</v>
      </c>
      <c r="K267" t="str">
        <f t="shared" si="1"/>
        <v>WR</v>
      </c>
    </row>
    <row r="268" spans="1:11" ht="13">
      <c r="A268" s="38">
        <v>266</v>
      </c>
      <c r="B268" s="39">
        <v>14</v>
      </c>
      <c r="C268" s="41" t="s">
        <v>687</v>
      </c>
      <c r="D268" s="41" t="s">
        <v>173</v>
      </c>
      <c r="E268" s="41" t="s">
        <v>688</v>
      </c>
      <c r="F268" s="42">
        <v>232</v>
      </c>
      <c r="G268" s="42">
        <v>306</v>
      </c>
      <c r="H268" s="42">
        <v>265</v>
      </c>
      <c r="I268" s="42">
        <v>25.2</v>
      </c>
      <c r="J268" s="41" t="s">
        <v>127</v>
      </c>
      <c r="K268" t="str">
        <f t="shared" si="1"/>
        <v>RB</v>
      </c>
    </row>
    <row r="269" spans="1:11" ht="13">
      <c r="A269" s="38">
        <v>267</v>
      </c>
      <c r="B269" s="39">
        <v>14</v>
      </c>
      <c r="C269" s="41" t="s">
        <v>689</v>
      </c>
      <c r="D269" s="41" t="s">
        <v>125</v>
      </c>
      <c r="E269" s="41" t="s">
        <v>690</v>
      </c>
      <c r="F269" s="42">
        <v>234</v>
      </c>
      <c r="G269" s="42">
        <v>279</v>
      </c>
      <c r="H269" s="42">
        <v>258</v>
      </c>
      <c r="I269" s="42">
        <v>16.600000000000001</v>
      </c>
      <c r="J269" s="41" t="s">
        <v>127</v>
      </c>
      <c r="K269" t="str">
        <f t="shared" si="1"/>
        <v>DS</v>
      </c>
    </row>
    <row r="270" spans="1:11" ht="13">
      <c r="A270" s="38">
        <v>268</v>
      </c>
      <c r="B270" s="39">
        <v>14</v>
      </c>
      <c r="C270" s="41" t="s">
        <v>691</v>
      </c>
      <c r="D270" s="41" t="s">
        <v>187</v>
      </c>
      <c r="E270" s="41" t="s">
        <v>692</v>
      </c>
      <c r="F270" s="42">
        <v>258</v>
      </c>
      <c r="G270" s="42">
        <v>287</v>
      </c>
      <c r="H270" s="42">
        <v>266</v>
      </c>
      <c r="I270" s="42">
        <v>7</v>
      </c>
      <c r="J270" s="41" t="s">
        <v>127</v>
      </c>
      <c r="K270" t="str">
        <f t="shared" si="1"/>
        <v>WR</v>
      </c>
    </row>
    <row r="271" spans="1:11" ht="13">
      <c r="A271" s="38">
        <v>269</v>
      </c>
      <c r="B271" s="39">
        <v>14</v>
      </c>
      <c r="C271" s="41" t="s">
        <v>693</v>
      </c>
      <c r="D271" s="41" t="s">
        <v>184</v>
      </c>
      <c r="E271" s="41" t="s">
        <v>694</v>
      </c>
      <c r="F271" s="42">
        <v>217</v>
      </c>
      <c r="G271" s="42">
        <v>292</v>
      </c>
      <c r="H271" s="42">
        <v>266</v>
      </c>
      <c r="I271" s="42">
        <v>15.9</v>
      </c>
      <c r="J271" s="41" t="s">
        <v>127</v>
      </c>
      <c r="K271" t="str">
        <f t="shared" si="1"/>
        <v>WR</v>
      </c>
    </row>
    <row r="272" spans="1:11" ht="13">
      <c r="A272" s="38">
        <v>270</v>
      </c>
      <c r="B272" s="39">
        <v>14</v>
      </c>
      <c r="C272" s="41" t="s">
        <v>695</v>
      </c>
      <c r="D272" s="41" t="s">
        <v>253</v>
      </c>
      <c r="E272" s="41" t="s">
        <v>696</v>
      </c>
      <c r="F272" s="42">
        <v>227</v>
      </c>
      <c r="G272" s="42">
        <v>309</v>
      </c>
      <c r="H272" s="42">
        <v>260</v>
      </c>
      <c r="I272" s="42">
        <v>25.8</v>
      </c>
      <c r="J272" s="41" t="s">
        <v>127</v>
      </c>
      <c r="K272" t="str">
        <f t="shared" si="1"/>
        <v>RB</v>
      </c>
    </row>
    <row r="273" spans="1:11" ht="13">
      <c r="A273" s="38">
        <v>271</v>
      </c>
      <c r="B273" s="39">
        <v>14</v>
      </c>
      <c r="C273" s="41" t="s">
        <v>697</v>
      </c>
      <c r="D273" s="41" t="s">
        <v>243</v>
      </c>
      <c r="E273" s="41" t="s">
        <v>698</v>
      </c>
      <c r="F273" s="42">
        <v>228</v>
      </c>
      <c r="G273" s="42">
        <v>290</v>
      </c>
      <c r="H273" s="42">
        <v>268</v>
      </c>
      <c r="I273" s="42">
        <v>12.9</v>
      </c>
      <c r="J273" s="41" t="s">
        <v>127</v>
      </c>
      <c r="K273" t="str">
        <f t="shared" si="1"/>
        <v>TE</v>
      </c>
    </row>
    <row r="274" spans="1:11" ht="13">
      <c r="A274" s="38">
        <v>272</v>
      </c>
      <c r="B274" s="39">
        <v>14</v>
      </c>
      <c r="C274" s="41" t="s">
        <v>699</v>
      </c>
      <c r="D274" s="41" t="s">
        <v>173</v>
      </c>
      <c r="E274" s="41" t="s">
        <v>700</v>
      </c>
      <c r="F274" s="42">
        <v>236</v>
      </c>
      <c r="G274" s="42">
        <v>314</v>
      </c>
      <c r="H274" s="42">
        <v>268</v>
      </c>
      <c r="I274" s="42">
        <v>32.1</v>
      </c>
      <c r="J274" s="41" t="s">
        <v>127</v>
      </c>
      <c r="K274" t="str">
        <f t="shared" si="1"/>
        <v>RB</v>
      </c>
    </row>
    <row r="275" spans="1:11" ht="13">
      <c r="A275" s="38">
        <v>273</v>
      </c>
      <c r="B275" s="39">
        <v>14</v>
      </c>
      <c r="C275" s="41" t="s">
        <v>701</v>
      </c>
      <c r="D275" s="41" t="s">
        <v>195</v>
      </c>
      <c r="E275" s="41" t="s">
        <v>702</v>
      </c>
      <c r="F275" s="42">
        <v>247</v>
      </c>
      <c r="G275" s="42">
        <v>286</v>
      </c>
      <c r="H275" s="42">
        <v>268</v>
      </c>
      <c r="I275" s="42">
        <v>12.8</v>
      </c>
      <c r="J275" s="41" t="s">
        <v>127</v>
      </c>
      <c r="K275" t="str">
        <f t="shared" si="1"/>
        <v>RB</v>
      </c>
    </row>
    <row r="276" spans="1:11" ht="13">
      <c r="A276" s="38">
        <v>274</v>
      </c>
      <c r="B276" s="39">
        <v>14</v>
      </c>
      <c r="C276" s="41" t="s">
        <v>703</v>
      </c>
      <c r="D276" s="41" t="s">
        <v>141</v>
      </c>
      <c r="E276" s="41" t="s">
        <v>704</v>
      </c>
      <c r="F276" s="42">
        <v>207</v>
      </c>
      <c r="G276" s="42">
        <v>312</v>
      </c>
      <c r="H276" s="42">
        <v>261</v>
      </c>
      <c r="I276" s="42">
        <v>26.9</v>
      </c>
      <c r="J276" s="41" t="s">
        <v>127</v>
      </c>
      <c r="K276" t="str">
        <f t="shared" si="1"/>
        <v>RB</v>
      </c>
    </row>
    <row r="277" spans="1:11" ht="13">
      <c r="A277" s="38">
        <v>275</v>
      </c>
      <c r="B277" s="39">
        <v>14</v>
      </c>
      <c r="C277" s="41" t="s">
        <v>705</v>
      </c>
      <c r="D277" s="41" t="s">
        <v>274</v>
      </c>
      <c r="E277" s="41" t="s">
        <v>706</v>
      </c>
      <c r="F277" s="42">
        <v>231</v>
      </c>
      <c r="G277" s="42">
        <v>310</v>
      </c>
      <c r="H277" s="42">
        <v>261</v>
      </c>
      <c r="I277" s="42">
        <v>22.4</v>
      </c>
      <c r="J277" s="41" t="s">
        <v>127</v>
      </c>
      <c r="K277" t="str">
        <f t="shared" si="1"/>
        <v>WR</v>
      </c>
    </row>
    <row r="278" spans="1:11" ht="13">
      <c r="A278" s="38">
        <v>276</v>
      </c>
      <c r="B278" s="39">
        <v>14</v>
      </c>
      <c r="C278" s="41" t="s">
        <v>707</v>
      </c>
      <c r="D278" s="41" t="s">
        <v>144</v>
      </c>
      <c r="E278" s="41" t="s">
        <v>708</v>
      </c>
      <c r="F278" s="42">
        <v>236</v>
      </c>
      <c r="G278" s="42">
        <v>310</v>
      </c>
      <c r="H278" s="42">
        <v>261</v>
      </c>
      <c r="I278" s="42">
        <v>20.9</v>
      </c>
      <c r="J278" s="41" t="s">
        <v>127</v>
      </c>
      <c r="K278" t="str">
        <f t="shared" si="1"/>
        <v>RB</v>
      </c>
    </row>
    <row r="279" spans="1:11" ht="13">
      <c r="A279" s="38">
        <v>277</v>
      </c>
      <c r="B279" s="39">
        <v>14</v>
      </c>
      <c r="C279" s="41" t="s">
        <v>709</v>
      </c>
      <c r="D279" s="41" t="s">
        <v>158</v>
      </c>
      <c r="E279" s="41" t="s">
        <v>710</v>
      </c>
      <c r="F279" s="42">
        <v>158</v>
      </c>
      <c r="G279" s="42">
        <v>379</v>
      </c>
      <c r="H279" s="42">
        <v>271</v>
      </c>
      <c r="I279" s="42">
        <v>68</v>
      </c>
      <c r="J279" s="41" t="s">
        <v>127</v>
      </c>
      <c r="K279" t="str">
        <f t="shared" si="1"/>
        <v>QB</v>
      </c>
    </row>
    <row r="280" spans="1:11" ht="13">
      <c r="A280" s="38">
        <v>278</v>
      </c>
      <c r="B280" s="39">
        <v>14</v>
      </c>
      <c r="C280" s="41" t="s">
        <v>711</v>
      </c>
      <c r="D280" s="41" t="s">
        <v>169</v>
      </c>
      <c r="E280" s="41" t="s">
        <v>712</v>
      </c>
      <c r="F280" s="42">
        <v>153</v>
      </c>
      <c r="G280" s="42">
        <v>299</v>
      </c>
      <c r="H280" s="42">
        <v>253</v>
      </c>
      <c r="I280" s="42">
        <v>50</v>
      </c>
      <c r="J280" s="41" t="s">
        <v>127</v>
      </c>
      <c r="K280" t="str">
        <f t="shared" si="1"/>
        <v>WR</v>
      </c>
    </row>
    <row r="281" spans="1:11" ht="13">
      <c r="A281" s="38">
        <v>279</v>
      </c>
      <c r="B281" s="39">
        <v>14</v>
      </c>
      <c r="C281" s="41" t="s">
        <v>713</v>
      </c>
      <c r="D281" s="41" t="s">
        <v>253</v>
      </c>
      <c r="E281" s="41" t="s">
        <v>714</v>
      </c>
      <c r="F281" s="42">
        <v>260</v>
      </c>
      <c r="G281" s="42">
        <v>294</v>
      </c>
      <c r="H281" s="42">
        <v>277</v>
      </c>
      <c r="I281" s="42">
        <v>9.8000000000000007</v>
      </c>
      <c r="J281" s="41" t="s">
        <v>127</v>
      </c>
      <c r="K281" t="str">
        <f t="shared" si="1"/>
        <v>TE</v>
      </c>
    </row>
    <row r="282" spans="1:11" ht="13">
      <c r="A282" s="38">
        <v>280</v>
      </c>
      <c r="B282" s="39">
        <v>14</v>
      </c>
      <c r="C282" s="41" t="s">
        <v>715</v>
      </c>
      <c r="D282" s="41" t="s">
        <v>195</v>
      </c>
      <c r="E282" s="41" t="s">
        <v>716</v>
      </c>
      <c r="F282" s="42">
        <v>226</v>
      </c>
      <c r="G282" s="42">
        <v>302</v>
      </c>
      <c r="H282" s="42">
        <v>271</v>
      </c>
      <c r="I282" s="42">
        <v>17</v>
      </c>
      <c r="J282" s="41" t="s">
        <v>127</v>
      </c>
      <c r="K282" t="str">
        <f t="shared" si="1"/>
        <v>WR</v>
      </c>
    </row>
    <row r="283" spans="1:11" ht="13">
      <c r="A283" s="38">
        <v>281</v>
      </c>
      <c r="B283" s="39">
        <v>14</v>
      </c>
      <c r="C283" s="41" t="s">
        <v>717</v>
      </c>
      <c r="D283" s="41" t="s">
        <v>274</v>
      </c>
      <c r="E283" s="41" t="s">
        <v>718</v>
      </c>
      <c r="F283" s="42">
        <v>241</v>
      </c>
      <c r="G283" s="42">
        <v>323</v>
      </c>
      <c r="H283" s="42">
        <v>280</v>
      </c>
      <c r="I283" s="42">
        <v>26.6</v>
      </c>
      <c r="J283" s="41" t="s">
        <v>127</v>
      </c>
      <c r="K283" t="str">
        <f t="shared" si="1"/>
        <v>QB</v>
      </c>
    </row>
    <row r="284" spans="1:11" ht="13">
      <c r="A284" s="38">
        <v>282</v>
      </c>
      <c r="B284" s="39">
        <v>14</v>
      </c>
      <c r="C284" s="41" t="s">
        <v>719</v>
      </c>
      <c r="D284" s="41" t="s">
        <v>209</v>
      </c>
      <c r="E284" s="41" t="s">
        <v>720</v>
      </c>
      <c r="F284" s="42">
        <v>240</v>
      </c>
      <c r="G284" s="42">
        <v>296</v>
      </c>
      <c r="H284" s="42">
        <v>274</v>
      </c>
      <c r="I284" s="42">
        <v>18.899999999999999</v>
      </c>
      <c r="J284" s="41" t="s">
        <v>127</v>
      </c>
      <c r="K284" t="str">
        <f t="shared" si="1"/>
        <v>RB</v>
      </c>
    </row>
    <row r="285" spans="1:11" ht="13">
      <c r="A285" s="38">
        <v>283</v>
      </c>
      <c r="B285" s="39">
        <v>14</v>
      </c>
      <c r="C285" s="41" t="s">
        <v>721</v>
      </c>
      <c r="D285" s="41" t="s">
        <v>253</v>
      </c>
      <c r="E285" s="41" t="s">
        <v>722</v>
      </c>
      <c r="F285" s="42">
        <v>252</v>
      </c>
      <c r="G285" s="42">
        <v>321</v>
      </c>
      <c r="H285" s="42">
        <v>281</v>
      </c>
      <c r="I285" s="42">
        <v>26.8</v>
      </c>
      <c r="J285" s="41" t="s">
        <v>127</v>
      </c>
      <c r="K285" t="str">
        <f t="shared" si="1"/>
        <v>K1</v>
      </c>
    </row>
    <row r="286" spans="1:11" ht="13">
      <c r="A286" s="38">
        <v>284</v>
      </c>
      <c r="B286" s="39">
        <v>14</v>
      </c>
      <c r="C286" s="41" t="s">
        <v>723</v>
      </c>
      <c r="D286" s="41" t="s">
        <v>135</v>
      </c>
      <c r="E286" s="41" t="s">
        <v>724</v>
      </c>
      <c r="F286" s="42">
        <v>243</v>
      </c>
      <c r="G286" s="42">
        <v>297</v>
      </c>
      <c r="H286" s="42">
        <v>267</v>
      </c>
      <c r="I286" s="42">
        <v>19.399999999999999</v>
      </c>
      <c r="J286" s="41" t="s">
        <v>127</v>
      </c>
      <c r="K286" t="str">
        <f t="shared" si="1"/>
        <v>WR</v>
      </c>
    </row>
    <row r="287" spans="1:11" ht="13">
      <c r="A287" s="38">
        <v>285</v>
      </c>
      <c r="B287" s="39">
        <v>14</v>
      </c>
      <c r="C287" s="41" t="s">
        <v>725</v>
      </c>
      <c r="D287" s="41" t="s">
        <v>129</v>
      </c>
      <c r="E287" s="41" t="s">
        <v>726</v>
      </c>
      <c r="F287" s="42">
        <v>247</v>
      </c>
      <c r="G287" s="42">
        <v>326</v>
      </c>
      <c r="H287" s="42">
        <v>279</v>
      </c>
      <c r="I287" s="42">
        <v>22.2</v>
      </c>
      <c r="J287" s="41" t="s">
        <v>127</v>
      </c>
      <c r="K287" t="str">
        <f t="shared" si="1"/>
        <v>RB</v>
      </c>
    </row>
    <row r="288" spans="1:11" ht="13">
      <c r="A288" s="38">
        <v>286</v>
      </c>
      <c r="B288" s="39">
        <v>14</v>
      </c>
      <c r="C288" s="41" t="s">
        <v>727</v>
      </c>
      <c r="D288" s="41" t="s">
        <v>169</v>
      </c>
      <c r="E288" s="41" t="s">
        <v>728</v>
      </c>
      <c r="F288" s="42">
        <v>258</v>
      </c>
      <c r="G288" s="42">
        <v>318</v>
      </c>
      <c r="H288" s="42">
        <v>282</v>
      </c>
      <c r="I288" s="42">
        <v>13.8</v>
      </c>
      <c r="J288" s="41" t="s">
        <v>127</v>
      </c>
      <c r="K288" t="str">
        <f t="shared" si="1"/>
        <v>WR</v>
      </c>
    </row>
    <row r="289" spans="1:11" ht="13">
      <c r="A289" s="38">
        <v>287</v>
      </c>
      <c r="B289" s="39">
        <v>14</v>
      </c>
      <c r="C289" s="41" t="s">
        <v>729</v>
      </c>
      <c r="D289" s="41" t="s">
        <v>181</v>
      </c>
      <c r="E289" s="41" t="s">
        <v>730</v>
      </c>
      <c r="F289" s="42">
        <v>269</v>
      </c>
      <c r="G289" s="42">
        <v>330</v>
      </c>
      <c r="H289" s="42">
        <v>289</v>
      </c>
      <c r="I289" s="42">
        <v>15.7</v>
      </c>
      <c r="J289" s="41" t="s">
        <v>127</v>
      </c>
      <c r="K289" t="str">
        <f t="shared" si="1"/>
        <v>WR</v>
      </c>
    </row>
    <row r="290" spans="1:11" ht="13">
      <c r="A290" s="38">
        <v>288</v>
      </c>
      <c r="B290" s="39">
        <v>14</v>
      </c>
      <c r="C290" s="41" t="s">
        <v>731</v>
      </c>
      <c r="D290" s="41" t="s">
        <v>135</v>
      </c>
      <c r="E290" s="41" t="s">
        <v>732</v>
      </c>
      <c r="F290" s="42">
        <v>235</v>
      </c>
      <c r="G290" s="42">
        <v>294</v>
      </c>
      <c r="H290" s="42">
        <v>276</v>
      </c>
      <c r="I290" s="42">
        <v>15.1</v>
      </c>
      <c r="J290" s="41" t="s">
        <v>127</v>
      </c>
      <c r="K290" t="str">
        <f t="shared" si="1"/>
        <v>TE</v>
      </c>
    </row>
    <row r="291" spans="1:11" ht="13">
      <c r="A291" s="38">
        <v>289</v>
      </c>
      <c r="B291" s="39">
        <v>14</v>
      </c>
      <c r="C291" s="41" t="s">
        <v>733</v>
      </c>
      <c r="D291" s="41" t="s">
        <v>274</v>
      </c>
      <c r="E291" s="41" t="s">
        <v>734</v>
      </c>
      <c r="F291" s="42">
        <v>261</v>
      </c>
      <c r="G291" s="42">
        <v>295</v>
      </c>
      <c r="H291" s="42">
        <v>284</v>
      </c>
      <c r="I291" s="42">
        <v>9.9</v>
      </c>
      <c r="J291" s="41" t="s">
        <v>127</v>
      </c>
      <c r="K291" t="str">
        <f t="shared" si="1"/>
        <v>WR</v>
      </c>
    </row>
    <row r="292" spans="1:11" ht="13">
      <c r="A292" s="38">
        <v>290</v>
      </c>
      <c r="B292" s="39">
        <v>14</v>
      </c>
      <c r="C292" s="41" t="s">
        <v>735</v>
      </c>
      <c r="D292" s="41" t="s">
        <v>283</v>
      </c>
      <c r="E292" s="41" t="s">
        <v>736</v>
      </c>
      <c r="F292" s="42">
        <v>257</v>
      </c>
      <c r="G292" s="42">
        <v>317</v>
      </c>
      <c r="H292" s="42">
        <v>290</v>
      </c>
      <c r="I292" s="42">
        <v>16.7</v>
      </c>
      <c r="J292" s="41" t="s">
        <v>127</v>
      </c>
      <c r="K292" t="str">
        <f t="shared" si="1"/>
        <v>RB</v>
      </c>
    </row>
    <row r="293" spans="1:11" ht="13">
      <c r="A293" s="38">
        <v>291</v>
      </c>
      <c r="B293" s="39">
        <v>14</v>
      </c>
      <c r="C293" s="41" t="s">
        <v>737</v>
      </c>
      <c r="D293" s="41" t="s">
        <v>155</v>
      </c>
      <c r="E293" s="41" t="s">
        <v>738</v>
      </c>
      <c r="F293" s="42">
        <v>262</v>
      </c>
      <c r="G293" s="42">
        <v>316</v>
      </c>
      <c r="H293" s="42">
        <v>285</v>
      </c>
      <c r="I293" s="42">
        <v>15</v>
      </c>
      <c r="J293" s="41" t="s">
        <v>127</v>
      </c>
      <c r="K293" t="str">
        <f t="shared" si="1"/>
        <v>RB</v>
      </c>
    </row>
    <row r="294" spans="1:11" ht="13">
      <c r="A294" s="38">
        <v>292</v>
      </c>
      <c r="B294" s="39">
        <v>14</v>
      </c>
      <c r="C294" s="41" t="s">
        <v>739</v>
      </c>
      <c r="D294" s="41" t="s">
        <v>149</v>
      </c>
      <c r="E294" s="41" t="s">
        <v>740</v>
      </c>
      <c r="F294" s="42">
        <v>268</v>
      </c>
      <c r="G294" s="42">
        <v>365</v>
      </c>
      <c r="H294" s="42">
        <v>291</v>
      </c>
      <c r="I294" s="42">
        <v>22.2</v>
      </c>
      <c r="J294" s="41" t="s">
        <v>127</v>
      </c>
      <c r="K294" t="str">
        <f t="shared" si="1"/>
        <v>WR</v>
      </c>
    </row>
    <row r="295" spans="1:11" ht="13">
      <c r="A295" s="38">
        <v>293</v>
      </c>
      <c r="B295" s="39">
        <v>14</v>
      </c>
      <c r="C295" s="41" t="s">
        <v>741</v>
      </c>
      <c r="D295" s="41" t="s">
        <v>166</v>
      </c>
      <c r="E295" s="41" t="s">
        <v>742</v>
      </c>
      <c r="F295" s="42">
        <v>217</v>
      </c>
      <c r="G295" s="42">
        <v>322</v>
      </c>
      <c r="H295" s="42">
        <v>286</v>
      </c>
      <c r="I295" s="42">
        <v>26.1</v>
      </c>
      <c r="J295" s="41" t="s">
        <v>127</v>
      </c>
      <c r="K295" t="str">
        <f t="shared" si="1"/>
        <v>WR</v>
      </c>
    </row>
    <row r="296" spans="1:11" ht="13">
      <c r="A296" s="38">
        <v>294</v>
      </c>
      <c r="B296" s="39">
        <v>14</v>
      </c>
      <c r="C296" s="41" t="s">
        <v>743</v>
      </c>
      <c r="D296" s="41" t="s">
        <v>141</v>
      </c>
      <c r="E296" s="41" t="s">
        <v>744</v>
      </c>
      <c r="F296" s="42">
        <v>274</v>
      </c>
      <c r="G296" s="42">
        <v>322</v>
      </c>
      <c r="H296" s="42">
        <v>289</v>
      </c>
      <c r="I296" s="42">
        <v>18.399999999999999</v>
      </c>
      <c r="J296" s="41" t="s">
        <v>127</v>
      </c>
      <c r="K296" t="str">
        <f t="shared" si="1"/>
        <v>DS</v>
      </c>
    </row>
    <row r="297" spans="1:11" ht="13">
      <c r="A297" s="38">
        <v>295</v>
      </c>
      <c r="B297" s="39">
        <v>14</v>
      </c>
      <c r="C297" s="41" t="s">
        <v>745</v>
      </c>
      <c r="D297" s="41" t="s">
        <v>219</v>
      </c>
      <c r="E297" s="41" t="s">
        <v>746</v>
      </c>
      <c r="F297" s="42">
        <v>241</v>
      </c>
      <c r="G297" s="42">
        <v>320</v>
      </c>
      <c r="H297" s="42">
        <v>290</v>
      </c>
      <c r="I297" s="42">
        <v>29</v>
      </c>
      <c r="J297" s="41" t="s">
        <v>127</v>
      </c>
      <c r="K297" t="str">
        <f t="shared" si="1"/>
        <v>QB</v>
      </c>
    </row>
    <row r="298" spans="1:11" ht="13">
      <c r="A298" s="38">
        <v>296</v>
      </c>
      <c r="B298" s="39">
        <v>14</v>
      </c>
      <c r="C298" s="41" t="s">
        <v>747</v>
      </c>
      <c r="D298" s="41" t="s">
        <v>190</v>
      </c>
      <c r="E298" s="41" t="s">
        <v>748</v>
      </c>
      <c r="F298" s="42">
        <v>240</v>
      </c>
      <c r="G298" s="42">
        <v>325</v>
      </c>
      <c r="H298" s="42">
        <v>290</v>
      </c>
      <c r="I298" s="42">
        <v>21.8</v>
      </c>
      <c r="J298" s="41" t="s">
        <v>127</v>
      </c>
      <c r="K298" t="str">
        <f t="shared" si="1"/>
        <v>RB</v>
      </c>
    </row>
    <row r="299" spans="1:11" ht="13">
      <c r="A299" s="38">
        <v>297</v>
      </c>
      <c r="B299" s="39">
        <v>14</v>
      </c>
      <c r="C299" s="41" t="s">
        <v>749</v>
      </c>
      <c r="D299" s="41" t="s">
        <v>173</v>
      </c>
      <c r="E299" s="41" t="s">
        <v>750</v>
      </c>
      <c r="F299" s="42">
        <v>268</v>
      </c>
      <c r="G299" s="42">
        <v>368</v>
      </c>
      <c r="H299" s="42">
        <v>296</v>
      </c>
      <c r="I299" s="42">
        <v>37</v>
      </c>
      <c r="J299" s="41" t="s">
        <v>127</v>
      </c>
      <c r="K299" t="str">
        <f t="shared" si="1"/>
        <v>WR</v>
      </c>
    </row>
    <row r="300" spans="1:11" ht="13">
      <c r="A300" s="38">
        <v>298</v>
      </c>
      <c r="B300" s="39">
        <v>14</v>
      </c>
      <c r="C300" s="41" t="s">
        <v>751</v>
      </c>
      <c r="D300" s="41" t="s">
        <v>135</v>
      </c>
      <c r="E300" s="41" t="s">
        <v>752</v>
      </c>
      <c r="F300" s="42">
        <v>236</v>
      </c>
      <c r="G300" s="42">
        <v>336</v>
      </c>
      <c r="H300" s="42">
        <v>296</v>
      </c>
      <c r="I300" s="42">
        <v>24.5</v>
      </c>
      <c r="J300" s="41" t="s">
        <v>127</v>
      </c>
      <c r="K300" t="str">
        <f t="shared" si="1"/>
        <v>RB</v>
      </c>
    </row>
    <row r="301" spans="1:11" ht="13">
      <c r="A301" s="38">
        <v>299</v>
      </c>
      <c r="B301" s="39">
        <v>14</v>
      </c>
      <c r="C301" s="41" t="s">
        <v>753</v>
      </c>
      <c r="D301" s="41" t="s">
        <v>125</v>
      </c>
      <c r="E301" s="41" t="s">
        <v>754</v>
      </c>
      <c r="F301" s="42">
        <v>275</v>
      </c>
      <c r="G301" s="42">
        <v>315</v>
      </c>
      <c r="H301" s="42">
        <v>297</v>
      </c>
      <c r="I301" s="42">
        <v>12.6</v>
      </c>
      <c r="J301" s="41" t="s">
        <v>127</v>
      </c>
      <c r="K301" t="str">
        <f t="shared" si="1"/>
        <v>QB</v>
      </c>
    </row>
    <row r="302" spans="1:11" ht="13">
      <c r="A302" s="38">
        <v>300</v>
      </c>
      <c r="B302" s="39">
        <v>14</v>
      </c>
      <c r="C302" s="41" t="s">
        <v>755</v>
      </c>
      <c r="D302" s="41" t="s">
        <v>238</v>
      </c>
      <c r="E302" s="41" t="s">
        <v>756</v>
      </c>
      <c r="F302" s="42">
        <v>263</v>
      </c>
      <c r="G302" s="42">
        <v>361</v>
      </c>
      <c r="H302" s="42">
        <v>285</v>
      </c>
      <c r="I302" s="42">
        <v>24.2</v>
      </c>
      <c r="J302" s="41" t="s">
        <v>127</v>
      </c>
      <c r="K302" t="str">
        <f t="shared" si="1"/>
        <v>WR</v>
      </c>
    </row>
    <row r="303" spans="1:11" ht="13">
      <c r="A303" s="38">
        <v>301</v>
      </c>
      <c r="B303" s="39">
        <v>14</v>
      </c>
      <c r="C303" s="41" t="s">
        <v>757</v>
      </c>
      <c r="D303" s="41" t="s">
        <v>155</v>
      </c>
      <c r="E303" s="41" t="s">
        <v>758</v>
      </c>
      <c r="F303" s="42">
        <v>263</v>
      </c>
      <c r="G303" s="42">
        <v>315</v>
      </c>
      <c r="H303" s="42">
        <v>286</v>
      </c>
      <c r="I303" s="42">
        <v>17.600000000000001</v>
      </c>
      <c r="J303" s="41" t="s">
        <v>127</v>
      </c>
      <c r="K303" t="str">
        <f t="shared" si="1"/>
        <v>WR</v>
      </c>
    </row>
    <row r="304" spans="1:11" ht="13">
      <c r="A304" s="38">
        <v>302</v>
      </c>
      <c r="B304" s="39">
        <v>14</v>
      </c>
      <c r="C304" s="41" t="s">
        <v>759</v>
      </c>
      <c r="D304" s="41" t="s">
        <v>209</v>
      </c>
      <c r="E304" s="41" t="s">
        <v>760</v>
      </c>
      <c r="F304" s="42">
        <v>250</v>
      </c>
      <c r="G304" s="42">
        <v>326</v>
      </c>
      <c r="H304" s="42">
        <v>298</v>
      </c>
      <c r="I304" s="42">
        <v>20.100000000000001</v>
      </c>
      <c r="J304" s="41" t="s">
        <v>127</v>
      </c>
      <c r="K304" t="str">
        <f t="shared" si="1"/>
        <v>RB</v>
      </c>
    </row>
    <row r="305" spans="1:11" ht="13">
      <c r="A305" s="38">
        <v>303</v>
      </c>
      <c r="B305" s="39">
        <v>14</v>
      </c>
      <c r="C305" s="41" t="s">
        <v>761</v>
      </c>
      <c r="D305" s="41" t="s">
        <v>129</v>
      </c>
      <c r="E305" s="41" t="s">
        <v>762</v>
      </c>
      <c r="F305" s="42">
        <v>258</v>
      </c>
      <c r="G305" s="42">
        <v>311</v>
      </c>
      <c r="H305" s="42">
        <v>279</v>
      </c>
      <c r="I305" s="42">
        <v>17.3</v>
      </c>
      <c r="J305" s="41" t="s">
        <v>127</v>
      </c>
      <c r="K305" t="str">
        <f t="shared" si="1"/>
        <v>WR</v>
      </c>
    </row>
    <row r="306" spans="1:11" ht="13">
      <c r="A306" s="38">
        <v>304</v>
      </c>
      <c r="B306" s="39">
        <v>14</v>
      </c>
      <c r="C306" s="41" t="s">
        <v>763</v>
      </c>
      <c r="D306" s="41" t="s">
        <v>149</v>
      </c>
      <c r="E306" s="41" t="s">
        <v>764</v>
      </c>
      <c r="F306" s="42">
        <v>156</v>
      </c>
      <c r="G306" s="42">
        <v>377</v>
      </c>
      <c r="H306" s="42">
        <v>291</v>
      </c>
      <c r="I306" s="42">
        <v>56.9</v>
      </c>
      <c r="J306" s="41" t="s">
        <v>127</v>
      </c>
      <c r="K306" t="str">
        <f t="shared" si="1"/>
        <v>RB</v>
      </c>
    </row>
    <row r="307" spans="1:11" ht="13">
      <c r="A307" s="38">
        <v>305</v>
      </c>
      <c r="B307" s="39">
        <v>14</v>
      </c>
      <c r="C307" s="41" t="s">
        <v>765</v>
      </c>
      <c r="D307" s="41" t="s">
        <v>184</v>
      </c>
      <c r="E307" s="41" t="s">
        <v>766</v>
      </c>
      <c r="F307" s="42">
        <v>259</v>
      </c>
      <c r="G307" s="42">
        <v>303</v>
      </c>
      <c r="H307" s="42">
        <v>285</v>
      </c>
      <c r="I307" s="42">
        <v>13.4</v>
      </c>
      <c r="J307" s="41" t="s">
        <v>127</v>
      </c>
      <c r="K307" t="str">
        <f t="shared" si="1"/>
        <v>RB</v>
      </c>
    </row>
    <row r="308" spans="1:11" ht="13">
      <c r="A308" s="38">
        <v>306</v>
      </c>
      <c r="B308" s="39">
        <v>14</v>
      </c>
      <c r="C308" s="41" t="s">
        <v>767</v>
      </c>
      <c r="D308" s="41" t="s">
        <v>238</v>
      </c>
      <c r="E308" s="41" t="s">
        <v>768</v>
      </c>
      <c r="F308" s="42">
        <v>282</v>
      </c>
      <c r="G308" s="42">
        <v>337</v>
      </c>
      <c r="H308" s="42">
        <v>302</v>
      </c>
      <c r="I308" s="42">
        <v>14.2</v>
      </c>
      <c r="J308" s="41" t="s">
        <v>127</v>
      </c>
      <c r="K308" t="str">
        <f t="shared" si="1"/>
        <v>RB</v>
      </c>
    </row>
    <row r="309" spans="1:11" ht="13">
      <c r="A309" s="38">
        <v>307</v>
      </c>
      <c r="B309" s="39">
        <v>14</v>
      </c>
      <c r="C309" s="41" t="s">
        <v>769</v>
      </c>
      <c r="D309" s="41" t="s">
        <v>184</v>
      </c>
      <c r="E309" s="41" t="s">
        <v>770</v>
      </c>
      <c r="F309" s="42">
        <v>248</v>
      </c>
      <c r="G309" s="42">
        <v>318</v>
      </c>
      <c r="H309" s="42">
        <v>274</v>
      </c>
      <c r="I309" s="42">
        <v>19.3</v>
      </c>
      <c r="J309" s="41" t="s">
        <v>127</v>
      </c>
      <c r="K309" t="str">
        <f t="shared" si="1"/>
        <v>DS</v>
      </c>
    </row>
    <row r="310" spans="1:11" ht="13">
      <c r="A310" s="38">
        <v>308</v>
      </c>
      <c r="B310" s="39">
        <v>14</v>
      </c>
      <c r="C310" s="41" t="s">
        <v>771</v>
      </c>
      <c r="D310" s="41" t="s">
        <v>173</v>
      </c>
      <c r="E310" s="41" t="s">
        <v>772</v>
      </c>
      <c r="F310" s="42">
        <v>277</v>
      </c>
      <c r="G310" s="42">
        <v>353</v>
      </c>
      <c r="H310" s="42">
        <v>298</v>
      </c>
      <c r="I310" s="42">
        <v>17.8</v>
      </c>
      <c r="J310" s="41" t="s">
        <v>127</v>
      </c>
      <c r="K310" t="str">
        <f t="shared" si="1"/>
        <v>RB</v>
      </c>
    </row>
    <row r="311" spans="1:11" ht="13">
      <c r="A311" s="38">
        <v>309</v>
      </c>
      <c r="B311" s="39">
        <v>14</v>
      </c>
      <c r="C311" s="41" t="s">
        <v>773</v>
      </c>
      <c r="D311" s="41" t="s">
        <v>149</v>
      </c>
      <c r="E311" s="41" t="s">
        <v>774</v>
      </c>
      <c r="F311" s="42">
        <v>219</v>
      </c>
      <c r="G311" s="42">
        <v>279</v>
      </c>
      <c r="H311" s="42">
        <v>265</v>
      </c>
      <c r="I311" s="42">
        <v>21.6</v>
      </c>
      <c r="J311" s="41" t="s">
        <v>127</v>
      </c>
      <c r="K311" t="str">
        <f t="shared" si="1"/>
        <v>DS</v>
      </c>
    </row>
    <row r="312" spans="1:11" ht="13">
      <c r="A312" s="38">
        <v>310</v>
      </c>
      <c r="B312" s="39">
        <v>14</v>
      </c>
      <c r="C312" s="41" t="s">
        <v>775</v>
      </c>
      <c r="D312" s="41" t="s">
        <v>206</v>
      </c>
      <c r="E312" s="41" t="s">
        <v>776</v>
      </c>
      <c r="F312" s="42">
        <v>274</v>
      </c>
      <c r="G312" s="42">
        <v>321</v>
      </c>
      <c r="H312" s="42">
        <v>299</v>
      </c>
      <c r="I312" s="42">
        <v>13.4</v>
      </c>
      <c r="J312" s="41" t="s">
        <v>127</v>
      </c>
      <c r="K312" t="str">
        <f t="shared" si="1"/>
        <v>RB</v>
      </c>
    </row>
    <row r="313" spans="1:11" ht="13">
      <c r="A313" s="38">
        <v>311</v>
      </c>
      <c r="B313" s="39">
        <v>14</v>
      </c>
      <c r="C313" s="41" t="s">
        <v>777</v>
      </c>
      <c r="D313" s="41" t="s">
        <v>195</v>
      </c>
      <c r="E313" s="41" t="s">
        <v>778</v>
      </c>
      <c r="F313" s="42">
        <v>283</v>
      </c>
      <c r="G313" s="42">
        <v>310</v>
      </c>
      <c r="H313" s="42">
        <v>299</v>
      </c>
      <c r="I313" s="42">
        <v>10.8</v>
      </c>
      <c r="J313" s="41" t="s">
        <v>127</v>
      </c>
      <c r="K313" t="str">
        <f t="shared" si="1"/>
        <v>RB</v>
      </c>
    </row>
    <row r="314" spans="1:11" ht="13">
      <c r="A314" s="38">
        <v>312</v>
      </c>
      <c r="B314" s="39">
        <v>14</v>
      </c>
      <c r="C314" s="41" t="s">
        <v>779</v>
      </c>
      <c r="D314" s="41" t="s">
        <v>173</v>
      </c>
      <c r="E314" s="41" t="s">
        <v>780</v>
      </c>
      <c r="F314" s="42">
        <v>213</v>
      </c>
      <c r="G314" s="42">
        <v>314</v>
      </c>
      <c r="H314" s="42">
        <v>280</v>
      </c>
      <c r="I314" s="42">
        <v>28.1</v>
      </c>
      <c r="J314" s="41" t="s">
        <v>127</v>
      </c>
      <c r="K314" t="str">
        <f t="shared" si="1"/>
        <v>QB</v>
      </c>
    </row>
    <row r="315" spans="1:11" ht="13">
      <c r="A315" s="38">
        <v>313</v>
      </c>
      <c r="B315" s="39">
        <v>14</v>
      </c>
      <c r="C315" s="41" t="s">
        <v>781</v>
      </c>
      <c r="D315" s="41" t="s">
        <v>135</v>
      </c>
      <c r="E315" s="41" t="s">
        <v>782</v>
      </c>
      <c r="F315" s="42">
        <v>290</v>
      </c>
      <c r="G315" s="42">
        <v>337</v>
      </c>
      <c r="H315" s="42">
        <v>307</v>
      </c>
      <c r="I315" s="42">
        <v>11.3</v>
      </c>
      <c r="J315" s="41" t="s">
        <v>127</v>
      </c>
      <c r="K315" t="str">
        <f t="shared" si="1"/>
        <v>RB</v>
      </c>
    </row>
    <row r="316" spans="1:11" ht="13">
      <c r="A316" s="38">
        <v>314</v>
      </c>
      <c r="B316" s="39">
        <v>14</v>
      </c>
      <c r="C316" s="41" t="s">
        <v>783</v>
      </c>
      <c r="D316" s="41" t="s">
        <v>178</v>
      </c>
      <c r="E316" s="41" t="s">
        <v>784</v>
      </c>
      <c r="F316" s="42">
        <v>250</v>
      </c>
      <c r="G316" s="42">
        <v>386</v>
      </c>
      <c r="H316" s="42">
        <v>290</v>
      </c>
      <c r="I316" s="42">
        <v>35.1</v>
      </c>
      <c r="J316" s="41" t="s">
        <v>127</v>
      </c>
      <c r="K316" t="str">
        <f t="shared" si="1"/>
        <v>RB</v>
      </c>
    </row>
    <row r="317" spans="1:11" ht="13">
      <c r="A317" s="38">
        <v>315</v>
      </c>
      <c r="B317" s="39">
        <v>14</v>
      </c>
      <c r="C317" s="41" t="s">
        <v>785</v>
      </c>
      <c r="D317" s="41" t="s">
        <v>149</v>
      </c>
      <c r="E317" s="41" t="s">
        <v>786</v>
      </c>
      <c r="F317" s="42">
        <v>275</v>
      </c>
      <c r="G317" s="42">
        <v>338</v>
      </c>
      <c r="H317" s="42">
        <v>307</v>
      </c>
      <c r="I317" s="42">
        <v>17.7</v>
      </c>
      <c r="J317" s="41" t="s">
        <v>127</v>
      </c>
      <c r="K317" t="str">
        <f t="shared" si="1"/>
        <v>QB</v>
      </c>
    </row>
    <row r="318" spans="1:11" ht="13">
      <c r="A318" s="38">
        <v>316</v>
      </c>
      <c r="B318" s="39">
        <v>14</v>
      </c>
      <c r="C318" s="41" t="s">
        <v>787</v>
      </c>
      <c r="D318" s="41" t="s">
        <v>243</v>
      </c>
      <c r="E318" s="41" t="s">
        <v>788</v>
      </c>
      <c r="F318" s="42">
        <v>262</v>
      </c>
      <c r="G318" s="42">
        <v>348</v>
      </c>
      <c r="H318" s="42">
        <v>291</v>
      </c>
      <c r="I318" s="42">
        <v>21.9</v>
      </c>
      <c r="J318" s="41" t="s">
        <v>127</v>
      </c>
      <c r="K318" t="str">
        <f t="shared" si="1"/>
        <v>WR</v>
      </c>
    </row>
    <row r="319" spans="1:11" ht="13">
      <c r="A319" s="38">
        <v>317</v>
      </c>
      <c r="B319" s="39">
        <v>14</v>
      </c>
      <c r="C319" s="41" t="s">
        <v>789</v>
      </c>
      <c r="D319" s="41" t="s">
        <v>173</v>
      </c>
      <c r="E319" s="41" t="s">
        <v>790</v>
      </c>
      <c r="F319" s="42">
        <v>310</v>
      </c>
      <c r="G319" s="42">
        <v>332</v>
      </c>
      <c r="H319" s="42">
        <v>321</v>
      </c>
      <c r="I319" s="42">
        <v>7.8</v>
      </c>
      <c r="J319" s="41" t="s">
        <v>127</v>
      </c>
      <c r="K319" t="str">
        <f t="shared" si="1"/>
        <v>QB</v>
      </c>
    </row>
    <row r="320" spans="1:11" ht="13">
      <c r="A320" s="38">
        <v>318</v>
      </c>
      <c r="B320" s="39">
        <v>15</v>
      </c>
      <c r="C320" s="41" t="s">
        <v>791</v>
      </c>
      <c r="D320" s="41" t="s">
        <v>173</v>
      </c>
      <c r="E320" s="41" t="s">
        <v>792</v>
      </c>
      <c r="F320" s="42">
        <v>293</v>
      </c>
      <c r="G320" s="42">
        <v>342</v>
      </c>
      <c r="H320" s="42">
        <v>310</v>
      </c>
      <c r="I320" s="42">
        <v>11.3</v>
      </c>
      <c r="J320" s="41" t="s">
        <v>127</v>
      </c>
      <c r="K320" t="str">
        <f t="shared" si="1"/>
        <v>RB</v>
      </c>
    </row>
    <row r="321" spans="1:11" ht="13">
      <c r="A321" s="38">
        <v>319</v>
      </c>
      <c r="B321" s="39">
        <v>15</v>
      </c>
      <c r="C321" s="41" t="s">
        <v>793</v>
      </c>
      <c r="D321" s="41" t="s">
        <v>149</v>
      </c>
      <c r="E321" s="41" t="s">
        <v>794</v>
      </c>
      <c r="F321" s="42">
        <v>235</v>
      </c>
      <c r="G321" s="42">
        <v>356</v>
      </c>
      <c r="H321" s="42">
        <v>271</v>
      </c>
      <c r="I321" s="42">
        <v>33.9</v>
      </c>
      <c r="J321" s="41" t="s">
        <v>127</v>
      </c>
      <c r="K321" t="str">
        <f t="shared" si="1"/>
        <v>TE</v>
      </c>
    </row>
    <row r="322" spans="1:11" ht="13">
      <c r="A322" s="38">
        <v>320</v>
      </c>
      <c r="B322" s="39">
        <v>15</v>
      </c>
      <c r="C322" s="41" t="s">
        <v>795</v>
      </c>
      <c r="D322" s="41" t="s">
        <v>195</v>
      </c>
      <c r="E322" s="41" t="s">
        <v>796</v>
      </c>
      <c r="F322" s="42">
        <v>301</v>
      </c>
      <c r="G322" s="42">
        <v>321</v>
      </c>
      <c r="H322" s="42">
        <v>304</v>
      </c>
      <c r="I322" s="42">
        <v>5.8</v>
      </c>
      <c r="J322" s="41" t="s">
        <v>127</v>
      </c>
      <c r="K322" t="str">
        <f t="shared" si="1"/>
        <v>WR</v>
      </c>
    </row>
    <row r="323" spans="1:11" ht="13">
      <c r="A323" s="38">
        <v>321</v>
      </c>
      <c r="B323" s="39">
        <v>15</v>
      </c>
      <c r="C323" s="41" t="s">
        <v>797</v>
      </c>
      <c r="D323" s="41" t="s">
        <v>181</v>
      </c>
      <c r="E323" s="41" t="s">
        <v>798</v>
      </c>
      <c r="F323" s="42">
        <v>311</v>
      </c>
      <c r="G323" s="42">
        <v>357</v>
      </c>
      <c r="H323" s="42">
        <v>321</v>
      </c>
      <c r="I323" s="42">
        <v>11.6</v>
      </c>
      <c r="J323" s="41" t="s">
        <v>127</v>
      </c>
      <c r="K323" t="str">
        <f t="shared" si="1"/>
        <v>RB</v>
      </c>
    </row>
    <row r="324" spans="1:11" ht="13">
      <c r="A324" s="38">
        <v>322</v>
      </c>
      <c r="B324" s="39">
        <v>15</v>
      </c>
      <c r="C324" s="41" t="s">
        <v>799</v>
      </c>
      <c r="D324" s="41" t="s">
        <v>158</v>
      </c>
      <c r="E324" s="41" t="s">
        <v>800</v>
      </c>
      <c r="F324" s="42">
        <v>251</v>
      </c>
      <c r="G324" s="42">
        <v>318</v>
      </c>
      <c r="H324" s="42">
        <v>289</v>
      </c>
      <c r="I324" s="42">
        <v>20.2</v>
      </c>
      <c r="J324" s="41" t="s">
        <v>127</v>
      </c>
      <c r="K324" t="str">
        <f t="shared" si="1"/>
        <v>K1</v>
      </c>
    </row>
    <row r="325" spans="1:11" ht="13">
      <c r="A325" s="38">
        <v>323</v>
      </c>
      <c r="B325" s="39">
        <v>15</v>
      </c>
      <c r="C325" s="41" t="s">
        <v>801</v>
      </c>
      <c r="D325" s="41" t="s">
        <v>169</v>
      </c>
      <c r="E325" s="41" t="s">
        <v>802</v>
      </c>
      <c r="F325" s="42">
        <v>271</v>
      </c>
      <c r="G325" s="42">
        <v>357</v>
      </c>
      <c r="H325" s="42">
        <v>299</v>
      </c>
      <c r="I325" s="42">
        <v>24.8</v>
      </c>
      <c r="J325" s="41" t="s">
        <v>127</v>
      </c>
      <c r="K325" t="str">
        <f t="shared" si="1"/>
        <v>WR</v>
      </c>
    </row>
    <row r="326" spans="1:11" ht="13">
      <c r="A326" s="38">
        <v>324</v>
      </c>
      <c r="B326" s="39">
        <v>15</v>
      </c>
      <c r="C326" s="41" t="s">
        <v>803</v>
      </c>
      <c r="D326" s="41" t="s">
        <v>333</v>
      </c>
      <c r="E326" s="41" t="s">
        <v>804</v>
      </c>
      <c r="F326" s="42">
        <v>307</v>
      </c>
      <c r="G326" s="42">
        <v>331</v>
      </c>
      <c r="H326" s="42">
        <v>314</v>
      </c>
      <c r="I326" s="42">
        <v>6</v>
      </c>
      <c r="J326" s="41" t="s">
        <v>127</v>
      </c>
      <c r="K326" t="str">
        <f t="shared" si="1"/>
        <v>RB</v>
      </c>
    </row>
    <row r="327" spans="1:11" ht="13">
      <c r="A327" s="38">
        <v>325</v>
      </c>
      <c r="B327" s="39">
        <v>15</v>
      </c>
      <c r="C327" s="41" t="s">
        <v>805</v>
      </c>
      <c r="D327" s="41" t="s">
        <v>173</v>
      </c>
      <c r="E327" s="41" t="s">
        <v>806</v>
      </c>
      <c r="F327" s="42">
        <v>172</v>
      </c>
      <c r="G327" s="42">
        <v>290</v>
      </c>
      <c r="H327" s="42">
        <v>232</v>
      </c>
      <c r="I327" s="42">
        <v>40.299999999999997</v>
      </c>
      <c r="J327" s="41" t="s">
        <v>127</v>
      </c>
      <c r="K327" t="str">
        <f t="shared" si="1"/>
        <v>TE</v>
      </c>
    </row>
    <row r="328" spans="1:11" ht="13">
      <c r="A328" s="38">
        <v>326</v>
      </c>
      <c r="B328" s="39">
        <v>15</v>
      </c>
      <c r="C328" s="41" t="s">
        <v>807</v>
      </c>
      <c r="D328" s="41" t="s">
        <v>195</v>
      </c>
      <c r="E328" s="41" t="s">
        <v>808</v>
      </c>
      <c r="F328" s="42">
        <v>275</v>
      </c>
      <c r="G328" s="42">
        <v>347</v>
      </c>
      <c r="H328" s="42">
        <v>299</v>
      </c>
      <c r="I328" s="42">
        <v>25</v>
      </c>
      <c r="J328" s="41" t="s">
        <v>127</v>
      </c>
      <c r="K328" t="str">
        <f t="shared" si="1"/>
        <v>TE</v>
      </c>
    </row>
    <row r="329" spans="1:11" ht="13">
      <c r="A329" s="38">
        <v>327</v>
      </c>
      <c r="B329" s="39">
        <v>15</v>
      </c>
      <c r="C329" s="41" t="s">
        <v>809</v>
      </c>
      <c r="D329" s="41" t="s">
        <v>212</v>
      </c>
      <c r="E329" s="41" t="s">
        <v>810</v>
      </c>
      <c r="F329" s="42">
        <v>266</v>
      </c>
      <c r="G329" s="42">
        <v>370</v>
      </c>
      <c r="H329" s="42">
        <v>302</v>
      </c>
      <c r="I329" s="42">
        <v>27.8</v>
      </c>
      <c r="J329" s="41" t="s">
        <v>127</v>
      </c>
      <c r="K329" t="str">
        <f t="shared" si="1"/>
        <v>WR</v>
      </c>
    </row>
    <row r="330" spans="1:11" ht="13">
      <c r="A330" s="38">
        <v>328</v>
      </c>
      <c r="B330" s="39">
        <v>15</v>
      </c>
      <c r="C330" s="41" t="s">
        <v>811</v>
      </c>
      <c r="D330" s="41" t="s">
        <v>125</v>
      </c>
      <c r="E330" s="41" t="s">
        <v>812</v>
      </c>
      <c r="F330" s="42">
        <v>267</v>
      </c>
      <c r="G330" s="42">
        <v>361</v>
      </c>
      <c r="H330" s="42">
        <v>305</v>
      </c>
      <c r="I330" s="42">
        <v>24.2</v>
      </c>
      <c r="J330" s="41" t="s">
        <v>127</v>
      </c>
      <c r="K330" t="str">
        <f t="shared" si="1"/>
        <v>WR</v>
      </c>
    </row>
    <row r="331" spans="1:11" ht="13">
      <c r="A331" s="38">
        <v>329</v>
      </c>
      <c r="B331" s="39">
        <v>15</v>
      </c>
      <c r="C331" s="41" t="s">
        <v>813</v>
      </c>
      <c r="D331" s="41" t="s">
        <v>141</v>
      </c>
      <c r="E331" s="41" t="s">
        <v>814</v>
      </c>
      <c r="F331" s="42">
        <v>309</v>
      </c>
      <c r="G331" s="42">
        <v>375</v>
      </c>
      <c r="H331" s="42">
        <v>326</v>
      </c>
      <c r="I331" s="42">
        <v>19.5</v>
      </c>
      <c r="J331" s="41" t="s">
        <v>127</v>
      </c>
      <c r="K331" t="str">
        <f t="shared" si="1"/>
        <v>QB</v>
      </c>
    </row>
    <row r="332" spans="1:11" ht="13">
      <c r="A332" s="38">
        <v>330</v>
      </c>
      <c r="B332" s="39">
        <v>15</v>
      </c>
      <c r="C332" s="41" t="s">
        <v>815</v>
      </c>
      <c r="D332" s="41" t="s">
        <v>166</v>
      </c>
      <c r="E332" s="41" t="s">
        <v>816</v>
      </c>
      <c r="F332" s="42">
        <v>180</v>
      </c>
      <c r="G332" s="42">
        <v>290</v>
      </c>
      <c r="H332" s="42">
        <v>250</v>
      </c>
      <c r="I332" s="42">
        <v>42</v>
      </c>
      <c r="J332" s="41" t="s">
        <v>127</v>
      </c>
      <c r="K332" t="str">
        <f t="shared" si="1"/>
        <v>TE</v>
      </c>
    </row>
    <row r="333" spans="1:11" ht="13">
      <c r="A333" s="38">
        <v>331</v>
      </c>
      <c r="B333" s="39">
        <v>15</v>
      </c>
      <c r="C333" s="41" t="s">
        <v>817</v>
      </c>
      <c r="D333" s="41" t="s">
        <v>163</v>
      </c>
      <c r="E333" s="41" t="s">
        <v>818</v>
      </c>
      <c r="F333" s="42">
        <v>291</v>
      </c>
      <c r="G333" s="42">
        <v>346</v>
      </c>
      <c r="H333" s="42">
        <v>306</v>
      </c>
      <c r="I333" s="42">
        <v>20.3</v>
      </c>
      <c r="J333" s="41" t="s">
        <v>127</v>
      </c>
      <c r="K333" t="str">
        <f t="shared" si="1"/>
        <v>WR</v>
      </c>
    </row>
    <row r="334" spans="1:11" ht="13">
      <c r="A334" s="38">
        <v>332</v>
      </c>
      <c r="B334" s="39">
        <v>15</v>
      </c>
      <c r="C334" s="41" t="s">
        <v>819</v>
      </c>
      <c r="D334" s="41" t="s">
        <v>152</v>
      </c>
      <c r="E334" s="41" t="s">
        <v>820</v>
      </c>
      <c r="F334" s="42">
        <v>293</v>
      </c>
      <c r="G334" s="42">
        <v>350</v>
      </c>
      <c r="H334" s="42">
        <v>308</v>
      </c>
      <c r="I334" s="42">
        <v>21.2</v>
      </c>
      <c r="J334" s="41" t="s">
        <v>127</v>
      </c>
      <c r="K334" t="str">
        <f t="shared" si="1"/>
        <v>WR</v>
      </c>
    </row>
    <row r="335" spans="1:11" ht="13">
      <c r="A335" s="38">
        <v>333</v>
      </c>
      <c r="B335" s="39">
        <v>15</v>
      </c>
      <c r="C335" s="41" t="s">
        <v>821</v>
      </c>
      <c r="D335" s="41" t="s">
        <v>238</v>
      </c>
      <c r="E335" s="41" t="s">
        <v>822</v>
      </c>
      <c r="F335" s="42">
        <v>289</v>
      </c>
      <c r="G335" s="42">
        <v>318</v>
      </c>
      <c r="H335" s="42">
        <v>297</v>
      </c>
      <c r="I335" s="42">
        <v>10.4</v>
      </c>
      <c r="J335" s="41" t="s">
        <v>127</v>
      </c>
      <c r="K335" t="str">
        <f t="shared" si="1"/>
        <v>WR</v>
      </c>
    </row>
    <row r="336" spans="1:11" ht="13">
      <c r="A336" s="38">
        <v>334</v>
      </c>
      <c r="B336" s="39">
        <v>15</v>
      </c>
      <c r="C336" s="41" t="s">
        <v>823</v>
      </c>
      <c r="D336" s="41" t="s">
        <v>206</v>
      </c>
      <c r="E336" s="41" t="s">
        <v>824</v>
      </c>
      <c r="F336" s="42">
        <v>298</v>
      </c>
      <c r="G336" s="42">
        <v>373</v>
      </c>
      <c r="H336" s="42">
        <v>312</v>
      </c>
      <c r="I336" s="42">
        <v>25.3</v>
      </c>
      <c r="J336" s="41" t="s">
        <v>127</v>
      </c>
      <c r="K336" t="str">
        <f t="shared" si="1"/>
        <v>WR</v>
      </c>
    </row>
    <row r="337" spans="1:11" ht="13">
      <c r="A337" s="38">
        <v>335</v>
      </c>
      <c r="B337" s="39">
        <v>15</v>
      </c>
      <c r="C337" s="41" t="s">
        <v>825</v>
      </c>
      <c r="D337" s="41" t="s">
        <v>173</v>
      </c>
      <c r="E337" s="41" t="s">
        <v>826</v>
      </c>
      <c r="F337" s="42">
        <v>256</v>
      </c>
      <c r="G337" s="42">
        <v>323</v>
      </c>
      <c r="H337" s="42">
        <v>286</v>
      </c>
      <c r="I337" s="42">
        <v>24.4</v>
      </c>
      <c r="J337" s="41" t="s">
        <v>127</v>
      </c>
      <c r="K337" t="str">
        <f t="shared" si="1"/>
        <v>TE</v>
      </c>
    </row>
    <row r="338" spans="1:11" ht="13">
      <c r="A338" s="38">
        <v>336</v>
      </c>
      <c r="B338" s="39">
        <v>15</v>
      </c>
      <c r="C338" s="41" t="s">
        <v>827</v>
      </c>
      <c r="D338" s="41" t="s">
        <v>173</v>
      </c>
      <c r="E338" s="41" t="s">
        <v>828</v>
      </c>
      <c r="F338" s="42">
        <v>312</v>
      </c>
      <c r="G338" s="42">
        <v>359</v>
      </c>
      <c r="H338" s="42">
        <v>321</v>
      </c>
      <c r="I338" s="42">
        <v>14.6</v>
      </c>
      <c r="J338" s="41" t="s">
        <v>127</v>
      </c>
      <c r="K338" t="str">
        <f t="shared" si="1"/>
        <v>RB</v>
      </c>
    </row>
    <row r="339" spans="1:11" ht="13">
      <c r="A339" s="38">
        <v>337</v>
      </c>
      <c r="B339" s="39">
        <v>15</v>
      </c>
      <c r="C339" s="41" t="s">
        <v>829</v>
      </c>
      <c r="D339" s="41" t="s">
        <v>166</v>
      </c>
      <c r="E339" s="41" t="s">
        <v>830</v>
      </c>
      <c r="F339" s="42">
        <v>285</v>
      </c>
      <c r="G339" s="42">
        <v>332</v>
      </c>
      <c r="H339" s="42">
        <v>315</v>
      </c>
      <c r="I339" s="42">
        <v>13.2</v>
      </c>
      <c r="J339" s="41" t="s">
        <v>127</v>
      </c>
      <c r="K339" t="str">
        <f t="shared" si="1"/>
        <v>K1</v>
      </c>
    </row>
    <row r="340" spans="1:11" ht="13">
      <c r="A340" s="38">
        <v>338</v>
      </c>
      <c r="B340" s="39">
        <v>15</v>
      </c>
      <c r="C340" s="41" t="s">
        <v>831</v>
      </c>
      <c r="D340" s="41" t="s">
        <v>238</v>
      </c>
      <c r="E340" s="41" t="s">
        <v>832</v>
      </c>
      <c r="F340" s="42">
        <v>245</v>
      </c>
      <c r="G340" s="42">
        <v>352</v>
      </c>
      <c r="H340" s="42">
        <v>290</v>
      </c>
      <c r="I340" s="42">
        <v>35.799999999999997</v>
      </c>
      <c r="J340" s="41" t="s">
        <v>127</v>
      </c>
      <c r="K340" t="str">
        <f t="shared" si="1"/>
        <v>TE</v>
      </c>
    </row>
    <row r="341" spans="1:11" ht="13">
      <c r="A341" s="38">
        <v>339</v>
      </c>
      <c r="B341" s="39">
        <v>15</v>
      </c>
      <c r="C341" s="41" t="s">
        <v>833</v>
      </c>
      <c r="D341" s="41" t="s">
        <v>138</v>
      </c>
      <c r="E341" s="41" t="s">
        <v>834</v>
      </c>
      <c r="F341" s="42">
        <v>260</v>
      </c>
      <c r="G341" s="42">
        <v>319</v>
      </c>
      <c r="H341" s="42">
        <v>292</v>
      </c>
      <c r="I341" s="42">
        <v>22.2</v>
      </c>
      <c r="J341" s="41" t="s">
        <v>127</v>
      </c>
      <c r="K341" t="str">
        <f t="shared" si="1"/>
        <v>TE</v>
      </c>
    </row>
    <row r="342" spans="1:11" ht="13">
      <c r="A342" s="38">
        <v>340</v>
      </c>
      <c r="B342" s="39">
        <v>15</v>
      </c>
      <c r="C342" s="41" t="s">
        <v>835</v>
      </c>
      <c r="D342" s="41" t="s">
        <v>206</v>
      </c>
      <c r="E342" s="41" t="s">
        <v>836</v>
      </c>
      <c r="F342" s="42">
        <v>278</v>
      </c>
      <c r="G342" s="42">
        <v>328</v>
      </c>
      <c r="H342" s="42">
        <v>306</v>
      </c>
      <c r="I342" s="42">
        <v>20.100000000000001</v>
      </c>
      <c r="J342" s="41" t="s">
        <v>127</v>
      </c>
      <c r="K342" t="str">
        <f t="shared" si="1"/>
        <v>DS</v>
      </c>
    </row>
    <row r="343" spans="1:11" ht="13">
      <c r="A343" s="38">
        <v>341</v>
      </c>
      <c r="B343" s="39">
        <v>15</v>
      </c>
      <c r="C343" s="41" t="s">
        <v>837</v>
      </c>
      <c r="D343" s="41" t="s">
        <v>173</v>
      </c>
      <c r="E343" s="41" t="s">
        <v>838</v>
      </c>
      <c r="F343" s="42">
        <v>240</v>
      </c>
      <c r="G343" s="42">
        <v>315</v>
      </c>
      <c r="H343" s="42">
        <v>271</v>
      </c>
      <c r="I343" s="42">
        <v>27.2</v>
      </c>
      <c r="J343" s="41" t="s">
        <v>127</v>
      </c>
      <c r="K343" t="str">
        <f t="shared" si="1"/>
        <v>RB</v>
      </c>
    </row>
    <row r="344" spans="1:11" ht="13">
      <c r="A344" s="38">
        <v>342</v>
      </c>
      <c r="B344" s="39">
        <v>15</v>
      </c>
      <c r="C344" s="41" t="s">
        <v>839</v>
      </c>
      <c r="D344" s="41" t="s">
        <v>173</v>
      </c>
      <c r="E344" s="41" t="s">
        <v>840</v>
      </c>
      <c r="F344" s="42">
        <v>207</v>
      </c>
      <c r="G344" s="42">
        <v>282</v>
      </c>
      <c r="H344" s="42">
        <v>249</v>
      </c>
      <c r="I344" s="42">
        <v>31.4</v>
      </c>
      <c r="J344" s="41" t="s">
        <v>127</v>
      </c>
      <c r="K344" t="str">
        <f t="shared" si="1"/>
        <v>RB</v>
      </c>
    </row>
    <row r="345" spans="1:11" ht="13">
      <c r="A345" s="38">
        <v>343</v>
      </c>
      <c r="B345" s="39">
        <v>15</v>
      </c>
      <c r="C345" s="41" t="s">
        <v>841</v>
      </c>
      <c r="D345" s="41" t="s">
        <v>173</v>
      </c>
      <c r="E345" s="41" t="s">
        <v>842</v>
      </c>
      <c r="F345" s="42">
        <v>181</v>
      </c>
      <c r="G345" s="42">
        <v>303</v>
      </c>
      <c r="H345" s="42">
        <v>253</v>
      </c>
      <c r="I345" s="42">
        <v>52</v>
      </c>
      <c r="J345" s="41" t="s">
        <v>127</v>
      </c>
      <c r="K345" t="str">
        <f t="shared" si="1"/>
        <v>RB</v>
      </c>
    </row>
    <row r="346" spans="1:11" ht="13">
      <c r="A346" s="38">
        <v>344</v>
      </c>
      <c r="B346" s="39">
        <v>15</v>
      </c>
      <c r="C346" s="41" t="s">
        <v>843</v>
      </c>
      <c r="D346" s="41" t="s">
        <v>125</v>
      </c>
      <c r="E346" s="41" t="s">
        <v>844</v>
      </c>
      <c r="F346" s="42">
        <v>168</v>
      </c>
      <c r="G346" s="42">
        <v>349</v>
      </c>
      <c r="H346" s="42">
        <v>253</v>
      </c>
      <c r="I346" s="42">
        <v>74.3</v>
      </c>
      <c r="J346" s="41" t="s">
        <v>127</v>
      </c>
      <c r="K346" t="str">
        <f t="shared" si="1"/>
        <v>WR</v>
      </c>
    </row>
    <row r="347" spans="1:11" ht="13">
      <c r="A347" s="38">
        <v>345</v>
      </c>
      <c r="B347" s="39">
        <v>15</v>
      </c>
      <c r="C347" s="41" t="s">
        <v>845</v>
      </c>
      <c r="D347" s="41" t="s">
        <v>238</v>
      </c>
      <c r="E347" s="41" t="s">
        <v>846</v>
      </c>
      <c r="F347" s="42">
        <v>263</v>
      </c>
      <c r="G347" s="42">
        <v>368</v>
      </c>
      <c r="H347" s="42">
        <v>305</v>
      </c>
      <c r="I347" s="42">
        <v>39</v>
      </c>
      <c r="J347" s="41" t="s">
        <v>127</v>
      </c>
      <c r="K347" t="str">
        <f t="shared" si="1"/>
        <v>TE</v>
      </c>
    </row>
    <row r="348" spans="1:11" ht="13">
      <c r="A348" s="38">
        <v>346</v>
      </c>
      <c r="B348" s="39">
        <v>15</v>
      </c>
      <c r="C348" s="41" t="s">
        <v>847</v>
      </c>
      <c r="D348" s="41" t="s">
        <v>169</v>
      </c>
      <c r="E348" s="41" t="s">
        <v>848</v>
      </c>
      <c r="F348" s="42">
        <v>287</v>
      </c>
      <c r="G348" s="42">
        <v>322</v>
      </c>
      <c r="H348" s="42">
        <v>306</v>
      </c>
      <c r="I348" s="42">
        <v>11.2</v>
      </c>
      <c r="J348" s="41" t="s">
        <v>127</v>
      </c>
      <c r="K348" t="str">
        <f t="shared" si="1"/>
        <v>QB</v>
      </c>
    </row>
    <row r="349" spans="1:11" ht="13">
      <c r="A349" s="38">
        <v>347</v>
      </c>
      <c r="B349" s="39">
        <v>15</v>
      </c>
      <c r="C349" s="41" t="s">
        <v>849</v>
      </c>
      <c r="D349" s="41" t="s">
        <v>274</v>
      </c>
      <c r="E349" s="41" t="s">
        <v>850</v>
      </c>
      <c r="F349" s="42">
        <v>241</v>
      </c>
      <c r="G349" s="42">
        <v>367</v>
      </c>
      <c r="H349" s="42">
        <v>307</v>
      </c>
      <c r="I349" s="42">
        <v>42.1</v>
      </c>
      <c r="J349" s="41" t="s">
        <v>127</v>
      </c>
      <c r="K349" t="str">
        <f t="shared" si="1"/>
        <v>QB</v>
      </c>
    </row>
    <row r="350" spans="1:11" ht="13">
      <c r="A350" s="38">
        <v>348</v>
      </c>
      <c r="B350" s="39">
        <v>15</v>
      </c>
      <c r="C350" s="41" t="s">
        <v>851</v>
      </c>
      <c r="D350" s="41" t="s">
        <v>144</v>
      </c>
      <c r="E350" s="41" t="s">
        <v>852</v>
      </c>
      <c r="F350" s="42">
        <v>311</v>
      </c>
      <c r="G350" s="42">
        <v>319</v>
      </c>
      <c r="H350" s="42">
        <v>313</v>
      </c>
      <c r="I350" s="42">
        <v>2.9</v>
      </c>
      <c r="J350" s="41" t="s">
        <v>127</v>
      </c>
      <c r="K350" t="str">
        <f t="shared" si="1"/>
        <v>QB</v>
      </c>
    </row>
    <row r="351" spans="1:11" ht="13">
      <c r="A351" s="38">
        <v>349</v>
      </c>
      <c r="B351" s="39">
        <v>15</v>
      </c>
      <c r="C351" s="41" t="s">
        <v>853</v>
      </c>
      <c r="D351" s="41" t="s">
        <v>250</v>
      </c>
      <c r="E351" s="41" t="s">
        <v>854</v>
      </c>
      <c r="F351" s="42">
        <v>244</v>
      </c>
      <c r="G351" s="42">
        <v>373</v>
      </c>
      <c r="H351" s="42">
        <v>302</v>
      </c>
      <c r="I351" s="42">
        <v>47.6</v>
      </c>
      <c r="J351" s="41" t="s">
        <v>127</v>
      </c>
      <c r="K351" t="str">
        <f t="shared" si="1"/>
        <v>WR</v>
      </c>
    </row>
    <row r="352" spans="1:11" ht="13">
      <c r="A352" s="38">
        <v>350</v>
      </c>
      <c r="B352" s="39">
        <v>15</v>
      </c>
      <c r="C352" s="41" t="s">
        <v>855</v>
      </c>
      <c r="D352" s="41" t="s">
        <v>173</v>
      </c>
      <c r="E352" s="41" t="s">
        <v>856</v>
      </c>
      <c r="F352" s="42">
        <v>194</v>
      </c>
      <c r="G352" s="42">
        <v>268</v>
      </c>
      <c r="H352" s="42">
        <v>231</v>
      </c>
      <c r="I352" s="42">
        <v>37</v>
      </c>
      <c r="J352" s="41" t="s">
        <v>127</v>
      </c>
      <c r="K352" t="str">
        <f t="shared" si="1"/>
        <v>WR</v>
      </c>
    </row>
    <row r="353" spans="1:10" ht="13">
      <c r="A353" s="38">
        <v>351</v>
      </c>
      <c r="B353" s="39">
        <v>15</v>
      </c>
      <c r="C353" s="41" t="s">
        <v>857</v>
      </c>
      <c r="D353" s="41" t="s">
        <v>250</v>
      </c>
      <c r="E353" s="41" t="s">
        <v>858</v>
      </c>
      <c r="F353" s="42">
        <v>185</v>
      </c>
      <c r="G353" s="42">
        <v>278</v>
      </c>
      <c r="H353" s="42">
        <v>232</v>
      </c>
      <c r="I353" s="42">
        <v>46.5</v>
      </c>
      <c r="J353" s="41" t="s">
        <v>127</v>
      </c>
    </row>
    <row r="354" spans="1:10" ht="13">
      <c r="A354" s="38">
        <v>352</v>
      </c>
      <c r="B354" s="39">
        <v>15</v>
      </c>
      <c r="C354" s="41" t="s">
        <v>859</v>
      </c>
      <c r="D354" s="41" t="s">
        <v>163</v>
      </c>
      <c r="E354" s="41" t="s">
        <v>860</v>
      </c>
      <c r="F354" s="42">
        <v>315</v>
      </c>
      <c r="G354" s="42">
        <v>328</v>
      </c>
      <c r="H354" s="42">
        <v>321</v>
      </c>
      <c r="I354" s="42">
        <v>5.5</v>
      </c>
      <c r="J354" s="41" t="s">
        <v>127</v>
      </c>
    </row>
    <row r="355" spans="1:10" ht="13">
      <c r="A355" s="38">
        <v>353</v>
      </c>
      <c r="B355" s="39">
        <v>15</v>
      </c>
      <c r="C355" s="41" t="s">
        <v>861</v>
      </c>
      <c r="D355" s="41" t="s">
        <v>300</v>
      </c>
      <c r="E355" s="41" t="s">
        <v>862</v>
      </c>
      <c r="F355" s="42">
        <v>262</v>
      </c>
      <c r="G355" s="42">
        <v>341</v>
      </c>
      <c r="H355" s="42">
        <v>306</v>
      </c>
      <c r="I355" s="42">
        <v>35.6</v>
      </c>
      <c r="J355" s="41" t="s">
        <v>127</v>
      </c>
    </row>
    <row r="356" spans="1:10" ht="13">
      <c r="A356" s="38">
        <v>354</v>
      </c>
      <c r="B356" s="39">
        <v>15</v>
      </c>
      <c r="C356" s="41" t="s">
        <v>863</v>
      </c>
      <c r="D356" s="41" t="s">
        <v>181</v>
      </c>
      <c r="E356" s="41" t="s">
        <v>864</v>
      </c>
      <c r="F356" s="42">
        <v>306</v>
      </c>
      <c r="G356" s="42">
        <v>381</v>
      </c>
      <c r="H356" s="42">
        <v>323</v>
      </c>
      <c r="I356" s="42">
        <v>28.9</v>
      </c>
      <c r="J356" s="41" t="s">
        <v>127</v>
      </c>
    </row>
    <row r="357" spans="1:10" ht="13">
      <c r="A357" s="38">
        <v>355</v>
      </c>
      <c r="B357" s="39">
        <v>15</v>
      </c>
      <c r="C357" s="41" t="s">
        <v>865</v>
      </c>
      <c r="D357" s="41" t="s">
        <v>274</v>
      </c>
      <c r="E357" s="41" t="s">
        <v>866</v>
      </c>
      <c r="F357" s="42">
        <v>312</v>
      </c>
      <c r="G357" s="42">
        <v>363</v>
      </c>
      <c r="H357" s="42">
        <v>325</v>
      </c>
      <c r="I357" s="42">
        <v>19.399999999999999</v>
      </c>
      <c r="J357" s="41" t="s">
        <v>127</v>
      </c>
    </row>
    <row r="358" spans="1:10" ht="13">
      <c r="A358" s="38">
        <v>356</v>
      </c>
      <c r="B358" s="39">
        <v>15</v>
      </c>
      <c r="C358" s="41" t="s">
        <v>867</v>
      </c>
      <c r="D358" s="41" t="s">
        <v>212</v>
      </c>
      <c r="E358" s="41" t="s">
        <v>868</v>
      </c>
      <c r="F358" s="42">
        <v>308</v>
      </c>
      <c r="G358" s="42">
        <v>383</v>
      </c>
      <c r="H358" s="42">
        <v>326</v>
      </c>
      <c r="I358" s="42">
        <v>28.7</v>
      </c>
      <c r="J358" s="41" t="s">
        <v>127</v>
      </c>
    </row>
    <row r="359" spans="1:10" ht="13">
      <c r="A359" s="38">
        <v>357</v>
      </c>
      <c r="B359" s="39">
        <v>15</v>
      </c>
      <c r="C359" s="41" t="s">
        <v>869</v>
      </c>
      <c r="D359" s="41" t="s">
        <v>173</v>
      </c>
      <c r="E359" s="41" t="s">
        <v>870</v>
      </c>
      <c r="F359" s="42">
        <v>309</v>
      </c>
      <c r="G359" s="42">
        <v>387</v>
      </c>
      <c r="H359" s="42">
        <v>328</v>
      </c>
      <c r="I359" s="42">
        <v>29.9</v>
      </c>
      <c r="J359" s="41" t="s">
        <v>127</v>
      </c>
    </row>
    <row r="360" spans="1:10" ht="13">
      <c r="A360" s="38">
        <v>358</v>
      </c>
      <c r="B360" s="39">
        <v>15</v>
      </c>
      <c r="C360" s="41" t="s">
        <v>871</v>
      </c>
      <c r="D360" s="41" t="s">
        <v>195</v>
      </c>
      <c r="E360" s="41" t="s">
        <v>872</v>
      </c>
      <c r="F360" s="42">
        <v>307</v>
      </c>
      <c r="G360" s="42">
        <v>355</v>
      </c>
      <c r="H360" s="42">
        <v>328</v>
      </c>
      <c r="I360" s="42">
        <v>16.2</v>
      </c>
      <c r="J360" s="41" t="s">
        <v>127</v>
      </c>
    </row>
    <row r="361" spans="1:10" ht="13">
      <c r="A361" s="38">
        <v>359</v>
      </c>
      <c r="B361" s="39">
        <v>15</v>
      </c>
      <c r="C361" s="41" t="s">
        <v>873</v>
      </c>
      <c r="D361" s="41" t="s">
        <v>166</v>
      </c>
      <c r="E361" s="41" t="s">
        <v>874</v>
      </c>
      <c r="F361" s="42">
        <v>203</v>
      </c>
      <c r="G361" s="42">
        <v>375</v>
      </c>
      <c r="H361" s="42">
        <v>295</v>
      </c>
      <c r="I361" s="42">
        <v>70.7</v>
      </c>
      <c r="J361" s="41" t="s">
        <v>127</v>
      </c>
    </row>
    <row r="362" spans="1:10" ht="13">
      <c r="A362" s="38">
        <v>360</v>
      </c>
      <c r="B362" s="39">
        <v>15</v>
      </c>
      <c r="C362" s="41" t="s">
        <v>875</v>
      </c>
      <c r="D362" s="41" t="s">
        <v>166</v>
      </c>
      <c r="E362" s="41" t="s">
        <v>876</v>
      </c>
      <c r="F362" s="42">
        <v>319</v>
      </c>
      <c r="G362" s="42">
        <v>355</v>
      </c>
      <c r="H362" s="42">
        <v>329</v>
      </c>
      <c r="I362" s="42">
        <v>13.7</v>
      </c>
      <c r="J362" s="41" t="s">
        <v>127</v>
      </c>
    </row>
    <row r="363" spans="1:10" ht="13">
      <c r="A363" s="38">
        <v>361</v>
      </c>
      <c r="B363" s="39">
        <v>15</v>
      </c>
      <c r="C363" s="41" t="s">
        <v>877</v>
      </c>
      <c r="D363" s="41" t="s">
        <v>129</v>
      </c>
      <c r="E363" s="41" t="s">
        <v>878</v>
      </c>
      <c r="F363" s="42">
        <v>258</v>
      </c>
      <c r="G363" s="42">
        <v>359</v>
      </c>
      <c r="H363" s="42">
        <v>318</v>
      </c>
      <c r="I363" s="42">
        <v>40.4</v>
      </c>
      <c r="J363" s="41" t="s">
        <v>127</v>
      </c>
    </row>
    <row r="364" spans="1:10" ht="13">
      <c r="A364" s="38">
        <v>362</v>
      </c>
      <c r="B364" s="39">
        <v>16</v>
      </c>
      <c r="C364" s="41" t="s">
        <v>879</v>
      </c>
      <c r="D364" s="41" t="s">
        <v>169</v>
      </c>
      <c r="E364" s="41" t="s">
        <v>880</v>
      </c>
      <c r="F364" s="42">
        <v>275</v>
      </c>
      <c r="G364" s="42">
        <v>377</v>
      </c>
      <c r="H364" s="42">
        <v>325</v>
      </c>
      <c r="I364" s="42">
        <v>36.1</v>
      </c>
      <c r="J364" s="41" t="s">
        <v>127</v>
      </c>
    </row>
    <row r="365" spans="1:10" ht="13">
      <c r="A365" s="38">
        <v>363</v>
      </c>
      <c r="B365" s="39">
        <v>16</v>
      </c>
      <c r="C365" s="41" t="s">
        <v>881</v>
      </c>
      <c r="D365" s="41" t="s">
        <v>166</v>
      </c>
      <c r="E365" s="41" t="s">
        <v>882</v>
      </c>
      <c r="F365" s="42">
        <v>226</v>
      </c>
      <c r="G365" s="42">
        <v>319</v>
      </c>
      <c r="H365" s="42">
        <v>273</v>
      </c>
      <c r="I365" s="42">
        <v>46.5</v>
      </c>
      <c r="J365" s="41" t="s">
        <v>127</v>
      </c>
    </row>
    <row r="366" spans="1:10" ht="13">
      <c r="A366" s="38">
        <v>364</v>
      </c>
      <c r="B366" s="39">
        <v>16</v>
      </c>
      <c r="C366" s="41" t="s">
        <v>883</v>
      </c>
      <c r="D366" s="41" t="s">
        <v>173</v>
      </c>
      <c r="E366" s="41" t="s">
        <v>884</v>
      </c>
      <c r="F366" s="42">
        <v>261</v>
      </c>
      <c r="G366" s="42">
        <v>304</v>
      </c>
      <c r="H366" s="42">
        <v>283</v>
      </c>
      <c r="I366" s="42">
        <v>21.5</v>
      </c>
      <c r="J366" s="41" t="s">
        <v>127</v>
      </c>
    </row>
    <row r="367" spans="1:10" ht="13">
      <c r="A367" s="38">
        <v>365</v>
      </c>
      <c r="B367" s="39">
        <v>16</v>
      </c>
      <c r="C367" s="41" t="s">
        <v>885</v>
      </c>
      <c r="D367" s="41" t="s">
        <v>173</v>
      </c>
      <c r="E367" s="41" t="s">
        <v>886</v>
      </c>
      <c r="F367" s="42">
        <v>263</v>
      </c>
      <c r="G367" s="42">
        <v>311</v>
      </c>
      <c r="H367" s="42">
        <v>287</v>
      </c>
      <c r="I367" s="42">
        <v>24</v>
      </c>
      <c r="J367" s="41" t="s">
        <v>127</v>
      </c>
    </row>
    <row r="368" spans="1:10" ht="13">
      <c r="A368" s="38">
        <v>366</v>
      </c>
      <c r="B368" s="39">
        <v>16</v>
      </c>
      <c r="C368" s="41" t="s">
        <v>887</v>
      </c>
      <c r="D368" s="41" t="s">
        <v>173</v>
      </c>
      <c r="E368" s="41" t="s">
        <v>888</v>
      </c>
      <c r="F368" s="42">
        <v>272</v>
      </c>
      <c r="G368" s="42">
        <v>302</v>
      </c>
      <c r="H368" s="42">
        <v>287</v>
      </c>
      <c r="I368" s="42">
        <v>15</v>
      </c>
      <c r="J368" s="41" t="s">
        <v>127</v>
      </c>
    </row>
    <row r="369" spans="1:10" ht="13">
      <c r="A369" s="38">
        <v>367</v>
      </c>
      <c r="B369" s="39">
        <v>16</v>
      </c>
      <c r="C369" s="41" t="s">
        <v>889</v>
      </c>
      <c r="D369" s="41" t="s">
        <v>238</v>
      </c>
      <c r="E369" s="41" t="s">
        <v>890</v>
      </c>
      <c r="F369" s="42">
        <v>286</v>
      </c>
      <c r="G369" s="42">
        <v>389</v>
      </c>
      <c r="H369" s="42">
        <v>334</v>
      </c>
      <c r="I369" s="42">
        <v>42.3</v>
      </c>
      <c r="J369" s="41" t="s">
        <v>127</v>
      </c>
    </row>
    <row r="370" spans="1:10" ht="13">
      <c r="A370" s="38">
        <v>368</v>
      </c>
      <c r="B370" s="39">
        <v>16</v>
      </c>
      <c r="C370" s="41" t="s">
        <v>891</v>
      </c>
      <c r="D370" s="41" t="s">
        <v>184</v>
      </c>
      <c r="E370" s="41" t="s">
        <v>892</v>
      </c>
      <c r="F370" s="42">
        <v>313</v>
      </c>
      <c r="G370" s="42">
        <v>319</v>
      </c>
      <c r="H370" s="42">
        <v>316</v>
      </c>
      <c r="I370" s="42">
        <v>3</v>
      </c>
      <c r="J370" s="41" t="s">
        <v>127</v>
      </c>
    </row>
    <row r="371" spans="1:10" ht="13">
      <c r="A371" s="38">
        <v>369</v>
      </c>
      <c r="B371" s="39">
        <v>16</v>
      </c>
      <c r="C371" s="41" t="s">
        <v>893</v>
      </c>
      <c r="D371" s="41" t="s">
        <v>173</v>
      </c>
      <c r="E371" s="41" t="s">
        <v>894</v>
      </c>
      <c r="F371" s="42">
        <v>273</v>
      </c>
      <c r="G371" s="42">
        <v>376</v>
      </c>
      <c r="H371" s="42">
        <v>325</v>
      </c>
      <c r="I371" s="42">
        <v>51.5</v>
      </c>
      <c r="J371" s="41" t="s">
        <v>127</v>
      </c>
    </row>
    <row r="372" spans="1:10" ht="13">
      <c r="A372" s="38">
        <v>370</v>
      </c>
      <c r="B372" s="39">
        <v>16</v>
      </c>
      <c r="C372" s="41" t="s">
        <v>895</v>
      </c>
      <c r="D372" s="41" t="s">
        <v>152</v>
      </c>
      <c r="E372" s="41" t="s">
        <v>896</v>
      </c>
      <c r="F372" s="42">
        <v>317</v>
      </c>
      <c r="G372" s="42">
        <v>372</v>
      </c>
      <c r="H372" s="42">
        <v>348</v>
      </c>
      <c r="I372" s="42">
        <v>23.1</v>
      </c>
      <c r="J372" s="41" t="s">
        <v>127</v>
      </c>
    </row>
    <row r="373" spans="1:10" ht="13">
      <c r="A373" s="38">
        <v>371</v>
      </c>
      <c r="B373" s="39">
        <v>16</v>
      </c>
      <c r="C373" s="41" t="s">
        <v>897</v>
      </c>
      <c r="D373" s="41" t="s">
        <v>135</v>
      </c>
      <c r="E373" s="41" t="s">
        <v>898</v>
      </c>
      <c r="F373" s="42">
        <v>288</v>
      </c>
      <c r="G373" s="42">
        <v>380</v>
      </c>
      <c r="H373" s="42">
        <v>334</v>
      </c>
      <c r="I373" s="42">
        <v>46</v>
      </c>
      <c r="J373" s="41" t="s">
        <v>127</v>
      </c>
    </row>
    <row r="374" spans="1:10" ht="13">
      <c r="A374" s="38">
        <v>372</v>
      </c>
      <c r="B374" s="39">
        <v>16</v>
      </c>
      <c r="C374" s="41" t="s">
        <v>899</v>
      </c>
      <c r="D374" s="41" t="s">
        <v>209</v>
      </c>
      <c r="E374" s="41" t="s">
        <v>900</v>
      </c>
      <c r="F374" s="42">
        <v>326</v>
      </c>
      <c r="G374" s="42">
        <v>348</v>
      </c>
      <c r="H374" s="42">
        <v>337</v>
      </c>
      <c r="I374" s="42">
        <v>11</v>
      </c>
      <c r="J374" s="41" t="s">
        <v>127</v>
      </c>
    </row>
    <row r="375" spans="1:10" ht="13">
      <c r="A375" s="38">
        <v>373</v>
      </c>
      <c r="B375" s="39">
        <v>16</v>
      </c>
      <c r="C375" s="41" t="s">
        <v>901</v>
      </c>
      <c r="D375" s="41" t="s">
        <v>173</v>
      </c>
      <c r="E375" s="41" t="s">
        <v>902</v>
      </c>
      <c r="F375" s="42">
        <v>324</v>
      </c>
      <c r="G375" s="42">
        <v>354</v>
      </c>
      <c r="H375" s="42">
        <v>339</v>
      </c>
      <c r="I375" s="42">
        <v>15</v>
      </c>
      <c r="J375" s="41" t="s">
        <v>127</v>
      </c>
    </row>
    <row r="376" spans="1:10" ht="13">
      <c r="A376" s="38">
        <v>374</v>
      </c>
      <c r="B376" s="39">
        <v>16</v>
      </c>
      <c r="C376" s="41" t="s">
        <v>903</v>
      </c>
      <c r="D376" s="41" t="s">
        <v>250</v>
      </c>
      <c r="E376" s="41" t="s">
        <v>904</v>
      </c>
      <c r="F376" s="42">
        <v>343</v>
      </c>
      <c r="G376" s="42">
        <v>344</v>
      </c>
      <c r="H376" s="42">
        <v>344</v>
      </c>
      <c r="I376" s="42">
        <v>0.5</v>
      </c>
      <c r="J376" s="41" t="s">
        <v>127</v>
      </c>
    </row>
    <row r="377" spans="1:10" ht="13">
      <c r="A377" s="38">
        <v>375</v>
      </c>
      <c r="B377" s="39">
        <v>16</v>
      </c>
      <c r="C377" s="41" t="s">
        <v>905</v>
      </c>
      <c r="D377" s="41" t="s">
        <v>206</v>
      </c>
      <c r="E377" s="41" t="s">
        <v>906</v>
      </c>
      <c r="F377" s="42">
        <v>335</v>
      </c>
      <c r="G377" s="42">
        <v>358</v>
      </c>
      <c r="H377" s="42">
        <v>347</v>
      </c>
      <c r="I377" s="42">
        <v>11.5</v>
      </c>
      <c r="J377" s="41" t="s">
        <v>127</v>
      </c>
    </row>
    <row r="378" spans="1:10" ht="13">
      <c r="A378" s="38">
        <v>376</v>
      </c>
      <c r="B378" s="39">
        <v>16</v>
      </c>
      <c r="C378" s="41" t="s">
        <v>907</v>
      </c>
      <c r="D378" s="41" t="s">
        <v>173</v>
      </c>
      <c r="E378" s="41" t="s">
        <v>908</v>
      </c>
      <c r="F378" s="42">
        <v>335</v>
      </c>
      <c r="G378" s="42">
        <v>362</v>
      </c>
      <c r="H378" s="42">
        <v>349</v>
      </c>
      <c r="I378" s="42">
        <v>13.5</v>
      </c>
      <c r="J378" s="41" t="s">
        <v>127</v>
      </c>
    </row>
    <row r="379" spans="1:10" ht="13">
      <c r="A379" s="38">
        <v>377</v>
      </c>
      <c r="B379" s="39">
        <v>16</v>
      </c>
      <c r="C379" s="41" t="s">
        <v>909</v>
      </c>
      <c r="D379" s="41" t="s">
        <v>253</v>
      </c>
      <c r="E379" s="41" t="s">
        <v>910</v>
      </c>
      <c r="F379" s="42">
        <v>328</v>
      </c>
      <c r="G379" s="42">
        <v>379</v>
      </c>
      <c r="H379" s="42">
        <v>354</v>
      </c>
      <c r="I379" s="42">
        <v>25.5</v>
      </c>
      <c r="J379" s="41" t="s">
        <v>127</v>
      </c>
    </row>
    <row r="380" spans="1:10" ht="13">
      <c r="A380" s="38">
        <v>378</v>
      </c>
      <c r="B380" s="39">
        <v>16</v>
      </c>
      <c r="C380" s="41" t="s">
        <v>911</v>
      </c>
      <c r="D380" s="41" t="s">
        <v>178</v>
      </c>
      <c r="E380" s="41" t="s">
        <v>912</v>
      </c>
      <c r="F380" s="42">
        <v>335</v>
      </c>
      <c r="G380" s="42">
        <v>382</v>
      </c>
      <c r="H380" s="42">
        <v>359</v>
      </c>
      <c r="I380" s="42">
        <v>23.5</v>
      </c>
      <c r="J380" s="41" t="s">
        <v>127</v>
      </c>
    </row>
    <row r="381" spans="1:10" ht="13">
      <c r="A381" s="38">
        <v>379</v>
      </c>
      <c r="B381" s="39">
        <v>16</v>
      </c>
      <c r="C381" s="41" t="s">
        <v>913</v>
      </c>
      <c r="D381" s="41" t="s">
        <v>173</v>
      </c>
      <c r="E381" s="41" t="s">
        <v>914</v>
      </c>
      <c r="F381" s="42">
        <v>350</v>
      </c>
      <c r="G381" s="42">
        <v>385</v>
      </c>
      <c r="H381" s="42">
        <v>368</v>
      </c>
      <c r="I381" s="42">
        <v>17.5</v>
      </c>
      <c r="J381" s="41" t="s">
        <v>127</v>
      </c>
    </row>
    <row r="382" spans="1:10" ht="13">
      <c r="A382" s="38">
        <v>380</v>
      </c>
      <c r="B382" s="39">
        <v>16</v>
      </c>
      <c r="C382" s="41" t="s">
        <v>915</v>
      </c>
      <c r="D382" s="41" t="s">
        <v>155</v>
      </c>
      <c r="E382" s="41" t="s">
        <v>916</v>
      </c>
      <c r="F382" s="42">
        <v>358</v>
      </c>
      <c r="G382" s="42">
        <v>374</v>
      </c>
      <c r="H382" s="42">
        <v>366</v>
      </c>
      <c r="I382" s="42">
        <v>8</v>
      </c>
      <c r="J382" s="41" t="s">
        <v>127</v>
      </c>
    </row>
    <row r="383" spans="1:10" ht="13">
      <c r="A383" s="38">
        <v>381</v>
      </c>
      <c r="B383" s="39">
        <v>16</v>
      </c>
      <c r="C383" s="41" t="s">
        <v>917</v>
      </c>
      <c r="D383" s="41" t="s">
        <v>173</v>
      </c>
      <c r="E383" s="41" t="s">
        <v>918</v>
      </c>
      <c r="F383" s="42">
        <v>371</v>
      </c>
      <c r="G383" s="42">
        <v>376</v>
      </c>
      <c r="H383" s="42">
        <v>374</v>
      </c>
      <c r="I383" s="42">
        <v>2.5</v>
      </c>
      <c r="J383" s="41" t="s">
        <v>127</v>
      </c>
    </row>
    <row r="384" spans="1:10" ht="13">
      <c r="A384" s="38"/>
      <c r="B384" s="39"/>
      <c r="C384" s="41"/>
      <c r="D384" s="41"/>
      <c r="E384" s="41"/>
      <c r="F384" s="42"/>
      <c r="G384" s="42"/>
      <c r="H384" s="42"/>
      <c r="I384" s="42"/>
      <c r="J384" s="4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30"/>
  <sheetViews>
    <sheetView tabSelected="1" topLeftCell="A2" zoomScale="178" workbookViewId="0">
      <selection activeCell="B9" sqref="B9"/>
    </sheetView>
  </sheetViews>
  <sheetFormatPr baseColWidth="10" defaultColWidth="12.5" defaultRowHeight="15.75" customHeight="1"/>
  <sheetData>
    <row r="1" spans="1:4" ht="15.75" customHeight="1">
      <c r="A1" s="26" t="s">
        <v>46</v>
      </c>
      <c r="B1" s="40" t="s">
        <v>165</v>
      </c>
    </row>
    <row r="2" spans="1:4" ht="15.75" customHeight="1">
      <c r="A2" s="26" t="s">
        <v>46</v>
      </c>
      <c r="B2" s="26" t="s">
        <v>168</v>
      </c>
    </row>
    <row r="3" spans="1:4" ht="15.75" customHeight="1">
      <c r="A3" s="26" t="s">
        <v>46</v>
      </c>
      <c r="B3" s="26" t="s">
        <v>146</v>
      </c>
    </row>
    <row r="4" spans="1:4" ht="15.75" customHeight="1">
      <c r="A4" s="26" t="s">
        <v>51</v>
      </c>
      <c r="B4" s="41" t="s">
        <v>186</v>
      </c>
    </row>
    <row r="5" spans="1:4" ht="15.75" customHeight="1">
      <c r="A5" s="26" t="s">
        <v>51</v>
      </c>
      <c r="B5" s="26" t="s">
        <v>124</v>
      </c>
      <c r="D5" s="40"/>
    </row>
    <row r="6" spans="1:4" ht="15.75" customHeight="1">
      <c r="A6" s="26" t="s">
        <v>51</v>
      </c>
      <c r="B6" s="41" t="s">
        <v>162</v>
      </c>
      <c r="D6" s="41"/>
    </row>
    <row r="7" spans="1:4" ht="15.75" customHeight="1">
      <c r="A7" s="26" t="s">
        <v>44</v>
      </c>
      <c r="B7" s="41" t="s">
        <v>131</v>
      </c>
    </row>
    <row r="8" spans="1:4" ht="15.75" customHeight="1">
      <c r="A8" s="26" t="s">
        <v>44</v>
      </c>
      <c r="B8" s="41" t="s">
        <v>194</v>
      </c>
    </row>
    <row r="9" spans="1:4" ht="15.75" customHeight="1">
      <c r="A9" s="26" t="s">
        <v>44</v>
      </c>
      <c r="B9" s="26" t="s">
        <v>249</v>
      </c>
    </row>
    <row r="10" spans="1:4" ht="15.75" customHeight="1">
      <c r="A10" s="26" t="s">
        <v>49</v>
      </c>
      <c r="B10" s="26" t="s">
        <v>218</v>
      </c>
    </row>
    <row r="11" spans="1:4" ht="15.75" customHeight="1">
      <c r="A11" s="26" t="s">
        <v>49</v>
      </c>
      <c r="B11" s="41" t="s">
        <v>225</v>
      </c>
    </row>
    <row r="12" spans="1:4" ht="15.75" customHeight="1">
      <c r="A12" s="26" t="s">
        <v>49</v>
      </c>
      <c r="B12" s="41" t="s">
        <v>151</v>
      </c>
    </row>
    <row r="13" spans="1:4" ht="15.75" customHeight="1">
      <c r="A13" s="26" t="s">
        <v>43</v>
      </c>
      <c r="B13" s="41" t="s">
        <v>154</v>
      </c>
    </row>
    <row r="14" spans="1:4" ht="15.75" customHeight="1">
      <c r="A14" s="26" t="s">
        <v>43</v>
      </c>
      <c r="B14" s="41" t="s">
        <v>175</v>
      </c>
    </row>
    <row r="15" spans="1:4" ht="15.75" customHeight="1">
      <c r="A15" s="26" t="s">
        <v>43</v>
      </c>
      <c r="B15" s="41" t="s">
        <v>143</v>
      </c>
    </row>
    <row r="16" spans="1:4" ht="15.75" customHeight="1">
      <c r="A16" s="26" t="s">
        <v>48</v>
      </c>
      <c r="B16" s="26" t="s">
        <v>197</v>
      </c>
    </row>
    <row r="17" spans="1:2" ht="15.75" customHeight="1">
      <c r="A17" s="26" t="s">
        <v>48</v>
      </c>
      <c r="B17" s="40" t="s">
        <v>180</v>
      </c>
    </row>
    <row r="18" spans="1:2" ht="15.75" customHeight="1">
      <c r="A18" s="26" t="s">
        <v>48</v>
      </c>
      <c r="B18" s="26" t="s">
        <v>137</v>
      </c>
    </row>
    <row r="19" spans="1:2" ht="15.75" customHeight="1">
      <c r="A19" s="26" t="s">
        <v>45</v>
      </c>
      <c r="B19" s="41" t="s">
        <v>203</v>
      </c>
    </row>
    <row r="20" spans="1:2" ht="15.75" customHeight="1">
      <c r="A20" s="26" t="s">
        <v>45</v>
      </c>
      <c r="B20" s="40" t="s">
        <v>157</v>
      </c>
    </row>
    <row r="21" spans="1:2" ht="15.75" customHeight="1">
      <c r="A21" s="26" t="s">
        <v>45</v>
      </c>
      <c r="B21" s="40" t="s">
        <v>171</v>
      </c>
    </row>
    <row r="22" spans="1:2" ht="15.75" customHeight="1">
      <c r="A22" s="26" t="s">
        <v>47</v>
      </c>
      <c r="B22" s="41" t="s">
        <v>148</v>
      </c>
    </row>
    <row r="23" spans="1:2" ht="15.75" customHeight="1">
      <c r="A23" s="26" t="s">
        <v>47</v>
      </c>
      <c r="B23" s="41" t="s">
        <v>140</v>
      </c>
    </row>
    <row r="24" spans="1:2" ht="15.75" customHeight="1">
      <c r="A24" s="26" t="s">
        <v>47</v>
      </c>
      <c r="B24" s="40" t="s">
        <v>128</v>
      </c>
    </row>
    <row r="25" spans="1:2" ht="15.75" customHeight="1">
      <c r="A25" s="26" t="s">
        <v>52</v>
      </c>
      <c r="B25" s="26" t="s">
        <v>160</v>
      </c>
    </row>
    <row r="26" spans="1:2" ht="13">
      <c r="A26" s="26" t="s">
        <v>52</v>
      </c>
      <c r="B26" s="40" t="s">
        <v>177</v>
      </c>
    </row>
    <row r="27" spans="1:2" ht="13">
      <c r="A27" s="26" t="s">
        <v>52</v>
      </c>
      <c r="B27" s="41" t="s">
        <v>205</v>
      </c>
    </row>
    <row r="28" spans="1:2" ht="13">
      <c r="A28" s="26" t="s">
        <v>50</v>
      </c>
      <c r="B28" s="41" t="s">
        <v>134</v>
      </c>
    </row>
    <row r="29" spans="1:2" ht="13">
      <c r="A29" s="26" t="s">
        <v>50</v>
      </c>
      <c r="B29" t="s">
        <v>183</v>
      </c>
    </row>
    <row r="30" spans="1:2" ht="13">
      <c r="A30" s="26" t="s">
        <v>50</v>
      </c>
      <c r="B30" s="41" t="s">
        <v>192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1000"/>
  <sheetViews>
    <sheetView workbookViewId="0"/>
  </sheetViews>
  <sheetFormatPr baseColWidth="10" defaultColWidth="12.5" defaultRowHeight="15.75" customHeight="1"/>
  <sheetData>
    <row r="1" spans="1:2" ht="15.75" customHeight="1">
      <c r="A1" s="44" t="s">
        <v>919</v>
      </c>
      <c r="B1" s="26" t="s">
        <v>920</v>
      </c>
    </row>
    <row r="2" spans="1:2" ht="15">
      <c r="A2" s="45" t="s">
        <v>51</v>
      </c>
      <c r="B2" t="str">
        <f ca="1">IFERROR(__xludf.DUMMYFUNCTION("FILTER('ALL PPR Drafts'!D2:D1000, ('ALL PPR Drafts'!C2:C1000&lt;&gt;""x"")*('ALL PPR Drafts'!D2:D1000&lt;&gt;""""))"),"Jeremiyah Love")</f>
        <v>Jeremiyah Love</v>
      </c>
    </row>
    <row r="3" spans="1:2" ht="15">
      <c r="A3" s="45" t="s">
        <v>45</v>
      </c>
      <c r="B3" t="str">
        <f ca="1">IFERROR(__xludf.DUMMYFUNCTION("""COMPUTED_VALUE"""),"Derrick Henry")</f>
        <v>Derrick Henry</v>
      </c>
    </row>
    <row r="4" spans="1:2" ht="15">
      <c r="A4" s="45" t="s">
        <v>44</v>
      </c>
      <c r="B4" t="str">
        <f ca="1">IFERROR(__xludf.DUMMYFUNCTION("""COMPUTED_VALUE"""),"Lamar Jackson")</f>
        <v>Lamar Jackson</v>
      </c>
    </row>
    <row r="5" spans="1:2" ht="15">
      <c r="A5" s="45" t="s">
        <v>52</v>
      </c>
      <c r="B5" t="str">
        <f ca="1">IFERROR(__xludf.DUMMYFUNCTION("""COMPUTED_VALUE"""),"Tee Higgins")</f>
        <v>Tee Higgins</v>
      </c>
    </row>
    <row r="6" spans="1:2" ht="15">
      <c r="A6" s="45" t="s">
        <v>51</v>
      </c>
      <c r="B6" t="str">
        <f ca="1">IFERROR(__xludf.DUMMYFUNCTION("""COMPUTED_VALUE"""),"Kenneth Walker III")</f>
        <v>Kenneth Walker III</v>
      </c>
    </row>
    <row r="7" spans="1:2" ht="15">
      <c r="A7" s="45" t="s">
        <v>52</v>
      </c>
      <c r="B7" t="str">
        <f ca="1">IFERROR(__xludf.DUMMYFUNCTION("""COMPUTED_VALUE"""),"A.J. Brown")</f>
        <v>A.J. Brown</v>
      </c>
    </row>
    <row r="8" spans="1:2" ht="15">
      <c r="A8" s="45" t="s">
        <v>51</v>
      </c>
      <c r="B8" t="str">
        <f ca="1">IFERROR(__xludf.DUMMYFUNCTION("""COMPUTED_VALUE"""),"Josh Jacobs")</f>
        <v>Josh Jacobs</v>
      </c>
    </row>
    <row r="9" spans="1:2" ht="15">
      <c r="A9" s="45" t="s">
        <v>51</v>
      </c>
      <c r="B9" t="str">
        <f ca="1">IFERROR(__xludf.DUMMYFUNCTION("""COMPUTED_VALUE"""),"Davante Adams")</f>
        <v>Davante Adams</v>
      </c>
    </row>
    <row r="10" spans="1:2" ht="15">
      <c r="A10" s="45" t="s">
        <v>52</v>
      </c>
      <c r="B10" t="str">
        <f ca="1">IFERROR(__xludf.DUMMYFUNCTION("""COMPUTED_VALUE"""),"Breece Hall")</f>
        <v>Breece Hall</v>
      </c>
    </row>
    <row r="11" spans="1:2" ht="15">
      <c r="A11" s="45" t="s">
        <v>47</v>
      </c>
      <c r="B11" t="str">
        <f ca="1">IFERROR(__xludf.DUMMYFUNCTION("""COMPUTED_VALUE"""),"Tucker Kraft")</f>
        <v>Tucker Kraft</v>
      </c>
    </row>
    <row r="12" spans="1:2" ht="15">
      <c r="A12" s="45" t="s">
        <v>46</v>
      </c>
      <c r="B12" t="str">
        <f ca="1">IFERROR(__xludf.DUMMYFUNCTION("""COMPUTED_VALUE"""),"Zay Flowers")</f>
        <v>Zay Flowers</v>
      </c>
    </row>
    <row r="13" spans="1:2" ht="15">
      <c r="A13" s="45" t="s">
        <v>44</v>
      </c>
      <c r="B13" t="str">
        <f ca="1">IFERROR(__xludf.DUMMYFUNCTION("""COMPUTED_VALUE"""),"Joe Burrow")</f>
        <v>Joe Burrow</v>
      </c>
    </row>
    <row r="14" spans="1:2" ht="15">
      <c r="A14" s="45" t="s">
        <v>48</v>
      </c>
      <c r="B14" t="str">
        <f ca="1">IFERROR(__xludf.DUMMYFUNCTION("""COMPUTED_VALUE"""),"Javonte Williams")</f>
        <v>Javonte Williams</v>
      </c>
    </row>
    <row r="15" spans="1:2" ht="15">
      <c r="A15" s="45" t="s">
        <v>43</v>
      </c>
      <c r="B15" t="str">
        <f ca="1">IFERROR(__xludf.DUMMYFUNCTION("""COMPUTED_VALUE"""),"Travis Etienne Jr.")</f>
        <v>Travis Etienne Jr.</v>
      </c>
    </row>
    <row r="16" spans="1:2" ht="15">
      <c r="A16" s="45" t="s">
        <v>45</v>
      </c>
      <c r="B16" t="str">
        <f ca="1">IFERROR(__xludf.DUMMYFUNCTION("""COMPUTED_VALUE"""),"Jameson Williams")</f>
        <v>Jameson Williams</v>
      </c>
    </row>
    <row r="17" spans="1:2" ht="15">
      <c r="A17" s="45" t="s">
        <v>52</v>
      </c>
      <c r="B17" t="str">
        <f ca="1">IFERROR(__xludf.DUMMYFUNCTION("""COMPUTED_VALUE"""),"Jayden Daniels")</f>
        <v>Jayden Daniels</v>
      </c>
    </row>
    <row r="18" spans="1:2" ht="15">
      <c r="A18" s="45" t="s">
        <v>52</v>
      </c>
      <c r="B18" t="str">
        <f ca="1">IFERROR(__xludf.DUMMYFUNCTION("""COMPUTED_VALUE"""),"Carnell Tate")</f>
        <v>Carnell Tate</v>
      </c>
    </row>
    <row r="19" spans="1:2" ht="15">
      <c r="A19" s="45" t="s">
        <v>44</v>
      </c>
      <c r="B19" t="str">
        <f ca="1">IFERROR(__xludf.DUMMYFUNCTION("""COMPUTED_VALUE"""),"Bucky Irving")</f>
        <v>Bucky Irving</v>
      </c>
    </row>
    <row r="20" spans="1:2" ht="15">
      <c r="A20" s="45" t="s">
        <v>43</v>
      </c>
      <c r="B20" t="str">
        <f ca="1">IFERROR(__xludf.DUMMYFUNCTION("""COMPUTED_VALUE"""),"Ladd McConkey")</f>
        <v>Ladd McConkey</v>
      </c>
    </row>
    <row r="21" spans="1:2" ht="15">
      <c r="A21" s="45" t="s">
        <v>43</v>
      </c>
      <c r="B21" t="str">
        <f ca="1">IFERROR(__xludf.DUMMYFUNCTION("""COMPUTED_VALUE"""),"Terry McLaurin")</f>
        <v>Terry McLaurin</v>
      </c>
    </row>
    <row r="22" spans="1:2" ht="15">
      <c r="A22" s="45" t="s">
        <v>49</v>
      </c>
      <c r="B22" t="str">
        <f ca="1">IFERROR(__xludf.DUMMYFUNCTION("""COMPUTED_VALUE"""),"Colston Loveland")</f>
        <v>Colston Loveland</v>
      </c>
    </row>
    <row r="23" spans="1:2" ht="15">
      <c r="A23" s="45" t="s">
        <v>44</v>
      </c>
      <c r="B23" t="str">
        <f ca="1">IFERROR(__xludf.DUMMYFUNCTION("""COMPUTED_VALUE"""),"Jaylen Waddle")</f>
        <v>Jaylen Waddle</v>
      </c>
    </row>
    <row r="24" spans="1:2" ht="15">
      <c r="A24" s="45" t="s">
        <v>43</v>
      </c>
      <c r="B24" t="str">
        <f ca="1">IFERROR(__xludf.DUMMYFUNCTION("""COMPUTED_VALUE"""),"Christian Watson")</f>
        <v>Christian Watson</v>
      </c>
    </row>
    <row r="25" spans="1:2" ht="15">
      <c r="A25" s="45" t="s">
        <v>43</v>
      </c>
      <c r="B25" t="str">
        <f ca="1">IFERROR(__xludf.DUMMYFUNCTION("""COMPUTED_VALUE"""),"TreVeyon Henderson")</f>
        <v>TreVeyon Henderson</v>
      </c>
    </row>
    <row r="26" spans="1:2" ht="15">
      <c r="A26" s="45" t="s">
        <v>45</v>
      </c>
      <c r="B26" t="str">
        <f ca="1">IFERROR(__xludf.DUMMYFUNCTION("""COMPUTED_VALUE"""),"Jalen Hurts")</f>
        <v>Jalen Hurts</v>
      </c>
    </row>
    <row r="27" spans="1:2" ht="15">
      <c r="A27" s="45" t="s">
        <v>51</v>
      </c>
      <c r="B27" t="str">
        <f ca="1">IFERROR(__xludf.DUMMYFUNCTION("""COMPUTED_VALUE"""),"Luther Burden III")</f>
        <v>Luther Burden III</v>
      </c>
    </row>
    <row r="28" spans="1:2" ht="15">
      <c r="A28" s="45" t="s">
        <v>49</v>
      </c>
      <c r="B28" t="str">
        <f ca="1">IFERROR(__xludf.DUMMYFUNCTION("""COMPUTED_VALUE"""),"Emeka Egbuka")</f>
        <v>Emeka Egbuka</v>
      </c>
    </row>
    <row r="29" spans="1:2" ht="15">
      <c r="A29" s="45" t="s">
        <v>46</v>
      </c>
      <c r="B29" t="str">
        <f ca="1">IFERROR(__xludf.DUMMYFUNCTION("""COMPUTED_VALUE"""),"Mike Evans")</f>
        <v>Mike Evans</v>
      </c>
    </row>
    <row r="30" spans="1:2" ht="15">
      <c r="A30" s="45" t="s">
        <v>49</v>
      </c>
      <c r="B30" t="str">
        <f ca="1">IFERROR(__xludf.DUMMYFUNCTION("""COMPUTED_VALUE"""),"DeVonta Smith")</f>
        <v>DeVonta Smith</v>
      </c>
    </row>
    <row r="31" spans="1:2" ht="15">
      <c r="A31" s="45" t="s">
        <v>47</v>
      </c>
      <c r="B31" t="str">
        <f ca="1">IFERROR(__xludf.DUMMYFUNCTION("""COMPUTED_VALUE"""),"D'Andre Swift")</f>
        <v>D'Andre Swift</v>
      </c>
    </row>
    <row r="32" spans="1:2" ht="15">
      <c r="A32" s="45" t="s">
        <v>51</v>
      </c>
      <c r="B32" t="str">
        <f ca="1">IFERROR(__xludf.DUMMYFUNCTION("""COMPUTED_VALUE"""),"Cam Skattebo")</f>
        <v>Cam Skattebo</v>
      </c>
    </row>
    <row r="33" spans="1:2" ht="15">
      <c r="A33" s="45" t="s">
        <v>43</v>
      </c>
      <c r="B33" t="str">
        <f ca="1">IFERROR(__xludf.DUMMYFUNCTION("""COMPUTED_VALUE"""),"Quinshon Judkins")</f>
        <v>Quinshon Judkins</v>
      </c>
    </row>
    <row r="34" spans="1:2" ht="15">
      <c r="A34" s="45" t="s">
        <v>48</v>
      </c>
      <c r="B34" t="str">
        <f ca="1">IFERROR(__xludf.DUMMYFUNCTION("""COMPUTED_VALUE"""),"Makai Lemon")</f>
        <v>Makai Lemon</v>
      </c>
    </row>
    <row r="35" spans="1:2" ht="15">
      <c r="A35" s="45" t="s">
        <v>51</v>
      </c>
      <c r="B35" t="str">
        <f ca="1">IFERROR(__xludf.DUMMYFUNCTION("""COMPUTED_VALUE"""),"David Montgomery")</f>
        <v>David Montgomery</v>
      </c>
    </row>
    <row r="36" spans="1:2" ht="15">
      <c r="A36" s="45" t="s">
        <v>45</v>
      </c>
      <c r="B36" t="str">
        <f ca="1">IFERROR(__xludf.DUMMYFUNCTION("""COMPUTED_VALUE"""),"DJ Moore")</f>
        <v>DJ Moore</v>
      </c>
    </row>
    <row r="37" spans="1:2" ht="15">
      <c r="A37" s="45" t="s">
        <v>51</v>
      </c>
      <c r="B37" t="str">
        <f ca="1">IFERROR(__xludf.DUMMYFUNCTION("""COMPUTED_VALUE"""),"Bhayshul Tuten")</f>
        <v>Bhayshul Tuten</v>
      </c>
    </row>
    <row r="38" spans="1:2" ht="15">
      <c r="A38" s="45" t="s">
        <v>49</v>
      </c>
      <c r="B38" t="str">
        <f ca="1">IFERROR(__xludf.DUMMYFUNCTION("""COMPUTED_VALUE"""),"Jordyn Tyson")</f>
        <v>Jordyn Tyson</v>
      </c>
    </row>
    <row r="39" spans="1:2" ht="15">
      <c r="A39" s="45" t="s">
        <v>44</v>
      </c>
      <c r="B39" t="str">
        <f ca="1">IFERROR(__xludf.DUMMYFUNCTION("""COMPUTED_VALUE"""),"Rome Odunze")</f>
        <v>Rome Odunze</v>
      </c>
    </row>
    <row r="40" spans="1:2" ht="15">
      <c r="A40" s="45" t="s">
        <v>49</v>
      </c>
      <c r="B40" t="str">
        <f ca="1">IFERROR(__xludf.DUMMYFUNCTION("""COMPUTED_VALUE"""),"RJ Harvey")</f>
        <v>RJ Harvey</v>
      </c>
    </row>
    <row r="41" spans="1:2" ht="15">
      <c r="A41" s="45" t="s">
        <v>43</v>
      </c>
      <c r="B41" t="str">
        <f ca="1">IFERROR(__xludf.DUMMYFUNCTION("""COMPUTED_VALUE"""),"Tyler Warren")</f>
        <v>Tyler Warren</v>
      </c>
    </row>
    <row r="42" spans="1:2" ht="15">
      <c r="A42" s="45" t="s">
        <v>46</v>
      </c>
      <c r="B42" t="str">
        <f ca="1">IFERROR(__xludf.DUMMYFUNCTION("""COMPUTED_VALUE"""),"Alec Pierce")</f>
        <v>Alec Pierce</v>
      </c>
    </row>
    <row r="43" spans="1:2" ht="15">
      <c r="A43" s="45" t="s">
        <v>46</v>
      </c>
      <c r="B43" t="str">
        <f ca="1">IFERROR(__xludf.DUMMYFUNCTION("""COMPUTED_VALUE"""),"Jaxson Dart")</f>
        <v>Jaxson Dart</v>
      </c>
    </row>
    <row r="44" spans="1:2" ht="15">
      <c r="A44" s="45" t="s">
        <v>48</v>
      </c>
      <c r="B44" t="str">
        <f ca="1">IFERROR(__xludf.DUMMYFUNCTION("""COMPUTED_VALUE"""),"Caleb Williams")</f>
        <v>Caleb Williams</v>
      </c>
    </row>
    <row r="45" spans="1:2" ht="15">
      <c r="A45" s="45" t="s">
        <v>47</v>
      </c>
      <c r="B45" t="str">
        <f ca="1">IFERROR(__xludf.DUMMYFUNCTION("""COMPUTED_VALUE"""),"Jaylen Warren")</f>
        <v>Jaylen Warren</v>
      </c>
    </row>
    <row r="46" spans="1:2" ht="15">
      <c r="A46" s="45" t="s">
        <v>45</v>
      </c>
      <c r="B46" t="str">
        <f ca="1">IFERROR(__xludf.DUMMYFUNCTION("""COMPUTED_VALUE"""),"Courtland Sutton")</f>
        <v>Courtland Sutton</v>
      </c>
    </row>
    <row r="47" spans="1:2" ht="15">
      <c r="A47" s="45" t="s">
        <v>46</v>
      </c>
      <c r="B47" t="str">
        <f ca="1">IFERROR(__xludf.DUMMYFUNCTION("""COMPUTED_VALUE"""),"Harold Fannin Jr.")</f>
        <v>Harold Fannin Jr.</v>
      </c>
    </row>
    <row r="48" spans="1:2" ht="15">
      <c r="A48" s="45" t="s">
        <v>52</v>
      </c>
      <c r="B48" t="str">
        <f ca="1">IFERROR(__xludf.DUMMYFUNCTION("""COMPUTED_VALUE"""),"DK Metcalf")</f>
        <v>DK Metcalf</v>
      </c>
    </row>
    <row r="49" spans="1:2" ht="15">
      <c r="A49" s="45" t="s">
        <v>44</v>
      </c>
      <c r="B49" t="str">
        <f ca="1">IFERROR(__xludf.DUMMYFUNCTION("""COMPUTED_VALUE"""),"Justin Herbert")</f>
        <v>Justin Herbert</v>
      </c>
    </row>
    <row r="50" spans="1:2" ht="15">
      <c r="A50" s="45" t="s">
        <v>51</v>
      </c>
      <c r="B50" t="str">
        <f ca="1">IFERROR(__xludf.DUMMYFUNCTION("""COMPUTED_VALUE"""),"Kyle Monangai")</f>
        <v>Kyle Monangai</v>
      </c>
    </row>
    <row r="51" spans="1:2" ht="15">
      <c r="A51" s="45" t="s">
        <v>49</v>
      </c>
      <c r="B51" t="str">
        <f ca="1">IFERROR(__xludf.DUMMYFUNCTION("""COMPUTED_VALUE"""),"Blake Corum")</f>
        <v>Blake Corum</v>
      </c>
    </row>
    <row r="52" spans="1:2" ht="15">
      <c r="A52" s="45"/>
      <c r="B52" t="str">
        <f ca="1">IFERROR(__xludf.DUMMYFUNCTION("""COMPUTED_VALUE"""),"Rico Dowdle")</f>
        <v>Rico Dowdle</v>
      </c>
    </row>
    <row r="53" spans="1:2" ht="15">
      <c r="A53" s="45"/>
      <c r="B53" t="str">
        <f ca="1">IFERROR(__xludf.DUMMYFUNCTION("""COMPUTED_VALUE"""),"Marvin Harrison Jr.")</f>
        <v>Marvin Harrison Jr.</v>
      </c>
    </row>
    <row r="54" spans="1:2" ht="15">
      <c r="A54" s="45"/>
      <c r="B54" t="str">
        <f ca="1">IFERROR(__xludf.DUMMYFUNCTION("""COMPUTED_VALUE"""),"Rhamondre Stevenson")</f>
        <v>Rhamondre Stevenson</v>
      </c>
    </row>
    <row r="55" spans="1:2" ht="15">
      <c r="A55" s="45"/>
      <c r="B55" t="str">
        <f ca="1">IFERROR(__xludf.DUMMYFUNCTION("""COMPUTED_VALUE"""),"Sam LaPorta")</f>
        <v>Sam LaPorta</v>
      </c>
    </row>
    <row r="56" spans="1:2" ht="15">
      <c r="A56" s="45"/>
      <c r="B56" t="str">
        <f ca="1">IFERROR(__xludf.DUMMYFUNCTION("""COMPUTED_VALUE"""),"Trevor Lawrence")</f>
        <v>Trevor Lawrence</v>
      </c>
    </row>
    <row r="57" spans="1:2" ht="15">
      <c r="A57" s="45"/>
      <c r="B57" t="str">
        <f ca="1">IFERROR(__xludf.DUMMYFUNCTION("""COMPUTED_VALUE"""),"Kyle Pitts Sr.")</f>
        <v>Kyle Pitts Sr.</v>
      </c>
    </row>
    <row r="58" spans="1:2" ht="15">
      <c r="A58" s="45"/>
      <c r="B58" t="str">
        <f ca="1">IFERROR(__xludf.DUMMYFUNCTION("""COMPUTED_VALUE"""),"Dak Prescott")</f>
        <v>Dak Prescott</v>
      </c>
    </row>
    <row r="59" spans="1:2" ht="15">
      <c r="A59" s="45"/>
      <c r="B59" t="str">
        <f ca="1">IFERROR(__xludf.DUMMYFUNCTION("""COMPUTED_VALUE"""),"Tyler Allgeier")</f>
        <v>Tyler Allgeier</v>
      </c>
    </row>
    <row r="60" spans="1:2" ht="15">
      <c r="A60" s="45"/>
      <c r="B60" t="str">
        <f ca="1">IFERROR(__xludf.DUMMYFUNCTION("""COMPUTED_VALUE"""),"Tony Pollard")</f>
        <v>Tony Pollard</v>
      </c>
    </row>
    <row r="61" spans="1:2" ht="15">
      <c r="A61" s="45"/>
      <c r="B61" t="str">
        <f ca="1">IFERROR(__xludf.DUMMYFUNCTION("""COMPUTED_VALUE"""),"Brock Purdy")</f>
        <v>Brock Purdy</v>
      </c>
    </row>
    <row r="62" spans="1:2" ht="15">
      <c r="A62" s="45"/>
      <c r="B62" t="str">
        <f ca="1">IFERROR(__xludf.DUMMYFUNCTION("""COMPUTED_VALUE"""),"Patrick Mahomes II")</f>
        <v>Patrick Mahomes II</v>
      </c>
    </row>
    <row r="63" spans="1:2" ht="15">
      <c r="A63" s="45"/>
      <c r="B63" t="str">
        <f ca="1">IFERROR(__xludf.DUMMYFUNCTION("""COMPUTED_VALUE"""),"Chuba Hubbard")</f>
        <v>Chuba Hubbard</v>
      </c>
    </row>
    <row r="64" spans="1:2" ht="15">
      <c r="A64" s="45"/>
      <c r="B64" t="str">
        <f ca="1">IFERROR(__xludf.DUMMYFUNCTION("""COMPUTED_VALUE"""),"Michael Wilson")</f>
        <v>Michael Wilson</v>
      </c>
    </row>
    <row r="65" spans="1:2" ht="15">
      <c r="A65" s="45"/>
      <c r="B65" t="str">
        <f ca="1">IFERROR(__xludf.DUMMYFUNCTION("""COMPUTED_VALUE"""),"Jordan Addison")</f>
        <v>Jordan Addison</v>
      </c>
    </row>
    <row r="66" spans="1:2" ht="15">
      <c r="A66" s="45"/>
      <c r="B66" t="str">
        <f ca="1">IFERROR(__xludf.DUMMYFUNCTION("""COMPUTED_VALUE"""),"Zach Charbonnet")</f>
        <v>Zach Charbonnet</v>
      </c>
    </row>
    <row r="67" spans="1:2" ht="15">
      <c r="A67" s="45"/>
      <c r="B67" t="str">
        <f ca="1">IFERROR(__xludf.DUMMYFUNCTION("""COMPUTED_VALUE"""),"Chris Godwin Jr.")</f>
        <v>Chris Godwin Jr.</v>
      </c>
    </row>
    <row r="68" spans="1:2" ht="15">
      <c r="A68" s="45"/>
      <c r="B68" t="str">
        <f ca="1">IFERROR(__xludf.DUMMYFUNCTION("""COMPUTED_VALUE"""),"J.K. Dobbins")</f>
        <v>J.K. Dobbins</v>
      </c>
    </row>
    <row r="69" spans="1:2" ht="15">
      <c r="A69" s="45"/>
      <c r="B69" t="str">
        <f ca="1">IFERROR(__xludf.DUMMYFUNCTION("""COMPUTED_VALUE"""),"Dalton Kincaid")</f>
        <v>Dalton Kincaid</v>
      </c>
    </row>
    <row r="70" spans="1:2" ht="15">
      <c r="A70" s="45"/>
      <c r="B70" t="str">
        <f ca="1">IFERROR(__xludf.DUMMYFUNCTION("""COMPUTED_VALUE"""),"Jacory Croskey-Merritt")</f>
        <v>Jacory Croskey-Merritt</v>
      </c>
    </row>
    <row r="71" spans="1:2" ht="15">
      <c r="A71" s="45"/>
      <c r="B71" t="str">
        <f ca="1">IFERROR(__xludf.DUMMYFUNCTION("""COMPUTED_VALUE"""),"Bo Nix")</f>
        <v>Bo Nix</v>
      </c>
    </row>
    <row r="72" spans="1:2" ht="15">
      <c r="A72" s="45"/>
      <c r="B72" t="str">
        <f ca="1">IFERROR(__xludf.DUMMYFUNCTION("""COMPUTED_VALUE"""),"Matthew Stafford")</f>
        <v>Matthew Stafford</v>
      </c>
    </row>
    <row r="73" spans="1:2" ht="15">
      <c r="A73" s="45"/>
      <c r="B73" t="str">
        <f ca="1">IFERROR(__xludf.DUMMYFUNCTION("""COMPUTED_VALUE"""),"Ricky Pearsall")</f>
        <v>Ricky Pearsall</v>
      </c>
    </row>
    <row r="74" spans="1:2" ht="15">
      <c r="A74" s="45"/>
      <c r="B74" t="str">
        <f ca="1">IFERROR(__xludf.DUMMYFUNCTION("""COMPUTED_VALUE"""),"Parker Washington")</f>
        <v>Parker Washington</v>
      </c>
    </row>
    <row r="75" spans="1:2" ht="15">
      <c r="A75" s="45"/>
      <c r="B75" t="str">
        <f ca="1">IFERROR(__xludf.DUMMYFUNCTION("""COMPUTED_VALUE"""),"Quentin Johnston")</f>
        <v>Quentin Johnston</v>
      </c>
    </row>
    <row r="76" spans="1:2" ht="15">
      <c r="A76" s="45"/>
      <c r="B76" t="str">
        <f ca="1">IFERROR(__xludf.DUMMYFUNCTION("""COMPUTED_VALUE"""),"Oronde Gadsden II")</f>
        <v>Oronde Gadsden II</v>
      </c>
    </row>
    <row r="77" spans="1:2" ht="15">
      <c r="A77" s="45"/>
      <c r="B77" t="str">
        <f ca="1">IFERROR(__xludf.DUMMYFUNCTION("""COMPUTED_VALUE"""),"Michael Pittman Jr.")</f>
        <v>Michael Pittman Jr.</v>
      </c>
    </row>
    <row r="78" spans="1:2" ht="15">
      <c r="A78" s="45"/>
      <c r="B78" t="str">
        <f ca="1">IFERROR(__xludf.DUMMYFUNCTION("""COMPUTED_VALUE"""),"Woody Marks")</f>
        <v>Woody Marks</v>
      </c>
    </row>
    <row r="79" spans="1:2" ht="15">
      <c r="A79" s="45"/>
      <c r="B79" t="str">
        <f ca="1">IFERROR(__xludf.DUMMYFUNCTION("""COMPUTED_VALUE"""),"Jordan Love")</f>
        <v>Jordan Love</v>
      </c>
    </row>
    <row r="80" spans="1:2" ht="15">
      <c r="A80" s="45"/>
      <c r="B80" t="str">
        <f ca="1">IFERROR(__xludf.DUMMYFUNCTION("""COMPUTED_VALUE"""),"Brandon Aiyuk")</f>
        <v>Brandon Aiyuk</v>
      </c>
    </row>
    <row r="81" spans="1:2" ht="15">
      <c r="A81" s="45"/>
      <c r="B81" t="str">
        <f ca="1">IFERROR(__xludf.DUMMYFUNCTION("""COMPUTED_VALUE"""),"Jakobi Meyers")</f>
        <v>Jakobi Meyers</v>
      </c>
    </row>
    <row r="82" spans="1:2" ht="15">
      <c r="A82" s="45"/>
      <c r="B82" t="str">
        <f ca="1">IFERROR(__xludf.DUMMYFUNCTION("""COMPUTED_VALUE"""),"Jared Goff")</f>
        <v>Jared Goff</v>
      </c>
    </row>
    <row r="83" spans="1:2" ht="15">
      <c r="A83" s="45"/>
      <c r="B83" t="str">
        <f ca="1">IFERROR(__xludf.DUMMYFUNCTION("""COMPUTED_VALUE"""),"Aaron Jones Sr.")</f>
        <v>Aaron Jones Sr.</v>
      </c>
    </row>
    <row r="84" spans="1:2" ht="15">
      <c r="A84" s="45"/>
      <c r="B84" t="str">
        <f ca="1">IFERROR(__xludf.DUMMYFUNCTION("""COMPUTED_VALUE"""),"Jake Ferguson")</f>
        <v>Jake Ferguson</v>
      </c>
    </row>
    <row r="85" spans="1:2" ht="15">
      <c r="A85" s="45"/>
      <c r="B85" t="str">
        <f ca="1">IFERROR(__xludf.DUMMYFUNCTION("""COMPUTED_VALUE"""),"Wan'Dale Robinson")</f>
        <v>Wan'Dale Robinson</v>
      </c>
    </row>
    <row r="86" spans="1:2" ht="15">
      <c r="A86" s="45"/>
      <c r="B86" t="str">
        <f ca="1">IFERROR(__xludf.DUMMYFUNCTION("""COMPUTED_VALUE"""),"Denzel Boston")</f>
        <v>Denzel Boston</v>
      </c>
    </row>
    <row r="87" spans="1:2" ht="15">
      <c r="A87" s="45"/>
      <c r="B87" t="str">
        <f ca="1">IFERROR(__xludf.DUMMYFUNCTION("""COMPUTED_VALUE"""),"Jordan Mason")</f>
        <v>Jordan Mason</v>
      </c>
    </row>
    <row r="88" spans="1:2" ht="15">
      <c r="A88" s="45"/>
      <c r="B88" t="str">
        <f ca="1">IFERROR(__xludf.DUMMYFUNCTION("""COMPUTED_VALUE"""),"Juwan Johnson")</f>
        <v>Juwan Johnson</v>
      </c>
    </row>
    <row r="89" spans="1:2" ht="15">
      <c r="A89" s="45"/>
      <c r="B89" t="str">
        <f ca="1">IFERROR(__xludf.DUMMYFUNCTION("""COMPUTED_VALUE"""),"James Conner")</f>
        <v>James Conner</v>
      </c>
    </row>
    <row r="90" spans="1:2" ht="15">
      <c r="A90" s="45"/>
      <c r="B90" t="str">
        <f ca="1">IFERROR(__xludf.DUMMYFUNCTION("""COMPUTED_VALUE"""),"Jayden Higgins")</f>
        <v>Jayden Higgins</v>
      </c>
    </row>
    <row r="91" spans="1:2" ht="15">
      <c r="A91" s="45"/>
      <c r="B91" t="str">
        <f ca="1">IFERROR(__xludf.DUMMYFUNCTION("""COMPUTED_VALUE"""),"Jauan Jennings")</f>
        <v>Jauan Jennings</v>
      </c>
    </row>
    <row r="92" spans="1:2" ht="15">
      <c r="A92" s="45"/>
      <c r="B92" t="str">
        <f ca="1">IFERROR(__xludf.DUMMYFUNCTION("""COMPUTED_VALUE"""),"Malik Willis")</f>
        <v>Malik Willis</v>
      </c>
    </row>
    <row r="93" spans="1:2" ht="15">
      <c r="A93" s="45"/>
      <c r="B93" t="str">
        <f ca="1">IFERROR(__xludf.DUMMYFUNCTION("""COMPUTED_VALUE"""),"Brenton Strange")</f>
        <v>Brenton Strange</v>
      </c>
    </row>
    <row r="94" spans="1:2" ht="15">
      <c r="A94" s="45"/>
      <c r="B94" t="str">
        <f ca="1">IFERROR(__xludf.DUMMYFUNCTION("""COMPUTED_VALUE"""),"Tyler Shough")</f>
        <v>Tyler Shough</v>
      </c>
    </row>
    <row r="95" spans="1:2" ht="15">
      <c r="A95" s="45"/>
      <c r="B95" t="str">
        <f ca="1">IFERROR(__xludf.DUMMYFUNCTION("""COMPUTED_VALUE"""),"Kyler Murray")</f>
        <v>Kyler Murray</v>
      </c>
    </row>
    <row r="96" spans="1:2" ht="15">
      <c r="A96" s="45"/>
      <c r="B96" t="str">
        <f ca="1">IFERROR(__xludf.DUMMYFUNCTION("""COMPUTED_VALUE"""),"Baker Mayfield")</f>
        <v>Baker Mayfield</v>
      </c>
    </row>
    <row r="97" spans="1:2" ht="15">
      <c r="A97" s="45"/>
      <c r="B97" t="str">
        <f ca="1">IFERROR(__xludf.DUMMYFUNCTION("""COMPUTED_VALUE"""),"Travis Kelce")</f>
        <v>Travis Kelce</v>
      </c>
    </row>
    <row r="98" spans="1:2" ht="15">
      <c r="A98" s="45"/>
      <c r="B98" t="str">
        <f ca="1">IFERROR(__xludf.DUMMYFUNCTION("""COMPUTED_VALUE"""),"Dallas Goedert")</f>
        <v>Dallas Goedert</v>
      </c>
    </row>
    <row r="99" spans="1:2" ht="15">
      <c r="A99" s="45"/>
      <c r="B99" t="str">
        <f ca="1">IFERROR(__xludf.DUMMYFUNCTION("""COMPUTED_VALUE"""),"Jadarian Price")</f>
        <v>Jadarian Price</v>
      </c>
    </row>
    <row r="100" spans="1:2" ht="15">
      <c r="A100" s="45"/>
      <c r="B100" t="str">
        <f ca="1">IFERROR(__xludf.DUMMYFUNCTION("""COMPUTED_VALUE"""),"Braelon Allen")</f>
        <v>Braelon Allen</v>
      </c>
    </row>
    <row r="101" spans="1:2" ht="15">
      <c r="A101" s="45"/>
      <c r="B101" t="str">
        <f ca="1">IFERROR(__xludf.DUMMYFUNCTION("""COMPUTED_VALUE"""),"Jayden Reed")</f>
        <v>Jayden Reed</v>
      </c>
    </row>
    <row r="102" spans="1:2" ht="15">
      <c r="A102" s="45"/>
      <c r="B102" t="str">
        <f ca="1">IFERROR(__xludf.DUMMYFUNCTION("""COMPUTED_VALUE"""),"Kenneth Gainwell")</f>
        <v>Kenneth Gainwell</v>
      </c>
    </row>
    <row r="103" spans="1:2" ht="15">
      <c r="A103" s="45"/>
      <c r="B103" t="str">
        <f ca="1">IFERROR(__xludf.DUMMYFUNCTION("""COMPUTED_VALUE"""),"Romeo Doubs")</f>
        <v>Romeo Doubs</v>
      </c>
    </row>
    <row r="104" spans="1:2" ht="15">
      <c r="A104" s="45"/>
      <c r="B104" t="str">
        <f ca="1">IFERROR(__xludf.DUMMYFUNCTION("""COMPUTED_VALUE"""),"Tyrone Tracy Jr.")</f>
        <v>Tyrone Tracy Jr.</v>
      </c>
    </row>
    <row r="105" spans="1:2" ht="15">
      <c r="A105" s="45"/>
      <c r="B105" t="str">
        <f ca="1">IFERROR(__xludf.DUMMYFUNCTION("""COMPUTED_VALUE"""),"George Kittle")</f>
        <v>George Kittle</v>
      </c>
    </row>
    <row r="106" spans="1:2" ht="15">
      <c r="A106" s="45"/>
      <c r="B106" t="str">
        <f ca="1">IFERROR(__xludf.DUMMYFUNCTION("""COMPUTED_VALUE"""),"Hunter Henry")</f>
        <v>Hunter Henry</v>
      </c>
    </row>
    <row r="107" spans="1:2" ht="15">
      <c r="A107" s="45"/>
      <c r="B107" t="str">
        <f ca="1">IFERROR(__xludf.DUMMYFUNCTION("""COMPUTED_VALUE"""),"Xavier Worthy")</f>
        <v>Xavier Worthy</v>
      </c>
    </row>
    <row r="108" spans="1:2" ht="15">
      <c r="A108" s="45"/>
      <c r="B108" t="str">
        <f ca="1">IFERROR(__xludf.DUMMYFUNCTION("""COMPUTED_VALUE"""),"Khalil Shakir")</f>
        <v>Khalil Shakir</v>
      </c>
    </row>
    <row r="109" spans="1:2" ht="15">
      <c r="A109" s="45"/>
      <c r="B109" t="str">
        <f ca="1">IFERROR(__xludf.DUMMYFUNCTION("""COMPUTED_VALUE"""),"C.J. Stroud")</f>
        <v>C.J. Stroud</v>
      </c>
    </row>
    <row r="110" spans="1:2" ht="15">
      <c r="A110" s="45"/>
      <c r="B110" t="str">
        <f ca="1">IFERROR(__xludf.DUMMYFUNCTION("""COMPUTED_VALUE"""),"Josh Downs")</f>
        <v>Josh Downs</v>
      </c>
    </row>
    <row r="111" spans="1:2" ht="15">
      <c r="A111" s="45"/>
      <c r="B111" t="str">
        <f ca="1">IFERROR(__xludf.DUMMYFUNCTION("""COMPUTED_VALUE"""),"Emmett Johnson")</f>
        <v>Emmett Johnson</v>
      </c>
    </row>
    <row r="112" spans="1:2" ht="15">
      <c r="A112" s="45"/>
      <c r="B112" t="str">
        <f ca="1">IFERROR(__xludf.DUMMYFUNCTION("""COMPUTED_VALUE"""),"Rachaad White")</f>
        <v>Rachaad White</v>
      </c>
    </row>
    <row r="113" spans="1:2" ht="15">
      <c r="A113" s="45"/>
      <c r="B113" t="str">
        <f ca="1">IFERROR(__xludf.DUMMYFUNCTION("""COMPUTED_VALUE"""),"Stefon Diggs")</f>
        <v>Stefon Diggs</v>
      </c>
    </row>
    <row r="114" spans="1:2" ht="15">
      <c r="A114" s="45"/>
      <c r="B114" t="str">
        <f ca="1">IFERROR(__xludf.DUMMYFUNCTION("""COMPUTED_VALUE"""),"Alvin Kamara")</f>
        <v>Alvin Kamara</v>
      </c>
    </row>
    <row r="115" spans="1:2" ht="15">
      <c r="A115" s="45"/>
      <c r="B115" t="str">
        <f ca="1">IFERROR(__xludf.DUMMYFUNCTION("""COMPUTED_VALUE"""),"Tank Bigsby")</f>
        <v>Tank Bigsby</v>
      </c>
    </row>
    <row r="116" spans="1:2" ht="15">
      <c r="A116" s="45"/>
      <c r="B116" t="str">
        <f ca="1">IFERROR(__xludf.DUMMYFUNCTION("""COMPUTED_VALUE"""),"Sam Darnold")</f>
        <v>Sam Darnold</v>
      </c>
    </row>
    <row r="117" spans="1:2" ht="15">
      <c r="A117" s="45"/>
      <c r="B117" t="str">
        <f ca="1">IFERROR(__xludf.DUMMYFUNCTION("""COMPUTED_VALUE"""),"Houston Texans")</f>
        <v>Houston Texans</v>
      </c>
    </row>
    <row r="118" spans="1:2" ht="15">
      <c r="A118" s="45"/>
      <c r="B118" t="str">
        <f ca="1">IFERROR(__xludf.DUMMYFUNCTION("""COMPUTED_VALUE"""),"Jonathon Brooks")</f>
        <v>Jonathon Brooks</v>
      </c>
    </row>
    <row r="119" spans="1:2" ht="15">
      <c r="A119" s="45"/>
      <c r="B119" t="str">
        <f ca="1">IFERROR(__xludf.DUMMYFUNCTION("""COMPUTED_VALUE"""),"Isiah Pacheco")</f>
        <v>Isiah Pacheco</v>
      </c>
    </row>
    <row r="120" spans="1:2" ht="15">
      <c r="A120" s="45"/>
      <c r="B120" t="str">
        <f ca="1">IFERROR(__xludf.DUMMYFUNCTION("""COMPUTED_VALUE"""),"Dylan Sampson")</f>
        <v>Dylan Sampson</v>
      </c>
    </row>
    <row r="121" spans="1:2" ht="15">
      <c r="A121" s="45"/>
      <c r="B121" t="str">
        <f ca="1">IFERROR(__xludf.DUMMYFUNCTION("""COMPUTED_VALUE"""),"Tyreek Hill")</f>
        <v>Tyreek Hill</v>
      </c>
    </row>
    <row r="122" spans="1:2" ht="15">
      <c r="A122" s="45"/>
      <c r="B122" t="str">
        <f ca="1">IFERROR(__xludf.DUMMYFUNCTION("""COMPUTED_VALUE"""),"Chris Rodriguez Jr.")</f>
        <v>Chris Rodriguez Jr.</v>
      </c>
    </row>
    <row r="123" spans="1:2" ht="15">
      <c r="A123" s="45"/>
      <c r="B123" t="str">
        <f ca="1">IFERROR(__xludf.DUMMYFUNCTION("""COMPUTED_VALUE"""),"Jalen Coker")</f>
        <v>Jalen Coker</v>
      </c>
    </row>
    <row r="124" spans="1:2" ht="15">
      <c r="A124" s="45"/>
      <c r="B124" t="str">
        <f ca="1">IFERROR(__xludf.DUMMYFUNCTION("""COMPUTED_VALUE"""),"Deebo Samuel Sr.")</f>
        <v>Deebo Samuel Sr.</v>
      </c>
    </row>
    <row r="125" spans="1:2" ht="15">
      <c r="A125" s="45"/>
      <c r="B125" t="str">
        <f ca="1">IFERROR(__xludf.DUMMYFUNCTION("""COMPUTED_VALUE"""),"Omar Cooper Jr.")</f>
        <v>Omar Cooper Jr.</v>
      </c>
    </row>
    <row r="126" spans="1:2" ht="15">
      <c r="A126" s="45"/>
      <c r="B126" t="str">
        <f ca="1">IFERROR(__xludf.DUMMYFUNCTION("""COMPUTED_VALUE"""),"Isaiah Likely")</f>
        <v>Isaiah Likely</v>
      </c>
    </row>
    <row r="127" spans="1:2" ht="15">
      <c r="A127" s="45"/>
      <c r="B127" t="str">
        <f ca="1">IFERROR(__xludf.DUMMYFUNCTION("""COMPUTED_VALUE"""),"Mark Andrews")</f>
        <v>Mark Andrews</v>
      </c>
    </row>
    <row r="128" spans="1:2" ht="15">
      <c r="A128" s="45"/>
      <c r="B128" t="str">
        <f ca="1">IFERROR(__xludf.DUMMYFUNCTION("""COMPUTED_VALUE"""),"Kenyon Sadiq")</f>
        <v>Kenyon Sadiq</v>
      </c>
    </row>
    <row r="129" spans="1:2" ht="15">
      <c r="A129" s="45"/>
      <c r="B129" t="str">
        <f ca="1">IFERROR(__xludf.DUMMYFUNCTION("""COMPUTED_VALUE"""),"Cam Ward")</f>
        <v>Cam Ward</v>
      </c>
    </row>
    <row r="130" spans="1:2" ht="15">
      <c r="A130" s="45"/>
      <c r="B130" t="str">
        <f ca="1">IFERROR(__xludf.DUMMYFUNCTION("""COMPUTED_VALUE"""),"Kayshon Boutte")</f>
        <v>Kayshon Boutte</v>
      </c>
    </row>
    <row r="131" spans="1:2" ht="15">
      <c r="A131" s="45"/>
      <c r="B131" t="str">
        <f ca="1">IFERROR(__xludf.DUMMYFUNCTION("""COMPUTED_VALUE"""),"Denver Broncos")</f>
        <v>Denver Broncos</v>
      </c>
    </row>
    <row r="132" spans="1:2" ht="15">
      <c r="A132" s="45"/>
      <c r="B132" t="str">
        <f ca="1">IFERROR(__xludf.DUMMYFUNCTION("""COMPUTED_VALUE"""),"Jonah Coleman")</f>
        <v>Jonah Coleman</v>
      </c>
    </row>
    <row r="133" spans="1:2" ht="15">
      <c r="A133" s="45"/>
      <c r="B133" t="str">
        <f ca="1">IFERROR(__xludf.DUMMYFUNCTION("""COMPUTED_VALUE"""),"Tyjae Spears")</f>
        <v>Tyjae Spears</v>
      </c>
    </row>
    <row r="134" spans="1:2" ht="15">
      <c r="A134" s="45"/>
      <c r="B134" t="str">
        <f ca="1">IFERROR(__xludf.DUMMYFUNCTION("""COMPUTED_VALUE"""),"Seattle Seahawks")</f>
        <v>Seattle Seahawks</v>
      </c>
    </row>
    <row r="135" spans="1:2" ht="15">
      <c r="A135" s="45"/>
      <c r="B135" t="str">
        <f ca="1">IFERROR(__xludf.DUMMYFUNCTION("""COMPUTED_VALUE"""),"Keaton Mitchell")</f>
        <v>Keaton Mitchell</v>
      </c>
    </row>
    <row r="136" spans="1:2" ht="15">
      <c r="A136" s="45"/>
      <c r="B136" t="str">
        <f ca="1">IFERROR(__xludf.DUMMYFUNCTION("""COMPUTED_VALUE"""),"Adonai Mitchell")</f>
        <v>Adonai Mitchell</v>
      </c>
    </row>
    <row r="137" spans="1:2" ht="15">
      <c r="A137" s="45"/>
      <c r="B137" t="str">
        <f ca="1">IFERROR(__xludf.DUMMYFUNCTION("""COMPUTED_VALUE"""),"Brian Robinson Jr.")</f>
        <v>Brian Robinson Jr.</v>
      </c>
    </row>
    <row r="138" spans="1:2" ht="15">
      <c r="A138" s="45"/>
      <c r="B138" t="str">
        <f ca="1">IFERROR(__xludf.DUMMYFUNCTION("""COMPUTED_VALUE"""),"Philadelphia Eagles")</f>
        <v>Philadelphia Eagles</v>
      </c>
    </row>
    <row r="139" spans="1:2" ht="15">
      <c r="A139" s="45"/>
      <c r="B139" t="str">
        <f ca="1">IFERROR(__xludf.DUMMYFUNCTION("""COMPUTED_VALUE"""),"Bryce Young")</f>
        <v>Bryce Young</v>
      </c>
    </row>
    <row r="140" spans="1:2" ht="15">
      <c r="A140" s="45"/>
      <c r="B140" t="str">
        <f ca="1">IFERROR(__xludf.DUMMYFUNCTION("""COMPUTED_VALUE"""),"Los Angeles Rams")</f>
        <v>Los Angeles Rams</v>
      </c>
    </row>
    <row r="141" spans="1:2" ht="15">
      <c r="A141" s="45"/>
      <c r="B141" t="str">
        <f ca="1">IFERROR(__xludf.DUMMYFUNCTION("""COMPUTED_VALUE"""),"Trey Benson")</f>
        <v>Trey Benson</v>
      </c>
    </row>
    <row r="142" spans="1:2" ht="15">
      <c r="A142" s="45"/>
      <c r="B142" t="str">
        <f ca="1">IFERROR(__xludf.DUMMYFUNCTION("""COMPUTED_VALUE"""),"Jerry Jeudy")</f>
        <v>Jerry Jeudy</v>
      </c>
    </row>
    <row r="143" spans="1:2" ht="15">
      <c r="A143" s="45"/>
      <c r="B143" t="str">
        <f ca="1">IFERROR(__xludf.DUMMYFUNCTION("""COMPUTED_VALUE"""),"Dalton Schultz")</f>
        <v>Dalton Schultz</v>
      </c>
    </row>
    <row r="144" spans="1:2" ht="15">
      <c r="A144" s="45"/>
      <c r="B144" t="str">
        <f ca="1">IFERROR(__xludf.DUMMYFUNCTION("""COMPUTED_VALUE"""),"Mike Washington Jr.")</f>
        <v>Mike Washington Jr.</v>
      </c>
    </row>
    <row r="145" spans="1:2" ht="15">
      <c r="A145" s="45"/>
      <c r="B145" t="str">
        <f ca="1">IFERROR(__xludf.DUMMYFUNCTION("""COMPUTED_VALUE"""),"Rashid Shaheed")</f>
        <v>Rashid Shaheed</v>
      </c>
    </row>
    <row r="146" spans="1:2" ht="15">
      <c r="A146" s="45"/>
      <c r="B146" t="str">
        <f ca="1">IFERROR(__xludf.DUMMYFUNCTION("""COMPUTED_VALUE"""),"Troy Franklin")</f>
        <v>Troy Franklin</v>
      </c>
    </row>
    <row r="147" spans="1:2" ht="15">
      <c r="A147" s="45"/>
      <c r="B147" t="str">
        <f ca="1">IFERROR(__xludf.DUMMYFUNCTION("""COMPUTED_VALUE"""),"Kimani Vidal")</f>
        <v>Kimani Vidal</v>
      </c>
    </row>
    <row r="148" spans="1:2" ht="15">
      <c r="A148" s="45"/>
      <c r="B148" t="str">
        <f ca="1">IFERROR(__xludf.DUMMYFUNCTION("""COMPUTED_VALUE"""),"Isaac TeSlaa")</f>
        <v>Isaac TeSlaa</v>
      </c>
    </row>
    <row r="149" spans="1:2" ht="15">
      <c r="A149" s="45"/>
      <c r="B149" t="str">
        <f ca="1">IFERROR(__xludf.DUMMYFUNCTION("""COMPUTED_VALUE"""),"Tank Dell")</f>
        <v>Tank Dell</v>
      </c>
    </row>
    <row r="150" spans="1:2" ht="15">
      <c r="A150" s="45"/>
      <c r="B150" t="str">
        <f ca="1">IFERROR(__xludf.DUMMYFUNCTION("""COMPUTED_VALUE"""),"Minnesota Vikings")</f>
        <v>Minnesota Vikings</v>
      </c>
    </row>
    <row r="151" spans="1:2" ht="15">
      <c r="A151" s="45"/>
      <c r="B151" t="str">
        <f ca="1">IFERROR(__xludf.DUMMYFUNCTION("""COMPUTED_VALUE"""),"Travis Hunter")</f>
        <v>Travis Hunter</v>
      </c>
    </row>
    <row r="152" spans="1:2" ht="15">
      <c r="A152" s="45"/>
      <c r="B152" t="str">
        <f ca="1">IFERROR(__xludf.DUMMYFUNCTION("""COMPUTED_VALUE"""),"Matthew Golden")</f>
        <v>Matthew Golden</v>
      </c>
    </row>
    <row r="153" spans="1:2" ht="15">
      <c r="A153" s="45"/>
      <c r="B153" t="str">
        <f ca="1">IFERROR(__xludf.DUMMYFUNCTION("""COMPUTED_VALUE"""),"New England Patriots")</f>
        <v>New England Patriots</v>
      </c>
    </row>
    <row r="154" spans="1:2" ht="15">
      <c r="A154" s="45"/>
      <c r="B154" t="str">
        <f ca="1">IFERROR(__xludf.DUMMYFUNCTION("""COMPUTED_VALUE"""),"Jacksonville Jaguars")</f>
        <v>Jacksonville Jaguars</v>
      </c>
    </row>
    <row r="155" spans="1:2" ht="15">
      <c r="A155" s="45"/>
      <c r="B155" t="str">
        <f ca="1">IFERROR(__xludf.DUMMYFUNCTION("""COMPUTED_VALUE"""),"Brandon Aubrey")</f>
        <v>Brandon Aubrey</v>
      </c>
    </row>
    <row r="156" spans="1:2" ht="15">
      <c r="A156" s="45"/>
      <c r="B156" t="str">
        <f ca="1">IFERROR(__xludf.DUMMYFUNCTION("""COMPUTED_VALUE"""),"Chimere Dike")</f>
        <v>Chimere Dike</v>
      </c>
    </row>
    <row r="157" spans="1:2" ht="15">
      <c r="A157" s="45"/>
      <c r="B157" t="str">
        <f ca="1">IFERROR(__xludf.DUMMYFUNCTION("""COMPUTED_VALUE"""),"Los Angeles Chargers")</f>
        <v>Los Angeles Chargers</v>
      </c>
    </row>
    <row r="158" spans="1:2" ht="15">
      <c r="A158" s="45"/>
      <c r="B158" t="str">
        <f ca="1">IFERROR(__xludf.DUMMYFUNCTION("""COMPUTED_VALUE"""),"Sean Tucker")</f>
        <v>Sean Tucker</v>
      </c>
    </row>
    <row r="159" spans="1:2" ht="15">
      <c r="A159" s="45"/>
      <c r="B159" t="str">
        <f ca="1">IFERROR(__xludf.DUMMYFUNCTION("""COMPUTED_VALUE"""),"Green Bay Packers")</f>
        <v>Green Bay Packers</v>
      </c>
    </row>
    <row r="160" spans="1:2" ht="15">
      <c r="A160" s="45"/>
      <c r="B160" t="str">
        <f ca="1">IFERROR(__xludf.DUMMYFUNCTION("""COMPUTED_VALUE"""),"K.C. Concepcion")</f>
        <v>K.C. Concepcion</v>
      </c>
    </row>
    <row r="161" spans="1:2" ht="15">
      <c r="A161" s="45"/>
      <c r="B161" t="str">
        <f ca="1">IFERROR(__xludf.DUMMYFUNCTION("""COMPUTED_VALUE"""),"Pittsburgh Steelers")</f>
        <v>Pittsburgh Steelers</v>
      </c>
    </row>
    <row r="162" spans="1:2" ht="15">
      <c r="A162" s="45"/>
      <c r="B162" t="str">
        <f ca="1">IFERROR(__xludf.DUMMYFUNCTION("""COMPUTED_VALUE"""),"Ka'imi Fairbairn")</f>
        <v>Ka'imi Fairbairn</v>
      </c>
    </row>
    <row r="163" spans="1:2" ht="15">
      <c r="A163" s="45"/>
      <c r="B163" t="str">
        <f ca="1">IFERROR(__xludf.DUMMYFUNCTION("""COMPUTED_VALUE"""),"Emanuel Wilson")</f>
        <v>Emanuel Wilson</v>
      </c>
    </row>
    <row r="164" spans="1:2" ht="15">
      <c r="A164" s="45"/>
      <c r="B164" t="str">
        <f ca="1">IFERROR(__xludf.DUMMYFUNCTION("""COMPUTED_VALUE"""),"Cam Little")</f>
        <v>Cam Little</v>
      </c>
    </row>
    <row r="165" spans="1:2" ht="15">
      <c r="A165" s="45"/>
      <c r="B165" t="str">
        <f ca="1">IFERROR(__xludf.DUMMYFUNCTION("""COMPUTED_VALUE"""),"Jaylen Wright")</f>
        <v>Jaylen Wright</v>
      </c>
    </row>
    <row r="166" spans="1:2" ht="15">
      <c r="A166" s="45"/>
      <c r="B166" t="str">
        <f ca="1">IFERROR(__xludf.DUMMYFUNCTION("""COMPUTED_VALUE"""),"Elic Ayomanor")</f>
        <v>Elic Ayomanor</v>
      </c>
    </row>
    <row r="167" spans="1:2" ht="15">
      <c r="A167" s="45"/>
      <c r="B167" t="str">
        <f ca="1">IFERROR(__xludf.DUMMYFUNCTION("""COMPUTED_VALUE"""),"Cameron Dicker")</f>
        <v>Cameron Dicker</v>
      </c>
    </row>
    <row r="168" spans="1:2" ht="15">
      <c r="A168" s="45"/>
      <c r="B168" t="str">
        <f ca="1">IFERROR(__xludf.DUMMYFUNCTION("""COMPUTED_VALUE"""),"Terrance Ferguson")</f>
        <v>Terrance Ferguson</v>
      </c>
    </row>
    <row r="169" spans="1:2" ht="15">
      <c r="A169" s="45"/>
      <c r="B169" t="str">
        <f ca="1">IFERROR(__xludf.DUMMYFUNCTION("""COMPUTED_VALUE"""),"Cleveland Browns")</f>
        <v>Cleveland Browns</v>
      </c>
    </row>
    <row r="170" spans="1:2" ht="15">
      <c r="A170" s="45"/>
      <c r="B170" t="str">
        <f ca="1">IFERROR(__xludf.DUMMYFUNCTION("""COMPUTED_VALUE"""),"Jaylin Noel")</f>
        <v>Jaylin Noel</v>
      </c>
    </row>
    <row r="171" spans="1:2" ht="15">
      <c r="A171" s="45"/>
      <c r="B171" t="str">
        <f ca="1">IFERROR(__xludf.DUMMYFUNCTION("""COMPUTED_VALUE"""),"AJ Barner")</f>
        <v>AJ Barner</v>
      </c>
    </row>
    <row r="172" spans="1:2" ht="15">
      <c r="A172" s="45"/>
      <c r="B172" t="str">
        <f ca="1">IFERROR(__xludf.DUMMYFUNCTION("""COMPUTED_VALUE"""),"Kyle Williams")</f>
        <v>Kyle Williams</v>
      </c>
    </row>
    <row r="173" spans="1:2" ht="15">
      <c r="A173" s="45"/>
      <c r="B173" t="str">
        <f ca="1">IFERROR(__xludf.DUMMYFUNCTION("""COMPUTED_VALUE"""),"Daniel Jones")</f>
        <v>Daniel Jones</v>
      </c>
    </row>
    <row r="174" spans="1:2" ht="15">
      <c r="A174" s="45"/>
      <c r="B174" t="str">
        <f ca="1">IFERROR(__xludf.DUMMYFUNCTION("""COMPUTED_VALUE"""),"Jalen McMillan")</f>
        <v>Jalen McMillan</v>
      </c>
    </row>
    <row r="175" spans="1:2" ht="15">
      <c r="A175" s="45"/>
      <c r="B175" t="str">
        <f ca="1">IFERROR(__xludf.DUMMYFUNCTION("""COMPUTED_VALUE"""),"Jason Myers")</f>
        <v>Jason Myers</v>
      </c>
    </row>
    <row r="176" spans="1:2" ht="15">
      <c r="A176" s="45"/>
      <c r="B176" t="str">
        <f ca="1">IFERROR(__xludf.DUMMYFUNCTION("""COMPUTED_VALUE"""),"Tyler Loop")</f>
        <v>Tyler Loop</v>
      </c>
    </row>
    <row r="177" spans="1:2" ht="15">
      <c r="A177" s="45"/>
      <c r="B177" t="str">
        <f ca="1">IFERROR(__xludf.DUMMYFUNCTION("""COMPUTED_VALUE"""),"Kaleb Johnson")</f>
        <v>Kaleb Johnson</v>
      </c>
    </row>
    <row r="178" spans="1:2" ht="15">
      <c r="A178" s="45"/>
      <c r="B178" t="str">
        <f ca="1">IFERROR(__xludf.DUMMYFUNCTION("""COMPUTED_VALUE"""),"Evan McPherson")</f>
        <v>Evan McPherson</v>
      </c>
    </row>
    <row r="179" spans="1:2" ht="15">
      <c r="A179" s="45"/>
      <c r="B179" t="str">
        <f ca="1">IFERROR(__xludf.DUMMYFUNCTION("""COMPUTED_VALUE"""),"Tre Tucker")</f>
        <v>Tre Tucker</v>
      </c>
    </row>
    <row r="180" spans="1:2" ht="15">
      <c r="A180" s="45"/>
      <c r="B180" t="str">
        <f ca="1">IFERROR(__xludf.DUMMYFUNCTION("""COMPUTED_VALUE"""),"Tre Harris")</f>
        <v>Tre Harris</v>
      </c>
    </row>
    <row r="181" spans="1:2" ht="15">
      <c r="A181" s="45"/>
      <c r="B181" t="str">
        <f ca="1">IFERROR(__xludf.DUMMYFUNCTION("""COMPUTED_VALUE"""),"Ray Davis")</f>
        <v>Ray Davis</v>
      </c>
    </row>
    <row r="182" spans="1:2" ht="15">
      <c r="A182" s="45"/>
      <c r="B182" t="str">
        <f ca="1">IFERROR(__xludf.DUMMYFUNCTION("""COMPUTED_VALUE"""),"Jacoby Brissett")</f>
        <v>Jacoby Brissett</v>
      </c>
    </row>
    <row r="183" spans="1:2" ht="15">
      <c r="A183" s="45"/>
      <c r="B183" t="str">
        <f ca="1">IFERROR(__xludf.DUMMYFUNCTION("""COMPUTED_VALUE"""),"Kansas City Chiefs")</f>
        <v>Kansas City Chiefs</v>
      </c>
    </row>
    <row r="184" spans="1:2" ht="15">
      <c r="A184" s="45"/>
      <c r="B184" t="str">
        <f ca="1">IFERROR(__xludf.DUMMYFUNCTION("""COMPUTED_VALUE"""),"Andy Borregales")</f>
        <v>Andy Borregales</v>
      </c>
    </row>
    <row r="185" spans="1:2" ht="15">
      <c r="A185" s="45"/>
      <c r="B185" t="str">
        <f ca="1">IFERROR(__xludf.DUMMYFUNCTION("""COMPUTED_VALUE"""),"Chris Brazzell II")</f>
        <v>Chris Brazzell II</v>
      </c>
    </row>
    <row r="186" spans="1:2" ht="15">
      <c r="A186" s="45"/>
      <c r="B186" t="str">
        <f ca="1">IFERROR(__xludf.DUMMYFUNCTION("""COMPUTED_VALUE"""),"Eddy Pineiro")</f>
        <v>Eddy Pineiro</v>
      </c>
    </row>
    <row r="187" spans="1:2" ht="15">
      <c r="A187" s="45"/>
      <c r="B187" t="str">
        <f ca="1">IFERROR(__xludf.DUMMYFUNCTION("""COMPUTED_VALUE"""),"Nicholas Singleton")</f>
        <v>Nicholas Singleton</v>
      </c>
    </row>
    <row r="188" spans="1:2" ht="15">
      <c r="A188" s="45"/>
      <c r="B188" t="str">
        <f ca="1">IFERROR(__xludf.DUMMYFUNCTION("""COMPUTED_VALUE"""),"T.J. Hockenson")</f>
        <v>T.J. Hockenson</v>
      </c>
    </row>
    <row r="189" spans="1:2" ht="15">
      <c r="A189" s="45"/>
      <c r="B189" t="str">
        <f ca="1">IFERROR(__xludf.DUMMYFUNCTION("""COMPUTED_VALUE"""),"Kaytron Allen")</f>
        <v>Kaytron Allen</v>
      </c>
    </row>
    <row r="190" spans="1:2" ht="15">
      <c r="A190" s="45"/>
      <c r="B190" t="str">
        <f ca="1">IFERROR(__xludf.DUMMYFUNCTION("""COMPUTED_VALUE"""),"Chase McLaughlin")</f>
        <v>Chase McLaughlin</v>
      </c>
    </row>
    <row r="191" spans="1:2" ht="15">
      <c r="A191" s="45"/>
      <c r="B191" t="str">
        <f ca="1">IFERROR(__xludf.DUMMYFUNCTION("""COMPUTED_VALUE"""),"Detroit Lions")</f>
        <v>Detroit Lions</v>
      </c>
    </row>
    <row r="192" spans="1:2" ht="15">
      <c r="A192" s="45"/>
      <c r="B192" t="str">
        <f ca="1">IFERROR(__xludf.DUMMYFUNCTION("""COMPUTED_VALUE"""),"Ryan Flournoy")</f>
        <v>Ryan Flournoy</v>
      </c>
    </row>
    <row r="193" spans="1:2" ht="15">
      <c r="A193" s="45"/>
      <c r="B193" t="str">
        <f ca="1">IFERROR(__xludf.DUMMYFUNCTION("""COMPUTED_VALUE"""),"Joe Mixon")</f>
        <v>Joe Mixon</v>
      </c>
    </row>
    <row r="194" spans="1:2" ht="15">
      <c r="A194" s="45"/>
      <c r="B194" t="str">
        <f ca="1">IFERROR(__xludf.DUMMYFUNCTION("""COMPUTED_VALUE"""),"Buffalo Bills")</f>
        <v>Buffalo Bills</v>
      </c>
    </row>
    <row r="195" spans="1:2" ht="15">
      <c r="A195" s="45"/>
      <c r="B195" t="str">
        <f ca="1">IFERROR(__xludf.DUMMYFUNCTION("""COMPUTED_VALUE"""),"Tory Horton")</f>
        <v>Tory Horton</v>
      </c>
    </row>
    <row r="196" spans="1:2" ht="15">
      <c r="A196" s="45"/>
      <c r="B196" t="str">
        <f ca="1">IFERROR(__xludf.DUMMYFUNCTION("""COMPUTED_VALUE"""),"Pat Bryant")</f>
        <v>Pat Bryant</v>
      </c>
    </row>
    <row r="197" spans="1:2" ht="15">
      <c r="A197" s="45"/>
      <c r="B197" t="str">
        <f ca="1">IFERROR(__xludf.DUMMYFUNCTION("""COMPUTED_VALUE"""),"Eli Stowers")</f>
        <v>Eli Stowers</v>
      </c>
    </row>
    <row r="198" spans="1:2" ht="15">
      <c r="A198" s="45"/>
      <c r="B198" t="str">
        <f ca="1">IFERROR(__xludf.DUMMYFUNCTION("""COMPUTED_VALUE"""),"Kendre Miller")</f>
        <v>Kendre Miller</v>
      </c>
    </row>
    <row r="199" spans="1:2" ht="15">
      <c r="A199" s="45"/>
      <c r="B199" t="str">
        <f ca="1">IFERROR(__xludf.DUMMYFUNCTION("""COMPUTED_VALUE"""),"Theo Johnson")</f>
        <v>Theo Johnson</v>
      </c>
    </row>
    <row r="200" spans="1:2" ht="15">
      <c r="A200" s="45"/>
      <c r="B200" t="str">
        <f ca="1">IFERROR(__xludf.DUMMYFUNCTION("""COMPUTED_VALUE"""),"Calvin Ridley")</f>
        <v>Calvin Ridley</v>
      </c>
    </row>
    <row r="201" spans="1:2" ht="15">
      <c r="A201" s="45"/>
      <c r="B201" t="str">
        <f ca="1">IFERROR(__xludf.DUMMYFUNCTION("""COMPUTED_VALUE"""),"Baltimore Ravens")</f>
        <v>Baltimore Ravens</v>
      </c>
    </row>
    <row r="202" spans="1:2" ht="15">
      <c r="A202" s="45"/>
      <c r="B202" t="str">
        <f ca="1">IFERROR(__xludf.DUMMYFUNCTION("""COMPUTED_VALUE"""),"Cairo Santos")</f>
        <v>Cairo Santos</v>
      </c>
    </row>
    <row r="203" spans="1:2" ht="15">
      <c r="A203" s="45"/>
      <c r="B203" t="str">
        <f ca="1">IFERROR(__xludf.DUMMYFUNCTION("""COMPUTED_VALUE"""),"Ollie Gordon II")</f>
        <v>Ollie Gordon II</v>
      </c>
    </row>
    <row r="204" spans="1:2" ht="15">
      <c r="A204" s="45"/>
      <c r="B204" t="str">
        <f ca="1">IFERROR(__xludf.DUMMYFUNCTION("""COMPUTED_VALUE"""),"Devin Neal")</f>
        <v>Devin Neal</v>
      </c>
    </row>
    <row r="205" spans="1:2" ht="15">
      <c r="A205" s="45"/>
      <c r="B205" t="str">
        <f ca="1">IFERROR(__xludf.DUMMYFUNCTION("""COMPUTED_VALUE"""),"Fernando Mendoza")</f>
        <v>Fernando Mendoza</v>
      </c>
    </row>
    <row r="206" spans="1:2" ht="15">
      <c r="A206" s="45"/>
      <c r="B206" t="str">
        <f ca="1">IFERROR(__xludf.DUMMYFUNCTION("""COMPUTED_VALUE"""),"Darnell Mooney")</f>
        <v>Darnell Mooney</v>
      </c>
    </row>
    <row r="207" spans="1:2" ht="15">
      <c r="A207" s="45"/>
      <c r="B207" t="str">
        <f ca="1">IFERROR(__xludf.DUMMYFUNCTION("""COMPUTED_VALUE"""),"Rashod Bateman")</f>
        <v>Rashod Bateman</v>
      </c>
    </row>
    <row r="208" spans="1:2" ht="15">
      <c r="A208" s="45"/>
      <c r="B208" t="str">
        <f ca="1">IFERROR(__xludf.DUMMYFUNCTION("""COMPUTED_VALUE"""),"Elijah Sarratt")</f>
        <v>Elijah Sarratt</v>
      </c>
    </row>
    <row r="209" spans="1:2" ht="15">
      <c r="A209" s="45"/>
      <c r="B209" t="str">
        <f ca="1">IFERROR(__xludf.DUMMYFUNCTION("""COMPUTED_VALUE"""),"David Njoku")</f>
        <v>David Njoku</v>
      </c>
    </row>
    <row r="210" spans="1:2" ht="15">
      <c r="A210" s="45"/>
      <c r="B210" t="str">
        <f ca="1">IFERROR(__xludf.DUMMYFUNCTION("""COMPUTED_VALUE"""),"Marvin Mims Jr.")</f>
        <v>Marvin Mims Jr.</v>
      </c>
    </row>
    <row r="211" spans="1:2" ht="15">
      <c r="A211" s="45"/>
      <c r="B211" t="str">
        <f ca="1">IFERROR(__xludf.DUMMYFUNCTION("""COMPUTED_VALUE"""),"Jake Bates")</f>
        <v>Jake Bates</v>
      </c>
    </row>
    <row r="212" spans="1:2" ht="15">
      <c r="A212" s="45"/>
      <c r="B212" t="str">
        <f ca="1">IFERROR(__xludf.DUMMYFUNCTION("""COMPUTED_VALUE"""),"Mason Taylor")</f>
        <v>Mason Taylor</v>
      </c>
    </row>
    <row r="213" spans="1:2" ht="15">
      <c r="A213" s="45"/>
      <c r="B213" t="str">
        <f ca="1">IFERROR(__xludf.DUMMYFUNCTION("""COMPUTED_VALUE"""),"Keon Coleman")</f>
        <v>Keon Coleman</v>
      </c>
    </row>
    <row r="214" spans="1:2" ht="15">
      <c r="A214" s="45"/>
      <c r="B214" t="str">
        <f ca="1">IFERROR(__xludf.DUMMYFUNCTION("""COMPUTED_VALUE"""),"Chig Okonkwo")</f>
        <v>Chig Okonkwo</v>
      </c>
    </row>
    <row r="215" spans="1:2" ht="15">
      <c r="A215" s="45"/>
      <c r="B215" t="str">
        <f ca="1">IFERROR(__xludf.DUMMYFUNCTION("""COMPUTED_VALUE"""),"Xavier Legette")</f>
        <v>Xavier Legette</v>
      </c>
    </row>
    <row r="216" spans="1:2" ht="15">
      <c r="A216" s="45"/>
      <c r="B216" t="str">
        <f ca="1">IFERROR(__xludf.DUMMYFUNCTION("""COMPUTED_VALUE"""),"Harrison Mevis")</f>
        <v>Harrison Mevis</v>
      </c>
    </row>
    <row r="217" spans="1:2" ht="15">
      <c r="A217" s="45"/>
      <c r="B217" t="str">
        <f ca="1">IFERROR(__xludf.DUMMYFUNCTION("""COMPUTED_VALUE"""),"Dontayvion Wicks")</f>
        <v>Dontayvion Wicks</v>
      </c>
    </row>
    <row r="218" spans="1:2" ht="15">
      <c r="A218" s="45"/>
      <c r="B218" t="str">
        <f ca="1">IFERROR(__xludf.DUMMYFUNCTION("""COMPUTED_VALUE"""),"Mack Hollins")</f>
        <v>Mack Hollins</v>
      </c>
    </row>
    <row r="219" spans="1:2" ht="15">
      <c r="A219" s="45"/>
      <c r="B219" t="str">
        <f ca="1">IFERROR(__xludf.DUMMYFUNCTION("""COMPUTED_VALUE"""),"Isaiah Davis")</f>
        <v>Isaiah Davis</v>
      </c>
    </row>
    <row r="220" spans="1:2" ht="15">
      <c r="A220" s="45"/>
      <c r="B220" t="str">
        <f ca="1">IFERROR(__xludf.DUMMYFUNCTION("""COMPUTED_VALUE"""),"Colby Parkinson")</f>
        <v>Colby Parkinson</v>
      </c>
    </row>
    <row r="221" spans="1:2" ht="15">
      <c r="A221" s="45"/>
      <c r="B221" t="str">
        <f ca="1">IFERROR(__xludf.DUMMYFUNCTION("""COMPUTED_VALUE"""),"George Holani")</f>
        <v>George Holani</v>
      </c>
    </row>
    <row r="222" spans="1:2" ht="15">
      <c r="A222" s="45"/>
      <c r="B222" t="str">
        <f ca="1">IFERROR(__xludf.DUMMYFUNCTION("""COMPUTED_VALUE"""),"Najee Harris")</f>
        <v>Najee Harris</v>
      </c>
    </row>
    <row r="223" spans="1:2" ht="15">
      <c r="A223" s="45"/>
      <c r="B223" t="str">
        <f ca="1">IFERROR(__xludf.DUMMYFUNCTION("""COMPUTED_VALUE"""),"Chris Boswell")</f>
        <v>Chris Boswell</v>
      </c>
    </row>
    <row r="224" spans="1:2" ht="15">
      <c r="A224" s="45"/>
      <c r="B224" t="str">
        <f ca="1">IFERROR(__xludf.DUMMYFUNCTION("""COMPUTED_VALUE"""),"Pat Freiermuth")</f>
        <v>Pat Freiermuth</v>
      </c>
    </row>
    <row r="225" spans="1:2" ht="15">
      <c r="A225" s="45"/>
      <c r="B225" t="str">
        <f ca="1">IFERROR(__xludf.DUMMYFUNCTION("""COMPUTED_VALUE"""),"Malachi Fields")</f>
        <v>Malachi Fields</v>
      </c>
    </row>
    <row r="226" spans="1:2" ht="15">
      <c r="A226" s="45"/>
      <c r="B226" t="str">
        <f ca="1">IFERROR(__xludf.DUMMYFUNCTION("""COMPUTED_VALUE"""),"Harrison Butker")</f>
        <v>Harrison Butker</v>
      </c>
    </row>
    <row r="227" spans="1:2" ht="15">
      <c r="A227" s="45"/>
      <c r="B227" t="str">
        <f ca="1">IFERROR(__xludf.DUMMYFUNCTION("""COMPUTED_VALUE"""),"Ty Johnson")</f>
        <v>Ty Johnson</v>
      </c>
    </row>
    <row r="228" spans="1:2" ht="15">
      <c r="A228" s="45"/>
      <c r="B228" t="str">
        <f ca="1">IFERROR(__xludf.DUMMYFUNCTION("""COMPUTED_VALUE"""),"Gunnar Helm")</f>
        <v>Gunnar Helm</v>
      </c>
    </row>
    <row r="229" spans="1:2" ht="15">
      <c r="A229" s="45"/>
      <c r="B229" t="str">
        <f ca="1">IFERROR(__xludf.DUMMYFUNCTION("""COMPUTED_VALUE"""),"Isaac Guerendo")</f>
        <v>Isaac Guerendo</v>
      </c>
    </row>
    <row r="230" spans="1:2" ht="15">
      <c r="A230" s="45"/>
      <c r="B230" t="str">
        <f ca="1">IFERROR(__xludf.DUMMYFUNCTION("""COMPUTED_VALUE"""),"Cooper Kupp")</f>
        <v>Cooper Kupp</v>
      </c>
    </row>
    <row r="231" spans="1:2" ht="15">
      <c r="A231" s="45"/>
      <c r="B231" t="str">
        <f ca="1">IFERROR(__xludf.DUMMYFUNCTION("""COMPUTED_VALUE"""),"Darius Slayton")</f>
        <v>Darius Slayton</v>
      </c>
    </row>
    <row r="232" spans="1:2" ht="15">
      <c r="A232" s="45"/>
      <c r="B232" t="str">
        <f ca="1">IFERROR(__xludf.DUMMYFUNCTION("""COMPUTED_VALUE"""),"Michael Penix Jr.")</f>
        <v>Michael Penix Jr.</v>
      </c>
    </row>
    <row r="233" spans="1:2" ht="15">
      <c r="A233" s="45"/>
      <c r="B233" t="str">
        <f ca="1">IFERROR(__xludf.DUMMYFUNCTION("""COMPUTED_VALUE"""),"Jaydon Blue")</f>
        <v>Jaydon Blue</v>
      </c>
    </row>
    <row r="234" spans="1:2" ht="15">
      <c r="A234" s="45"/>
      <c r="B234" t="str">
        <f ca="1">IFERROR(__xludf.DUMMYFUNCTION("""COMPUTED_VALUE"""),"Zachariah Branch")</f>
        <v>Zachariah Branch</v>
      </c>
    </row>
    <row r="235" spans="1:2" ht="15">
      <c r="A235" s="45"/>
      <c r="B235" t="str">
        <f ca="1">IFERROR(__xludf.DUMMYFUNCTION("""COMPUTED_VALUE"""),"Charlie Smyth")</f>
        <v>Charlie Smyth</v>
      </c>
    </row>
    <row r="236" spans="1:2" ht="15">
      <c r="A236" s="45"/>
      <c r="B236" t="str">
        <f ca="1">IFERROR(__xludf.DUMMYFUNCTION("""COMPUTED_VALUE"""),"Germie Bernard")</f>
        <v>Germie Bernard</v>
      </c>
    </row>
    <row r="237" spans="1:2" ht="15">
      <c r="A237" s="45"/>
      <c r="B237" t="str">
        <f ca="1">IFERROR(__xludf.DUMMYFUNCTION("""COMPUTED_VALUE"""),"Demond Claiborne")</f>
        <v>Demond Claiborne</v>
      </c>
    </row>
    <row r="238" spans="1:2" ht="15">
      <c r="A238" s="45"/>
      <c r="B238" t="str">
        <f ca="1">IFERROR(__xludf.DUMMYFUNCTION("""COMPUTED_VALUE"""),"Atlanta Falcons")</f>
        <v>Atlanta Falcons</v>
      </c>
    </row>
    <row r="239" spans="1:2" ht="15">
      <c r="A239" s="45"/>
      <c r="B239" t="str">
        <f ca="1">IFERROR(__xludf.DUMMYFUNCTION("""COMPUTED_VALUE"""),"Keenan Allen")</f>
        <v>Keenan Allen</v>
      </c>
    </row>
    <row r="240" spans="1:2" ht="15">
      <c r="A240" s="45"/>
      <c r="B240" t="str">
        <f ca="1">IFERROR(__xludf.DUMMYFUNCTION("""COMPUTED_VALUE"""),"Devaughn Vele")</f>
        <v>Devaughn Vele</v>
      </c>
    </row>
    <row r="241" spans="1:2" ht="15">
      <c r="A241" s="45"/>
      <c r="B241" t="str">
        <f ca="1">IFERROR(__xludf.DUMMYFUNCTION("""COMPUTED_VALUE"""),"Jaleel McLaughlin")</f>
        <v>Jaleel McLaughlin</v>
      </c>
    </row>
    <row r="242" spans="1:2" ht="15">
      <c r="A242" s="45"/>
      <c r="B242" t="str">
        <f ca="1">IFERROR(__xludf.DUMMYFUNCTION("""COMPUTED_VALUE"""),"Cade Otton")</f>
        <v>Cade Otton</v>
      </c>
    </row>
    <row r="243" spans="1:2" ht="15">
      <c r="A243" s="45"/>
      <c r="B243" t="str">
        <f ca="1">IFERROR(__xludf.DUMMYFUNCTION("""COMPUTED_VALUE"""),"Adam Randall")</f>
        <v>Adam Randall</v>
      </c>
    </row>
    <row r="244" spans="1:2" ht="15">
      <c r="A244" s="45"/>
      <c r="B244" t="str">
        <f ca="1">IFERROR(__xludf.DUMMYFUNCTION("""COMPUTED_VALUE"""),"Brashard Smith")</f>
        <v>Brashard Smith</v>
      </c>
    </row>
    <row r="245" spans="1:2" ht="15">
      <c r="A245" s="45"/>
      <c r="B245" t="str">
        <f ca="1">IFERROR(__xludf.DUMMYFUNCTION("""COMPUTED_VALUE"""),"DJ Giddens")</f>
        <v>DJ Giddens</v>
      </c>
    </row>
    <row r="246" spans="1:2" ht="15">
      <c r="A246" s="45"/>
      <c r="B246" t="str">
        <f ca="1">IFERROR(__xludf.DUMMYFUNCTION("""COMPUTED_VALUE"""),"Isaiah Bond")</f>
        <v>Isaiah Bond</v>
      </c>
    </row>
    <row r="247" spans="1:2" ht="15">
      <c r="A247" s="45"/>
      <c r="B247" t="str">
        <f ca="1">IFERROR(__xludf.DUMMYFUNCTION("""COMPUTED_VALUE"""),"Malik Davis")</f>
        <v>Malik Davis</v>
      </c>
    </row>
    <row r="248" spans="1:2" ht="15">
      <c r="A248" s="45"/>
      <c r="B248" t="str">
        <f ca="1">IFERROR(__xludf.DUMMYFUNCTION("""COMPUTED_VALUE"""),"J.J. McCarthy")</f>
        <v>J.J. McCarthy</v>
      </c>
    </row>
    <row r="249" spans="1:2" ht="15">
      <c r="A249" s="45"/>
      <c r="B249" t="str">
        <f ca="1">IFERROR(__xludf.DUMMYFUNCTION("""COMPUTED_VALUE"""),"Jalen Nailor")</f>
        <v>Jalen Nailor</v>
      </c>
    </row>
    <row r="250" spans="1:2" ht="15">
      <c r="A250" s="45"/>
      <c r="B250" t="str">
        <f ca="1">IFERROR(__xludf.DUMMYFUNCTION("""COMPUTED_VALUE"""),"Evan Engram")</f>
        <v>Evan Engram</v>
      </c>
    </row>
    <row r="251" spans="1:2" ht="15">
      <c r="A251" s="45"/>
      <c r="B251" t="str">
        <f ca="1">IFERROR(__xludf.DUMMYFUNCTION("""COMPUTED_VALUE"""),"Tyquan Thornton")</f>
        <v>Tyquan Thornton</v>
      </c>
    </row>
    <row r="252" spans="1:2" ht="15">
      <c r="A252" s="45"/>
      <c r="B252" t="str">
        <f ca="1">IFERROR(__xludf.DUMMYFUNCTION("""COMPUTED_VALUE"""),"Shedeur Sanders")</f>
        <v>Shedeur Sanders</v>
      </c>
    </row>
    <row r="253" spans="1:2" ht="15">
      <c r="A253" s="45"/>
      <c r="B253" t="str">
        <f ca="1">IFERROR(__xludf.DUMMYFUNCTION("""COMPUTED_VALUE"""),"MarShawn Lloyd")</f>
        <v>MarShawn Lloyd</v>
      </c>
    </row>
    <row r="254" spans="1:2" ht="15">
      <c r="A254" s="45"/>
      <c r="B254" t="str">
        <f ca="1">IFERROR(__xludf.DUMMYFUNCTION("""COMPUTED_VALUE"""),"Wil Lutz")</f>
        <v>Wil Lutz</v>
      </c>
    </row>
    <row r="255" spans="1:2" ht="15">
      <c r="A255" s="45"/>
      <c r="B255" t="str">
        <f ca="1">IFERROR(__xludf.DUMMYFUNCTION("""COMPUTED_VALUE"""),"Andrei Iosivas")</f>
        <v>Andrei Iosivas</v>
      </c>
    </row>
    <row r="256" spans="1:2" ht="15">
      <c r="A256" s="45"/>
      <c r="B256" t="str">
        <f ca="1">IFERROR(__xludf.DUMMYFUNCTION("""COMPUTED_VALUE"""),"Jarquez Hunter")</f>
        <v>Jarquez Hunter</v>
      </c>
    </row>
    <row r="257" spans="1:2" ht="15">
      <c r="A257" s="45"/>
      <c r="B257" t="str">
        <f ca="1">IFERROR(__xludf.DUMMYFUNCTION("""COMPUTED_VALUE"""),"Jack Bech")</f>
        <v>Jack Bech</v>
      </c>
    </row>
    <row r="258" spans="1:2" ht="15">
      <c r="A258" s="45"/>
      <c r="B258" t="str">
        <f ca="1">IFERROR(__xludf.DUMMYFUNCTION("""COMPUTED_VALUE"""),"Hollywood Brown")</f>
        <v>Hollywood Brown</v>
      </c>
    </row>
    <row r="259" spans="1:2" ht="15">
      <c r="A259" s="45"/>
      <c r="B259" t="str">
        <f ca="1">IFERROR(__xludf.DUMMYFUNCTION("""COMPUTED_VALUE"""),"Mike Gesicki")</f>
        <v>Mike Gesicki</v>
      </c>
    </row>
    <row r="260" spans="1:2" ht="15">
      <c r="A260" s="45"/>
      <c r="B260" t="str">
        <f ca="1">IFERROR(__xludf.DUMMYFUNCTION("""COMPUTED_VALUE"""),"Cedric Tillman")</f>
        <v>Cedric Tillman</v>
      </c>
    </row>
    <row r="261" spans="1:2" ht="15">
      <c r="A261" s="45"/>
      <c r="B261" t="str">
        <f ca="1">IFERROR(__xludf.DUMMYFUNCTION("""COMPUTED_VALUE"""),"LeQuint Allen Jr.")</f>
        <v>LeQuint Allen Jr.</v>
      </c>
    </row>
    <row r="262" spans="1:2" ht="15">
      <c r="A262" s="45"/>
      <c r="B262" t="str">
        <f ca="1">IFERROR(__xludf.DUMMYFUNCTION("""COMPUTED_VALUE"""),"Devin Singletary")</f>
        <v>Devin Singletary</v>
      </c>
    </row>
    <row r="263" spans="1:2" ht="15">
      <c r="A263" s="45"/>
      <c r="B263" t="str">
        <f ca="1">IFERROR(__xludf.DUMMYFUNCTION("""COMPUTED_VALUE"""),"Christian Kirk")</f>
        <v>Christian Kirk</v>
      </c>
    </row>
    <row r="264" spans="1:2" ht="15">
      <c r="A264" s="45"/>
      <c r="B264" t="str">
        <f ca="1">IFERROR(__xludf.DUMMYFUNCTION("""COMPUTED_VALUE"""),"Malik Washington")</f>
        <v>Malik Washington</v>
      </c>
    </row>
    <row r="265" spans="1:2" ht="15">
      <c r="A265" s="45"/>
      <c r="B265" t="str">
        <f ca="1">IFERROR(__xludf.DUMMYFUNCTION("""COMPUTED_VALUE"""),"Indianapolis Colts")</f>
        <v>Indianapolis Colts</v>
      </c>
    </row>
    <row r="266" spans="1:2" ht="15">
      <c r="A266" s="45"/>
      <c r="B266" t="str">
        <f ca="1">IFERROR(__xludf.DUMMYFUNCTION("""COMPUTED_VALUE"""),"Geno Smith")</f>
        <v>Geno Smith</v>
      </c>
    </row>
    <row r="267" spans="1:2" ht="15">
      <c r="A267" s="45"/>
      <c r="B267" t="str">
        <f ca="1">IFERROR(__xludf.DUMMYFUNCTION("""COMPUTED_VALUE"""),"Justice Hill")</f>
        <v>Justice Hill</v>
      </c>
    </row>
    <row r="268" spans="1:2" ht="15">
      <c r="A268" s="45"/>
      <c r="B268" t="str">
        <f ca="1">IFERROR(__xludf.DUMMYFUNCTION("""COMPUTED_VALUE"""),"Chris Bell")</f>
        <v>Chris Bell</v>
      </c>
    </row>
    <row r="269" spans="1:2" ht="15">
      <c r="A269" s="45"/>
      <c r="B269" t="str">
        <f ca="1">IFERROR(__xludf.DUMMYFUNCTION("""COMPUTED_VALUE"""),"Samaje Perine")</f>
        <v>Samaje Perine</v>
      </c>
    </row>
    <row r="270" spans="1:2" ht="15">
      <c r="A270" s="45"/>
      <c r="B270" t="str">
        <f ca="1">IFERROR(__xludf.DUMMYFUNCTION("""COMPUTED_VALUE"""),"Tua Tagovailoa")</f>
        <v>Tua Tagovailoa</v>
      </c>
    </row>
    <row r="271" spans="1:2" ht="15">
      <c r="A271" s="45"/>
      <c r="B271" t="str">
        <f ca="1">IFERROR(__xludf.DUMMYFUNCTION("""COMPUTED_VALUE"""),"Luke McCaffrey")</f>
        <v>Luke McCaffrey</v>
      </c>
    </row>
    <row r="272" spans="1:2" ht="15">
      <c r="A272" s="45"/>
      <c r="B272" t="str">
        <f ca="1">IFERROR(__xludf.DUMMYFUNCTION("""COMPUTED_VALUE"""),"Calvin Austin III")</f>
        <v>Calvin Austin III</v>
      </c>
    </row>
    <row r="273" spans="1:2" ht="15">
      <c r="A273" s="45"/>
      <c r="B273" t="str">
        <f ca="1">IFERROR(__xludf.DUMMYFUNCTION("""COMPUTED_VALUE"""),"Chris Brooks")</f>
        <v>Chris Brooks</v>
      </c>
    </row>
    <row r="274" spans="1:2" ht="15">
      <c r="A274" s="45"/>
      <c r="B274" t="str">
        <f ca="1">IFERROR(__xludf.DUMMYFUNCTION("""COMPUTED_VALUE"""),"Konata Mumpfield")</f>
        <v>Konata Mumpfield</v>
      </c>
    </row>
    <row r="275" spans="1:2" ht="15">
      <c r="A275" s="45"/>
      <c r="B275" t="str">
        <f ca="1">IFERROR(__xludf.DUMMYFUNCTION("""COMPUTED_VALUE"""),"Jordan James")</f>
        <v>Jordan James</v>
      </c>
    </row>
    <row r="276" spans="1:2" ht="15">
      <c r="A276" s="45"/>
      <c r="B276" t="str">
        <f ca="1">IFERROR(__xludf.DUMMYFUNCTION("""COMPUTED_VALUE"""),"Audric Estime")</f>
        <v>Audric Estime</v>
      </c>
    </row>
    <row r="277" spans="1:2" ht="15">
      <c r="A277" s="45"/>
      <c r="B277" t="str">
        <f ca="1">IFERROR(__xludf.DUMMYFUNCTION("""COMPUTED_VALUE"""),"Jerome Ford")</f>
        <v>Jerome Ford</v>
      </c>
    </row>
    <row r="278" spans="1:2" ht="15">
      <c r="A278" s="45"/>
      <c r="B278" t="str">
        <f ca="1">IFERROR(__xludf.DUMMYFUNCTION("""COMPUTED_VALUE"""),"New Orleans Saints")</f>
        <v>New Orleans Saints</v>
      </c>
    </row>
    <row r="279" spans="1:2" ht="15">
      <c r="A279" s="45"/>
      <c r="B279" t="str">
        <f ca="1">IFERROR(__xludf.DUMMYFUNCTION("""COMPUTED_VALUE"""),"Kareem Hunt")</f>
        <v>Kareem Hunt</v>
      </c>
    </row>
    <row r="280" spans="1:2" ht="15">
      <c r="A280" s="45"/>
      <c r="B280" t="str">
        <f ca="1">IFERROR(__xludf.DUMMYFUNCTION("""COMPUTED_VALUE"""),"San Francisco 49ers")</f>
        <v>San Francisco 49ers</v>
      </c>
    </row>
    <row r="281" spans="1:2" ht="15">
      <c r="A281" s="45"/>
      <c r="B281" t="str">
        <f ca="1">IFERROR(__xludf.DUMMYFUNCTION("""COMPUTED_VALUE"""),"Trevor Etienne")</f>
        <v>Trevor Etienne</v>
      </c>
    </row>
    <row r="282" spans="1:2" ht="15">
      <c r="A282" s="45"/>
      <c r="B282" t="str">
        <f ca="1">IFERROR(__xludf.DUMMYFUNCTION("""COMPUTED_VALUE"""),"Emari Demercado")</f>
        <v>Emari Demercado</v>
      </c>
    </row>
    <row r="283" spans="1:2" ht="15">
      <c r="A283" s="45"/>
      <c r="B283" t="str">
        <f ca="1">IFERROR(__xludf.DUMMYFUNCTION("""COMPUTED_VALUE"""),"Aaron Rodgers")</f>
        <v>Aaron Rodgers</v>
      </c>
    </row>
    <row r="284" spans="1:2" ht="15">
      <c r="A284" s="45"/>
      <c r="B284" t="str">
        <f ca="1">IFERROR(__xludf.DUMMYFUNCTION("""COMPUTED_VALUE"""),"Tahj Brooks")</f>
        <v>Tahj Brooks</v>
      </c>
    </row>
    <row r="285" spans="1:2" ht="15">
      <c r="A285" s="45"/>
      <c r="B285" t="str">
        <f ca="1">IFERROR(__xludf.DUMMYFUNCTION("""COMPUTED_VALUE"""),"Bam Knight")</f>
        <v>Bam Knight</v>
      </c>
    </row>
    <row r="286" spans="1:2" ht="15">
      <c r="A286" s="45"/>
      <c r="B286" t="str">
        <f ca="1">IFERROR(__xludf.DUMMYFUNCTION("""COMPUTED_VALUE"""),"Mac Jones")</f>
        <v>Mac Jones</v>
      </c>
    </row>
    <row r="287" spans="1:2" ht="15">
      <c r="A287" s="45"/>
      <c r="B287" t="str">
        <f ca="1">IFERROR(__xludf.DUMMYFUNCTION("""COMPUTED_VALUE"""),"Tez Johnson")</f>
        <v>Tez Johnson</v>
      </c>
    </row>
    <row r="288" spans="1:2" ht="15">
      <c r="A288" s="45"/>
      <c r="B288" t="str">
        <f ca="1">IFERROR(__xludf.DUMMYFUNCTION("""COMPUTED_VALUE"""),"Ty Simpson")</f>
        <v>Ty Simpson</v>
      </c>
    </row>
    <row r="289" spans="1:2" ht="15">
      <c r="A289" s="45"/>
      <c r="B289" t="str">
        <f ca="1">IFERROR(__xludf.DUMMYFUNCTION("""COMPUTED_VALUE"""),"Nick Chubb")</f>
        <v>Nick Chubb</v>
      </c>
    </row>
    <row r="290" spans="1:2" ht="15">
      <c r="A290" s="45"/>
      <c r="B290" t="str">
        <f ca="1">IFERROR(__xludf.DUMMYFUNCTION("""COMPUTED_VALUE"""),"Jake Tonges")</f>
        <v>Jake Tonges</v>
      </c>
    </row>
    <row r="291" spans="1:2" ht="15">
      <c r="A291" s="45"/>
      <c r="B291" t="str">
        <f ca="1">IFERROR(__xludf.DUMMYFUNCTION("""COMPUTED_VALUE"""),"Jalen Royals")</f>
        <v>Jalen Royals</v>
      </c>
    </row>
    <row r="292" spans="1:2" ht="15">
      <c r="A292" s="45"/>
      <c r="B292" t="str">
        <f ca="1">IFERROR(__xludf.DUMMYFUNCTION("""COMPUTED_VALUE"""),"Will Shipley")</f>
        <v>Will Shipley</v>
      </c>
    </row>
    <row r="293" spans="1:2" ht="15">
      <c r="A293" s="45"/>
      <c r="B293" t="str">
        <f ca="1">IFERROR(__xludf.DUMMYFUNCTION("""COMPUTED_VALUE"""),"Will Reichard")</f>
        <v>Will Reichard</v>
      </c>
    </row>
    <row r="294" spans="1:2" ht="15">
      <c r="A294" s="45"/>
      <c r="B294" t="str">
        <f ca="1">IFERROR(__xludf.DUMMYFUNCTION("""COMPUTED_VALUE"""),"Dont'e Thornton Jr.")</f>
        <v>Dont'e Thornton Jr.</v>
      </c>
    </row>
    <row r="295" spans="1:2" ht="15">
      <c r="A295" s="45"/>
      <c r="B295" t="str">
        <f ca="1">IFERROR(__xludf.DUMMYFUNCTION("""COMPUTED_VALUE"""),"Michael Carter")</f>
        <v>Michael Carter</v>
      </c>
    </row>
    <row r="296" spans="1:2" ht="15">
      <c r="A296" s="45"/>
      <c r="B296" t="str">
        <f ca="1">IFERROR(__xludf.DUMMYFUNCTION("""COMPUTED_VALUE"""),"Tommy Myers")</f>
        <v>Tommy Myers</v>
      </c>
    </row>
    <row r="297" spans="1:2" ht="15">
      <c r="A297" s="45"/>
      <c r="B297" t="str">
        <f ca="1">IFERROR(__xludf.DUMMYFUNCTION("""COMPUTED_VALUE"""),"Noah Gray")</f>
        <v>Noah Gray</v>
      </c>
    </row>
    <row r="298" spans="1:2" ht="15">
      <c r="A298" s="45"/>
      <c r="B298" t="str">
        <f ca="1">IFERROR(__xludf.DUMMYFUNCTION("""COMPUTED_VALUE"""),"DeMario Douglas")</f>
        <v>DeMario Douglas</v>
      </c>
    </row>
    <row r="299" spans="1:2" ht="15">
      <c r="A299" s="45"/>
      <c r="B299" t="str">
        <f ca="1">IFERROR(__xludf.DUMMYFUNCTION("""COMPUTED_VALUE"""),"Olamide Zaccheaus")</f>
        <v>Olamide Zaccheaus</v>
      </c>
    </row>
    <row r="300" spans="1:2" ht="15">
      <c r="A300" s="45"/>
      <c r="B300" t="str">
        <f ca="1">IFERROR(__xludf.DUMMYFUNCTION("""COMPUTED_VALUE"""),"Anthony Richardson Sr.")</f>
        <v>Anthony Richardson Sr.</v>
      </c>
    </row>
    <row r="301" spans="1:2" ht="15">
      <c r="A301" s="45"/>
      <c r="B301" t="str">
        <f ca="1">IFERROR(__xludf.DUMMYFUNCTION("""COMPUTED_VALUE"""),"Greg Dulcich")</f>
        <v>Greg Dulcich</v>
      </c>
    </row>
    <row r="302" spans="1:2" ht="15">
      <c r="A302" s="45"/>
      <c r="B302" t="str">
        <f ca="1">IFERROR(__xludf.DUMMYFUNCTION("""COMPUTED_VALUE"""),"Xavier Hutchinson")</f>
        <v>Xavier Hutchinson</v>
      </c>
    </row>
    <row r="303" spans="1:2" ht="15">
      <c r="A303" s="45"/>
      <c r="B303" t="str">
        <f ca="1">IFERROR(__xludf.DUMMYFUNCTION("""COMPUTED_VALUE"""),"Joshua Palmer")</f>
        <v>Joshua Palmer</v>
      </c>
    </row>
    <row r="304" spans="1:2" ht="15">
      <c r="A304" s="45"/>
      <c r="B304" t="str">
        <f ca="1">IFERROR(__xludf.DUMMYFUNCTION("""COMPUTED_VALUE"""),"Jaylin Lane")</f>
        <v>Jaylin Lane</v>
      </c>
    </row>
    <row r="305" spans="1:2" ht="15">
      <c r="A305" s="45"/>
      <c r="B305" t="str">
        <f ca="1">IFERROR(__xludf.DUMMYFUNCTION("""COMPUTED_VALUE"""),"John Metchie III")</f>
        <v>John Metchie III</v>
      </c>
    </row>
    <row r="306" spans="1:2" ht="15">
      <c r="A306" s="45"/>
      <c r="B306" t="str">
        <f ca="1">IFERROR(__xludf.DUMMYFUNCTION("""COMPUTED_VALUE"""),"Darren Waller")</f>
        <v>Darren Waller</v>
      </c>
    </row>
    <row r="307" spans="1:2" ht="15">
      <c r="A307" s="45"/>
      <c r="B307" t="str">
        <f ca="1">IFERROR(__xludf.DUMMYFUNCTION("""COMPUTED_VALUE"""),"Austin Ekeler")</f>
        <v>Austin Ekeler</v>
      </c>
    </row>
    <row r="308" spans="1:2" ht="15">
      <c r="A308" s="45"/>
      <c r="B308" t="str">
        <f ca="1">IFERROR(__xludf.DUMMYFUNCTION("""COMPUTED_VALUE"""),"Zane Gonzalez")</f>
        <v>Zane Gonzalez</v>
      </c>
    </row>
    <row r="309" spans="1:2" ht="15">
      <c r="A309" s="45"/>
      <c r="B309" t="str">
        <f ca="1">IFERROR(__xludf.DUMMYFUNCTION("""COMPUTED_VALUE"""),"John Bates")</f>
        <v>John Bates</v>
      </c>
    </row>
    <row r="310" spans="1:2" ht="15">
      <c r="A310" s="45"/>
      <c r="B310" t="str">
        <f ca="1">IFERROR(__xludf.DUMMYFUNCTION("""COMPUTED_VALUE"""),"Elijah Arroyo")</f>
        <v>Elijah Arroyo</v>
      </c>
    </row>
    <row r="311" spans="1:2" ht="15">
      <c r="A311" s="45"/>
      <c r="B311" t="str">
        <f ca="1">IFERROR(__xludf.DUMMYFUNCTION("""COMPUTED_VALUE"""),"Carolina Panthers")</f>
        <v>Carolina Panthers</v>
      </c>
    </row>
    <row r="312" spans="1:2" ht="15">
      <c r="A312" s="45"/>
      <c r="B312" t="str">
        <f ca="1">IFERROR(__xludf.DUMMYFUNCTION("""COMPUTED_VALUE"""),"Seth McGowan")</f>
        <v>Seth McGowan</v>
      </c>
    </row>
    <row r="313" spans="1:2" ht="15">
      <c r="A313" s="45"/>
      <c r="B313" t="str">
        <f ca="1">IFERROR(__xludf.DUMMYFUNCTION("""COMPUTED_VALUE"""),"Le'Veon Moss")</f>
        <v>Le'Veon Moss</v>
      </c>
    </row>
    <row r="314" spans="1:2" ht="15">
      <c r="A314" s="45"/>
      <c r="B314" t="str">
        <f ca="1">IFERROR(__xludf.DUMMYFUNCTION("""COMPUTED_VALUE"""),"J'Mari Taylor")</f>
        <v>J'Mari Taylor</v>
      </c>
    </row>
    <row r="315" spans="1:2" ht="15">
      <c r="A315" s="45"/>
      <c r="B315" t="str">
        <f ca="1">IFERROR(__xludf.DUMMYFUNCTION("""COMPUTED_VALUE"""),"Jahan Dotson")</f>
        <v>Jahan Dotson</v>
      </c>
    </row>
    <row r="316" spans="1:2" ht="15">
      <c r="A316" s="45"/>
      <c r="B316" t="str">
        <f ca="1">IFERROR(__xludf.DUMMYFUNCTION("""COMPUTED_VALUE"""),"Ben Sinnott")</f>
        <v>Ben Sinnott</v>
      </c>
    </row>
    <row r="317" spans="1:2" ht="15">
      <c r="A317" s="45"/>
      <c r="B317" t="str">
        <f ca="1">IFERROR(__xludf.DUMMYFUNCTION("""COMPUTED_VALUE"""),"Kirk Cousins")</f>
        <v>Kirk Cousins</v>
      </c>
    </row>
    <row r="318" spans="1:2" ht="15">
      <c r="A318" s="45"/>
      <c r="B318" t="str">
        <f ca="1">IFERROR(__xludf.DUMMYFUNCTION("""COMPUTED_VALUE"""),"Deshaun Watson")</f>
        <v>Deshaun Watson</v>
      </c>
    </row>
    <row r="319" spans="1:2" ht="15">
      <c r="A319" s="45"/>
      <c r="B319" t="str">
        <f ca="1">IFERROR(__xludf.DUMMYFUNCTION("""COMPUTED_VALUE"""),"Joe Milton III")</f>
        <v>Joe Milton III</v>
      </c>
    </row>
    <row r="320" spans="1:2" ht="15">
      <c r="A320" s="45"/>
      <c r="B320" t="str">
        <f ca="1">IFERROR(__xludf.DUMMYFUNCTION("""COMPUTED_VALUE"""),"Kalif Raymond")</f>
        <v>Kalif Raymond</v>
      </c>
    </row>
    <row r="321" spans="1:2" ht="15">
      <c r="A321" s="45"/>
      <c r="B321" t="str">
        <f ca="1">IFERROR(__xludf.DUMMYFUNCTION("""COMPUTED_VALUE"""),"Antonio Williams")</f>
        <v>Antonio Williams</v>
      </c>
    </row>
    <row r="322" spans="1:2" ht="15">
      <c r="A322" s="45"/>
      <c r="B322" t="str">
        <f ca="1">IFERROR(__xludf.DUMMYFUNCTION("""COMPUTED_VALUE"""),"Chicago Bears")</f>
        <v>Chicago Bears</v>
      </c>
    </row>
    <row r="323" spans="1:2" ht="15">
      <c r="A323" s="45"/>
      <c r="B323" t="str">
        <f ca="1">IFERROR(__xludf.DUMMYFUNCTION("""COMPUTED_VALUE"""),"Jawhar Jordan")</f>
        <v>Jawhar Jordan</v>
      </c>
    </row>
    <row r="324" spans="1:2" ht="15">
      <c r="A324" s="45"/>
      <c r="B324" t="str">
        <f ca="1">IFERROR(__xludf.DUMMYFUNCTION("""COMPUTED_VALUE"""),"Darnell Washington")</f>
        <v>Darnell Washington</v>
      </c>
    </row>
    <row r="325" spans="1:2" ht="15">
      <c r="A325" s="45"/>
      <c r="B325" t="str">
        <f ca="1">IFERROR(__xludf.DUMMYFUNCTION("""COMPUTED_VALUE"""),"Dameon Pierce")</f>
        <v>Dameon Pierce</v>
      </c>
    </row>
    <row r="326" spans="1:2" ht="15">
      <c r="A326" s="45"/>
      <c r="B326" t="str">
        <f ca="1">IFERROR(__xludf.DUMMYFUNCTION("""COMPUTED_VALUE"""),"Raheim Sanders")</f>
        <v>Raheim Sanders</v>
      </c>
    </row>
    <row r="327" spans="1:2" ht="15">
      <c r="A327" s="45"/>
      <c r="B327" t="str">
        <f ca="1">IFERROR(__xludf.DUMMYFUNCTION("""COMPUTED_VALUE"""),"Terrell Jennings")</f>
        <v>Terrell Jennings</v>
      </c>
    </row>
    <row r="328" spans="1:2" ht="15">
      <c r="A328" s="45"/>
      <c r="B328" t="str">
        <f ca="1">IFERROR(__xludf.DUMMYFUNCTION("""COMPUTED_VALUE"""),"Antonio Gibson")</f>
        <v>Antonio Gibson</v>
      </c>
    </row>
    <row r="329" spans="1:2" ht="15">
      <c r="A329" s="45"/>
      <c r="B329" t="str">
        <f ca="1">IFERROR(__xludf.DUMMYFUNCTION("""COMPUTED_VALUE"""),"Justin Fields")</f>
        <v>Justin Fields</v>
      </c>
    </row>
    <row r="330" spans="1:2" ht="15">
      <c r="A330" s="45"/>
      <c r="B330" t="str">
        <f ca="1">IFERROR(__xludf.DUMMYFUNCTION("""COMPUTED_VALUE"""),"Tutu Atwell")</f>
        <v>Tutu Atwell</v>
      </c>
    </row>
    <row r="331" spans="1:2" ht="15">
      <c r="A331" s="45"/>
      <c r="B331" t="str">
        <f ca="1">IFERROR(__xludf.DUMMYFUNCTION("""COMPUTED_VALUE"""),"Miami Dolphins")</f>
        <v>Miami Dolphins</v>
      </c>
    </row>
    <row r="332" spans="1:2" ht="15">
      <c r="A332" s="45"/>
      <c r="B332" t="str">
        <f ca="1">IFERROR(__xludf.DUMMYFUNCTION("""COMPUTED_VALUE"""),"Tyler Higbee")</f>
        <v>Tyler Higbee</v>
      </c>
    </row>
    <row r="333" spans="1:2" ht="15">
      <c r="A333" s="45"/>
      <c r="B333" t="str">
        <f ca="1">IFERROR(__xludf.DUMMYFUNCTION("""COMPUTED_VALUE"""),"Michael Mayer")</f>
        <v>Michael Mayer</v>
      </c>
    </row>
    <row r="334" spans="1:2" ht="15">
      <c r="A334" s="45"/>
      <c r="B334" t="str">
        <f ca="1">IFERROR(__xludf.DUMMYFUNCTION("""COMPUTED_VALUE"""),"Jalen Tolbert")</f>
        <v>Jalen Tolbert</v>
      </c>
    </row>
    <row r="335" spans="1:2" ht="15">
      <c r="A335" s="45"/>
      <c r="B335" t="str">
        <f ca="1">IFERROR(__xludf.DUMMYFUNCTION("""COMPUTED_VALUE"""),"Ted Hurst")</f>
        <v>Ted Hurst</v>
      </c>
    </row>
    <row r="336" spans="1:2" ht="15">
      <c r="A336" s="45"/>
      <c r="B336" t="str">
        <f ca="1">IFERROR(__xludf.DUMMYFUNCTION("""COMPUTED_VALUE"""),"Skyler Bell")</f>
        <v>Skyler Bell</v>
      </c>
    </row>
    <row r="337" spans="1:2" ht="15">
      <c r="A337" s="45"/>
      <c r="B337" t="str">
        <f ca="1">IFERROR(__xludf.DUMMYFUNCTION("""COMPUTED_VALUE"""),"Ja'Kobi Lane")</f>
        <v>Ja'Kobi Lane</v>
      </c>
    </row>
    <row r="338" spans="1:2" ht="15">
      <c r="A338" s="45"/>
      <c r="B338" t="str">
        <f ca="1">IFERROR(__xludf.DUMMYFUNCTION("""COMPUTED_VALUE"""),"Marcus Mariota")</f>
        <v>Marcus Mariota</v>
      </c>
    </row>
    <row r="339" spans="1:2" ht="15">
      <c r="A339" s="45"/>
      <c r="B339" t="str">
        <f ca="1">IFERROR(__xludf.DUMMYFUNCTION("""COMPUTED_VALUE"""),"Noah Fant")</f>
        <v>Noah Fant</v>
      </c>
    </row>
    <row r="340" spans="1:2" ht="15">
      <c r="A340" s="45"/>
      <c r="B340" t="str">
        <f ca="1">IFERROR(__xludf.DUMMYFUNCTION("""COMPUTED_VALUE"""),"Michael Trigg")</f>
        <v>Michael Trigg</v>
      </c>
    </row>
    <row r="341" spans="1:2" ht="15">
      <c r="A341" s="45"/>
      <c r="B341" t="str">
        <f ca="1">IFERROR(__xludf.DUMMYFUNCTION("""COMPUTED_VALUE"""),"Dawson Knox")</f>
        <v>Dawson Knox</v>
      </c>
    </row>
    <row r="342" spans="1:2" ht="15">
      <c r="A342" s="45"/>
      <c r="B342" t="str">
        <f ca="1">IFERROR(__xludf.DUMMYFUNCTION("""COMPUTED_VALUE"""),"Joe Flacco")</f>
        <v>Joe Flacco</v>
      </c>
    </row>
    <row r="343" spans="1:2" ht="15">
      <c r="A343" s="45"/>
      <c r="B343" t="str">
        <f ca="1">IFERROR(__xludf.DUMMYFUNCTION("""COMPUTED_VALUE"""),"Luke Musgrave")</f>
        <v>Luke Musgrave</v>
      </c>
    </row>
    <row r="344" spans="1:2" ht="15">
      <c r="A344" s="45"/>
    </row>
    <row r="345" spans="1:2" ht="15">
      <c r="A345" s="45"/>
    </row>
    <row r="346" spans="1:2" ht="15">
      <c r="A346" s="45"/>
    </row>
    <row r="347" spans="1:2" ht="15">
      <c r="A347" s="45"/>
    </row>
    <row r="348" spans="1:2" ht="15">
      <c r="A348" s="45"/>
    </row>
    <row r="349" spans="1:2" ht="15">
      <c r="A349" s="45"/>
    </row>
    <row r="350" spans="1:2" ht="15">
      <c r="A350" s="45"/>
    </row>
    <row r="351" spans="1:2" ht="15">
      <c r="A351" s="45"/>
    </row>
    <row r="352" spans="1:2" ht="15">
      <c r="A352" s="45"/>
    </row>
    <row r="353" spans="1:1" ht="15">
      <c r="A353" s="45"/>
    </row>
    <row r="354" spans="1:1" ht="15">
      <c r="A354" s="45"/>
    </row>
    <row r="355" spans="1:1" ht="15">
      <c r="A355" s="45"/>
    </row>
    <row r="356" spans="1:1" ht="15">
      <c r="A356" s="45"/>
    </row>
    <row r="357" spans="1:1" ht="15">
      <c r="A357" s="45"/>
    </row>
    <row r="358" spans="1:1" ht="15">
      <c r="A358" s="45"/>
    </row>
    <row r="359" spans="1:1" ht="15">
      <c r="A359" s="45"/>
    </row>
    <row r="360" spans="1:1" ht="15">
      <c r="A360" s="45"/>
    </row>
    <row r="361" spans="1:1" ht="15">
      <c r="A361" s="45"/>
    </row>
    <row r="362" spans="1:1" ht="15">
      <c r="A362" s="45"/>
    </row>
    <row r="363" spans="1:1" ht="15">
      <c r="A363" s="45"/>
    </row>
    <row r="364" spans="1:1" ht="15">
      <c r="A364" s="45"/>
    </row>
    <row r="365" spans="1:1" ht="15">
      <c r="A365" s="45"/>
    </row>
    <row r="366" spans="1:1" ht="15">
      <c r="A366" s="45"/>
    </row>
    <row r="367" spans="1:1" ht="15">
      <c r="A367" s="45"/>
    </row>
    <row r="368" spans="1:1" ht="15">
      <c r="A368" s="45"/>
    </row>
    <row r="369" spans="1:1" ht="15">
      <c r="A369" s="45"/>
    </row>
    <row r="370" spans="1:1" ht="15">
      <c r="A370" s="45"/>
    </row>
    <row r="371" spans="1:1" ht="15">
      <c r="A371" s="45"/>
    </row>
    <row r="372" spans="1:1" ht="15">
      <c r="A372" s="45"/>
    </row>
    <row r="373" spans="1:1" ht="15">
      <c r="A373" s="45"/>
    </row>
    <row r="374" spans="1:1" ht="15">
      <c r="A374" s="45"/>
    </row>
    <row r="375" spans="1:1" ht="15">
      <c r="A375" s="45"/>
    </row>
    <row r="376" spans="1:1" ht="15">
      <c r="A376" s="45"/>
    </row>
    <row r="377" spans="1:1" ht="15">
      <c r="A377" s="45"/>
    </row>
    <row r="378" spans="1:1" ht="15">
      <c r="A378" s="45"/>
    </row>
    <row r="379" spans="1:1" ht="15">
      <c r="A379" s="45"/>
    </row>
    <row r="380" spans="1:1" ht="15">
      <c r="A380" s="45"/>
    </row>
    <row r="381" spans="1:1" ht="15">
      <c r="A381" s="45"/>
    </row>
    <row r="382" spans="1:1" ht="15">
      <c r="A382" s="45"/>
    </row>
    <row r="383" spans="1:1" ht="15">
      <c r="A383" s="45"/>
    </row>
    <row r="384" spans="1:1" ht="15">
      <c r="A384" s="45"/>
    </row>
    <row r="385" spans="1:1" ht="15">
      <c r="A385" s="45"/>
    </row>
    <row r="386" spans="1:1" ht="15">
      <c r="A386" s="45"/>
    </row>
    <row r="387" spans="1:1" ht="15">
      <c r="A387" s="45"/>
    </row>
    <row r="388" spans="1:1" ht="15">
      <c r="A388" s="45"/>
    </row>
    <row r="389" spans="1:1" ht="15">
      <c r="A389" s="45"/>
    </row>
    <row r="390" spans="1:1" ht="15">
      <c r="A390" s="45"/>
    </row>
    <row r="391" spans="1:1" ht="15">
      <c r="A391" s="45"/>
    </row>
    <row r="392" spans="1:1" ht="15">
      <c r="A392" s="45"/>
    </row>
    <row r="393" spans="1:1" ht="15">
      <c r="A393" s="45"/>
    </row>
    <row r="394" spans="1:1" ht="15">
      <c r="A394" s="45"/>
    </row>
    <row r="395" spans="1:1" ht="15">
      <c r="A395" s="45"/>
    </row>
    <row r="396" spans="1:1" ht="15">
      <c r="A396" s="45"/>
    </row>
    <row r="397" spans="1:1" ht="15">
      <c r="A397" s="45"/>
    </row>
    <row r="398" spans="1:1" ht="15">
      <c r="A398" s="45"/>
    </row>
    <row r="399" spans="1:1" ht="15">
      <c r="A399" s="45"/>
    </row>
    <row r="400" spans="1:1" ht="15">
      <c r="A400" s="45"/>
    </row>
    <row r="401" spans="1:1" ht="15">
      <c r="A401" s="45"/>
    </row>
    <row r="402" spans="1:1" ht="15">
      <c r="A402" s="45"/>
    </row>
    <row r="403" spans="1:1" ht="15">
      <c r="A403" s="45"/>
    </row>
    <row r="404" spans="1:1" ht="15">
      <c r="A404" s="45"/>
    </row>
    <row r="405" spans="1:1" ht="15">
      <c r="A405" s="45"/>
    </row>
    <row r="406" spans="1:1" ht="15">
      <c r="A406" s="45"/>
    </row>
    <row r="407" spans="1:1" ht="15">
      <c r="A407" s="45"/>
    </row>
    <row r="408" spans="1:1" ht="15">
      <c r="A408" s="45"/>
    </row>
    <row r="409" spans="1:1" ht="15">
      <c r="A409" s="45"/>
    </row>
    <row r="410" spans="1:1" ht="15">
      <c r="A410" s="45"/>
    </row>
    <row r="411" spans="1:1" ht="15">
      <c r="A411" s="45"/>
    </row>
    <row r="412" spans="1:1" ht="15">
      <c r="A412" s="45"/>
    </row>
    <row r="413" spans="1:1" ht="15">
      <c r="A413" s="45"/>
    </row>
    <row r="414" spans="1:1" ht="15">
      <c r="A414" s="45"/>
    </row>
    <row r="415" spans="1:1" ht="15">
      <c r="A415" s="45"/>
    </row>
    <row r="416" spans="1:1" ht="15">
      <c r="A416" s="45"/>
    </row>
    <row r="417" spans="1:1" ht="15">
      <c r="A417" s="45"/>
    </row>
    <row r="418" spans="1:1" ht="15">
      <c r="A418" s="45"/>
    </row>
    <row r="419" spans="1:1" ht="15">
      <c r="A419" s="45"/>
    </row>
    <row r="420" spans="1:1" ht="15">
      <c r="A420" s="45"/>
    </row>
    <row r="421" spans="1:1" ht="15">
      <c r="A421" s="45"/>
    </row>
    <row r="422" spans="1:1" ht="15">
      <c r="A422" s="45"/>
    </row>
    <row r="423" spans="1:1" ht="15">
      <c r="A423" s="45"/>
    </row>
    <row r="424" spans="1:1" ht="15">
      <c r="A424" s="45"/>
    </row>
    <row r="425" spans="1:1" ht="15">
      <c r="A425" s="45"/>
    </row>
    <row r="426" spans="1:1" ht="15">
      <c r="A426" s="45"/>
    </row>
    <row r="427" spans="1:1" ht="15">
      <c r="A427" s="45"/>
    </row>
    <row r="428" spans="1:1" ht="15">
      <c r="A428" s="45"/>
    </row>
    <row r="429" spans="1:1" ht="15">
      <c r="A429" s="45"/>
    </row>
    <row r="430" spans="1:1" ht="15">
      <c r="A430" s="45"/>
    </row>
    <row r="431" spans="1:1" ht="15">
      <c r="A431" s="45"/>
    </row>
    <row r="432" spans="1:1" ht="15">
      <c r="A432" s="45"/>
    </row>
    <row r="433" spans="1:1" ht="15">
      <c r="A433" s="45"/>
    </row>
    <row r="434" spans="1:1" ht="15">
      <c r="A434" s="45"/>
    </row>
    <row r="435" spans="1:1" ht="15">
      <c r="A435" s="45"/>
    </row>
    <row r="436" spans="1:1" ht="15">
      <c r="A436" s="45"/>
    </row>
    <row r="437" spans="1:1" ht="15">
      <c r="A437" s="45"/>
    </row>
    <row r="438" spans="1:1" ht="15">
      <c r="A438" s="45"/>
    </row>
    <row r="439" spans="1:1" ht="15">
      <c r="A439" s="45"/>
    </row>
    <row r="440" spans="1:1" ht="15">
      <c r="A440" s="45"/>
    </row>
    <row r="441" spans="1:1" ht="15">
      <c r="A441" s="45"/>
    </row>
    <row r="442" spans="1:1" ht="15">
      <c r="A442" s="45"/>
    </row>
    <row r="443" spans="1:1" ht="15">
      <c r="A443" s="45"/>
    </row>
    <row r="444" spans="1:1" ht="15">
      <c r="A444" s="45"/>
    </row>
    <row r="445" spans="1:1" ht="15">
      <c r="A445" s="45"/>
    </row>
    <row r="446" spans="1:1" ht="15">
      <c r="A446" s="45"/>
    </row>
    <row r="447" spans="1:1" ht="15">
      <c r="A447" s="45"/>
    </row>
    <row r="448" spans="1:1" ht="15">
      <c r="A448" s="45"/>
    </row>
    <row r="449" spans="1:1" ht="15">
      <c r="A449" s="45"/>
    </row>
    <row r="450" spans="1:1" ht="15">
      <c r="A450" s="45"/>
    </row>
    <row r="451" spans="1:1" ht="15">
      <c r="A451" s="45"/>
    </row>
    <row r="452" spans="1:1" ht="15">
      <c r="A452" s="45"/>
    </row>
    <row r="453" spans="1:1" ht="15">
      <c r="A453" s="45"/>
    </row>
    <row r="454" spans="1:1" ht="15">
      <c r="A454" s="45"/>
    </row>
    <row r="455" spans="1:1" ht="15">
      <c r="A455" s="45"/>
    </row>
    <row r="456" spans="1:1" ht="15">
      <c r="A456" s="45"/>
    </row>
    <row r="457" spans="1:1" ht="15">
      <c r="A457" s="45"/>
    </row>
    <row r="458" spans="1:1" ht="15">
      <c r="A458" s="45"/>
    </row>
    <row r="459" spans="1:1" ht="15">
      <c r="A459" s="45"/>
    </row>
    <row r="460" spans="1:1" ht="15">
      <c r="A460" s="45"/>
    </row>
    <row r="461" spans="1:1" ht="15">
      <c r="A461" s="45"/>
    </row>
    <row r="462" spans="1:1" ht="15">
      <c r="A462" s="45"/>
    </row>
    <row r="463" spans="1:1" ht="15">
      <c r="A463" s="45"/>
    </row>
    <row r="464" spans="1:1" ht="15">
      <c r="A464" s="45"/>
    </row>
    <row r="465" spans="1:1" ht="15">
      <c r="A465" s="45"/>
    </row>
    <row r="466" spans="1:1" ht="15">
      <c r="A466" s="45"/>
    </row>
    <row r="467" spans="1:1" ht="15">
      <c r="A467" s="45"/>
    </row>
    <row r="468" spans="1:1" ht="15">
      <c r="A468" s="45"/>
    </row>
    <row r="469" spans="1:1" ht="15">
      <c r="A469" s="45"/>
    </row>
    <row r="470" spans="1:1" ht="15">
      <c r="A470" s="45"/>
    </row>
    <row r="471" spans="1:1" ht="15">
      <c r="A471" s="45"/>
    </row>
    <row r="472" spans="1:1" ht="15">
      <c r="A472" s="45"/>
    </row>
    <row r="473" spans="1:1" ht="15">
      <c r="A473" s="45"/>
    </row>
    <row r="474" spans="1:1" ht="15">
      <c r="A474" s="45"/>
    </row>
    <row r="475" spans="1:1" ht="15">
      <c r="A475" s="45"/>
    </row>
    <row r="476" spans="1:1" ht="15">
      <c r="A476" s="45"/>
    </row>
    <row r="477" spans="1:1" ht="15">
      <c r="A477" s="45"/>
    </row>
    <row r="478" spans="1:1" ht="15">
      <c r="A478" s="45"/>
    </row>
    <row r="479" spans="1:1" ht="15">
      <c r="A479" s="45"/>
    </row>
    <row r="480" spans="1:1" ht="15">
      <c r="A480" s="45"/>
    </row>
    <row r="481" spans="1:1" ht="15">
      <c r="A481" s="45"/>
    </row>
    <row r="482" spans="1:1" ht="15">
      <c r="A482" s="45"/>
    </row>
    <row r="483" spans="1:1" ht="15">
      <c r="A483" s="45"/>
    </row>
    <row r="484" spans="1:1" ht="15">
      <c r="A484" s="45"/>
    </row>
    <row r="485" spans="1:1" ht="15">
      <c r="A485" s="45"/>
    </row>
    <row r="486" spans="1:1" ht="15">
      <c r="A486" s="45"/>
    </row>
    <row r="487" spans="1:1" ht="15">
      <c r="A487" s="45"/>
    </row>
    <row r="488" spans="1:1" ht="15">
      <c r="A488" s="45"/>
    </row>
    <row r="489" spans="1:1" ht="15">
      <c r="A489" s="45"/>
    </row>
    <row r="490" spans="1:1" ht="15">
      <c r="A490" s="45"/>
    </row>
    <row r="491" spans="1:1" ht="15">
      <c r="A491" s="45"/>
    </row>
    <row r="492" spans="1:1" ht="15">
      <c r="A492" s="45"/>
    </row>
    <row r="493" spans="1:1" ht="15">
      <c r="A493" s="45"/>
    </row>
    <row r="494" spans="1:1" ht="15">
      <c r="A494" s="45"/>
    </row>
    <row r="495" spans="1:1" ht="15">
      <c r="A495" s="45"/>
    </row>
    <row r="496" spans="1:1" ht="15">
      <c r="A496" s="45"/>
    </row>
    <row r="497" spans="1:1" ht="15">
      <c r="A497" s="45"/>
    </row>
    <row r="498" spans="1:1" ht="15">
      <c r="A498" s="45"/>
    </row>
    <row r="499" spans="1:1" ht="15">
      <c r="A499" s="45"/>
    </row>
    <row r="500" spans="1:1" ht="15">
      <c r="A500" s="45"/>
    </row>
    <row r="501" spans="1:1" ht="15">
      <c r="A501" s="45"/>
    </row>
    <row r="502" spans="1:1" ht="15">
      <c r="A502" s="45"/>
    </row>
    <row r="503" spans="1:1" ht="15">
      <c r="A503" s="45"/>
    </row>
    <row r="504" spans="1:1" ht="15">
      <c r="A504" s="45"/>
    </row>
    <row r="505" spans="1:1" ht="15">
      <c r="A505" s="45"/>
    </row>
    <row r="506" spans="1:1" ht="15">
      <c r="A506" s="45"/>
    </row>
    <row r="507" spans="1:1" ht="15">
      <c r="A507" s="45"/>
    </row>
    <row r="508" spans="1:1" ht="15">
      <c r="A508" s="45"/>
    </row>
    <row r="509" spans="1:1" ht="15">
      <c r="A509" s="45"/>
    </row>
    <row r="510" spans="1:1" ht="15">
      <c r="A510" s="45"/>
    </row>
    <row r="511" spans="1:1" ht="15">
      <c r="A511" s="45"/>
    </row>
    <row r="512" spans="1:1" ht="15">
      <c r="A512" s="45"/>
    </row>
    <row r="513" spans="1:1" ht="15">
      <c r="A513" s="45"/>
    </row>
    <row r="514" spans="1:1" ht="15">
      <c r="A514" s="45"/>
    </row>
    <row r="515" spans="1:1" ht="15">
      <c r="A515" s="45"/>
    </row>
    <row r="516" spans="1:1" ht="15">
      <c r="A516" s="45"/>
    </row>
    <row r="517" spans="1:1" ht="15">
      <c r="A517" s="45"/>
    </row>
    <row r="518" spans="1:1" ht="15">
      <c r="A518" s="45"/>
    </row>
    <row r="519" spans="1:1" ht="15">
      <c r="A519" s="45"/>
    </row>
    <row r="520" spans="1:1" ht="15">
      <c r="A520" s="45"/>
    </row>
    <row r="521" spans="1:1" ht="15">
      <c r="A521" s="45"/>
    </row>
    <row r="522" spans="1:1" ht="15">
      <c r="A522" s="45"/>
    </row>
    <row r="523" spans="1:1" ht="15">
      <c r="A523" s="45"/>
    </row>
    <row r="524" spans="1:1" ht="15">
      <c r="A524" s="45"/>
    </row>
    <row r="525" spans="1:1" ht="15">
      <c r="A525" s="45"/>
    </row>
    <row r="526" spans="1:1" ht="15">
      <c r="A526" s="45"/>
    </row>
    <row r="527" spans="1:1" ht="15">
      <c r="A527" s="45"/>
    </row>
    <row r="528" spans="1:1" ht="15">
      <c r="A528" s="45"/>
    </row>
    <row r="529" spans="1:1" ht="15">
      <c r="A529" s="45"/>
    </row>
    <row r="530" spans="1:1" ht="15">
      <c r="A530" s="45"/>
    </row>
    <row r="531" spans="1:1" ht="15">
      <c r="A531" s="45"/>
    </row>
    <row r="532" spans="1:1" ht="15">
      <c r="A532" s="45"/>
    </row>
    <row r="533" spans="1:1" ht="15">
      <c r="A533" s="45"/>
    </row>
    <row r="534" spans="1:1" ht="15">
      <c r="A534" s="45"/>
    </row>
    <row r="535" spans="1:1" ht="15">
      <c r="A535" s="45"/>
    </row>
    <row r="536" spans="1:1" ht="15">
      <c r="A536" s="45"/>
    </row>
    <row r="537" spans="1:1" ht="15">
      <c r="A537" s="45"/>
    </row>
    <row r="538" spans="1:1" ht="15">
      <c r="A538" s="45"/>
    </row>
    <row r="539" spans="1:1" ht="15">
      <c r="A539" s="45"/>
    </row>
    <row r="540" spans="1:1" ht="15">
      <c r="A540" s="45"/>
    </row>
    <row r="541" spans="1:1" ht="15">
      <c r="A541" s="45"/>
    </row>
    <row r="542" spans="1:1" ht="15">
      <c r="A542" s="45"/>
    </row>
    <row r="543" spans="1:1" ht="15">
      <c r="A543" s="45"/>
    </row>
    <row r="544" spans="1:1" ht="15">
      <c r="A544" s="45"/>
    </row>
    <row r="545" spans="1:1" ht="15">
      <c r="A545" s="45"/>
    </row>
    <row r="546" spans="1:1" ht="15">
      <c r="A546" s="45"/>
    </row>
    <row r="547" spans="1:1" ht="15">
      <c r="A547" s="45"/>
    </row>
    <row r="548" spans="1:1" ht="15">
      <c r="A548" s="45"/>
    </row>
    <row r="549" spans="1:1" ht="15">
      <c r="A549" s="45"/>
    </row>
    <row r="550" spans="1:1" ht="15">
      <c r="A550" s="45"/>
    </row>
    <row r="551" spans="1:1" ht="15">
      <c r="A551" s="45"/>
    </row>
    <row r="552" spans="1:1" ht="15">
      <c r="A552" s="45"/>
    </row>
    <row r="553" spans="1:1" ht="15">
      <c r="A553" s="45"/>
    </row>
    <row r="554" spans="1:1" ht="15">
      <c r="A554" s="45"/>
    </row>
    <row r="555" spans="1:1" ht="15">
      <c r="A555" s="45"/>
    </row>
    <row r="556" spans="1:1" ht="15">
      <c r="A556" s="45"/>
    </row>
    <row r="557" spans="1:1" ht="15">
      <c r="A557" s="45"/>
    </row>
    <row r="558" spans="1:1" ht="15">
      <c r="A558" s="45"/>
    </row>
    <row r="559" spans="1:1" ht="15">
      <c r="A559" s="45"/>
    </row>
    <row r="560" spans="1:1" ht="15">
      <c r="A560" s="45"/>
    </row>
    <row r="561" spans="1:1" ht="15">
      <c r="A561" s="45"/>
    </row>
    <row r="562" spans="1:1" ht="15">
      <c r="A562" s="45"/>
    </row>
    <row r="563" spans="1:1" ht="15">
      <c r="A563" s="45"/>
    </row>
    <row r="564" spans="1:1" ht="15">
      <c r="A564" s="45"/>
    </row>
    <row r="565" spans="1:1" ht="15">
      <c r="A565" s="45"/>
    </row>
    <row r="566" spans="1:1" ht="15">
      <c r="A566" s="45"/>
    </row>
    <row r="567" spans="1:1" ht="15">
      <c r="A567" s="45"/>
    </row>
    <row r="568" spans="1:1" ht="15">
      <c r="A568" s="45"/>
    </row>
    <row r="569" spans="1:1" ht="15">
      <c r="A569" s="45"/>
    </row>
    <row r="570" spans="1:1" ht="15">
      <c r="A570" s="45"/>
    </row>
    <row r="571" spans="1:1" ht="15">
      <c r="A571" s="45"/>
    </row>
    <row r="572" spans="1:1" ht="15">
      <c r="A572" s="45"/>
    </row>
    <row r="573" spans="1:1" ht="15">
      <c r="A573" s="45"/>
    </row>
    <row r="574" spans="1:1" ht="15">
      <c r="A574" s="45"/>
    </row>
    <row r="575" spans="1:1" ht="15">
      <c r="A575" s="45"/>
    </row>
    <row r="576" spans="1:1" ht="15">
      <c r="A576" s="45"/>
    </row>
    <row r="577" spans="1:1" ht="15">
      <c r="A577" s="45"/>
    </row>
    <row r="578" spans="1:1" ht="15">
      <c r="A578" s="45"/>
    </row>
    <row r="579" spans="1:1" ht="15">
      <c r="A579" s="45"/>
    </row>
    <row r="580" spans="1:1" ht="15">
      <c r="A580" s="45"/>
    </row>
    <row r="581" spans="1:1" ht="15">
      <c r="A581" s="45"/>
    </row>
    <row r="582" spans="1:1" ht="15">
      <c r="A582" s="45"/>
    </row>
    <row r="583" spans="1:1" ht="15">
      <c r="A583" s="45"/>
    </row>
    <row r="584" spans="1:1" ht="15">
      <c r="A584" s="45"/>
    </row>
    <row r="585" spans="1:1" ht="15">
      <c r="A585" s="45"/>
    </row>
    <row r="586" spans="1:1" ht="15">
      <c r="A586" s="45"/>
    </row>
    <row r="587" spans="1:1" ht="15">
      <c r="A587" s="45"/>
    </row>
    <row r="588" spans="1:1" ht="15">
      <c r="A588" s="45"/>
    </row>
    <row r="589" spans="1:1" ht="15">
      <c r="A589" s="45"/>
    </row>
    <row r="590" spans="1:1" ht="15">
      <c r="A590" s="45"/>
    </row>
    <row r="591" spans="1:1" ht="15">
      <c r="A591" s="45"/>
    </row>
    <row r="592" spans="1:1" ht="15">
      <c r="A592" s="45"/>
    </row>
    <row r="593" spans="1:1" ht="15">
      <c r="A593" s="45"/>
    </row>
    <row r="594" spans="1:1" ht="15">
      <c r="A594" s="45"/>
    </row>
    <row r="595" spans="1:1" ht="15">
      <c r="A595" s="45"/>
    </row>
    <row r="596" spans="1:1" ht="15">
      <c r="A596" s="45"/>
    </row>
    <row r="597" spans="1:1" ht="15">
      <c r="A597" s="45"/>
    </row>
    <row r="598" spans="1:1" ht="15">
      <c r="A598" s="45"/>
    </row>
    <row r="599" spans="1:1" ht="15">
      <c r="A599" s="45"/>
    </row>
    <row r="600" spans="1:1" ht="15">
      <c r="A600" s="45"/>
    </row>
    <row r="601" spans="1:1" ht="15">
      <c r="A601" s="45"/>
    </row>
    <row r="602" spans="1:1" ht="15">
      <c r="A602" s="45"/>
    </row>
    <row r="603" spans="1:1" ht="15">
      <c r="A603" s="45"/>
    </row>
    <row r="604" spans="1:1" ht="15">
      <c r="A604" s="45"/>
    </row>
    <row r="605" spans="1:1" ht="15">
      <c r="A605" s="45"/>
    </row>
    <row r="606" spans="1:1" ht="15">
      <c r="A606" s="45"/>
    </row>
    <row r="607" spans="1:1" ht="15">
      <c r="A607" s="45"/>
    </row>
    <row r="608" spans="1:1" ht="15">
      <c r="A608" s="45"/>
    </row>
    <row r="609" spans="1:1" ht="15">
      <c r="A609" s="45"/>
    </row>
    <row r="610" spans="1:1" ht="15">
      <c r="A610" s="45"/>
    </row>
    <row r="611" spans="1:1" ht="15">
      <c r="A611" s="45"/>
    </row>
    <row r="612" spans="1:1" ht="15">
      <c r="A612" s="45"/>
    </row>
    <row r="613" spans="1:1" ht="15">
      <c r="A613" s="45"/>
    </row>
    <row r="614" spans="1:1" ht="15">
      <c r="A614" s="45"/>
    </row>
    <row r="615" spans="1:1" ht="15">
      <c r="A615" s="45"/>
    </row>
    <row r="616" spans="1:1" ht="15">
      <c r="A616" s="45"/>
    </row>
    <row r="617" spans="1:1" ht="15">
      <c r="A617" s="45"/>
    </row>
    <row r="618" spans="1:1" ht="15">
      <c r="A618" s="45"/>
    </row>
    <row r="619" spans="1:1" ht="15">
      <c r="A619" s="45"/>
    </row>
    <row r="620" spans="1:1" ht="15">
      <c r="A620" s="45"/>
    </row>
    <row r="621" spans="1:1" ht="15">
      <c r="A621" s="45"/>
    </row>
    <row r="622" spans="1:1" ht="15">
      <c r="A622" s="45"/>
    </row>
    <row r="623" spans="1:1" ht="15">
      <c r="A623" s="45"/>
    </row>
    <row r="624" spans="1:1" ht="15">
      <c r="A624" s="45"/>
    </row>
    <row r="625" spans="1:1" ht="15">
      <c r="A625" s="45"/>
    </row>
    <row r="626" spans="1:1" ht="15">
      <c r="A626" s="45"/>
    </row>
    <row r="627" spans="1:1" ht="15">
      <c r="A627" s="45"/>
    </row>
    <row r="628" spans="1:1" ht="15">
      <c r="A628" s="45"/>
    </row>
    <row r="629" spans="1:1" ht="15">
      <c r="A629" s="45"/>
    </row>
    <row r="630" spans="1:1" ht="15">
      <c r="A630" s="45"/>
    </row>
    <row r="631" spans="1:1" ht="15">
      <c r="A631" s="45"/>
    </row>
    <row r="632" spans="1:1" ht="15">
      <c r="A632" s="45"/>
    </row>
    <row r="633" spans="1:1" ht="15">
      <c r="A633" s="45"/>
    </row>
    <row r="634" spans="1:1" ht="15">
      <c r="A634" s="45"/>
    </row>
    <row r="635" spans="1:1" ht="15">
      <c r="A635" s="45"/>
    </row>
    <row r="636" spans="1:1" ht="15">
      <c r="A636" s="45"/>
    </row>
    <row r="637" spans="1:1" ht="15">
      <c r="A637" s="45"/>
    </row>
    <row r="638" spans="1:1" ht="15">
      <c r="A638" s="45"/>
    </row>
    <row r="639" spans="1:1" ht="15">
      <c r="A639" s="45"/>
    </row>
    <row r="640" spans="1:1" ht="15">
      <c r="A640" s="45"/>
    </row>
    <row r="641" spans="1:1" ht="15">
      <c r="A641" s="45"/>
    </row>
    <row r="642" spans="1:1" ht="15">
      <c r="A642" s="45"/>
    </row>
    <row r="643" spans="1:1" ht="15">
      <c r="A643" s="45"/>
    </row>
    <row r="644" spans="1:1" ht="15">
      <c r="A644" s="45"/>
    </row>
    <row r="645" spans="1:1" ht="15">
      <c r="A645" s="45"/>
    </row>
    <row r="646" spans="1:1" ht="15">
      <c r="A646" s="45"/>
    </row>
    <row r="647" spans="1:1" ht="15">
      <c r="A647" s="45"/>
    </row>
    <row r="648" spans="1:1" ht="15">
      <c r="A648" s="45"/>
    </row>
    <row r="649" spans="1:1" ht="15">
      <c r="A649" s="45"/>
    </row>
    <row r="650" spans="1:1" ht="15">
      <c r="A650" s="45"/>
    </row>
    <row r="651" spans="1:1" ht="15">
      <c r="A651" s="45"/>
    </row>
    <row r="652" spans="1:1" ht="15">
      <c r="A652" s="45"/>
    </row>
    <row r="653" spans="1:1" ht="15">
      <c r="A653" s="45"/>
    </row>
    <row r="654" spans="1:1" ht="15">
      <c r="A654" s="45"/>
    </row>
    <row r="655" spans="1:1" ht="15">
      <c r="A655" s="45"/>
    </row>
    <row r="656" spans="1:1" ht="15">
      <c r="A656" s="45"/>
    </row>
    <row r="657" spans="1:1" ht="15">
      <c r="A657" s="45"/>
    </row>
    <row r="658" spans="1:1" ht="15">
      <c r="A658" s="45"/>
    </row>
    <row r="659" spans="1:1" ht="15">
      <c r="A659" s="45"/>
    </row>
    <row r="660" spans="1:1" ht="15">
      <c r="A660" s="45"/>
    </row>
    <row r="661" spans="1:1" ht="15">
      <c r="A661" s="45"/>
    </row>
    <row r="662" spans="1:1" ht="15">
      <c r="A662" s="45"/>
    </row>
    <row r="663" spans="1:1" ht="15">
      <c r="A663" s="45"/>
    </row>
    <row r="664" spans="1:1" ht="15">
      <c r="A664" s="45"/>
    </row>
    <row r="665" spans="1:1" ht="15">
      <c r="A665" s="45"/>
    </row>
    <row r="666" spans="1:1" ht="15">
      <c r="A666" s="45"/>
    </row>
    <row r="667" spans="1:1" ht="15">
      <c r="A667" s="45"/>
    </row>
    <row r="668" spans="1:1" ht="15">
      <c r="A668" s="45"/>
    </row>
    <row r="669" spans="1:1" ht="15">
      <c r="A669" s="45"/>
    </row>
    <row r="670" spans="1:1" ht="15">
      <c r="A670" s="45"/>
    </row>
    <row r="671" spans="1:1" ht="15">
      <c r="A671" s="45"/>
    </row>
    <row r="672" spans="1:1" ht="15">
      <c r="A672" s="45"/>
    </row>
    <row r="673" spans="1:1" ht="15">
      <c r="A673" s="45"/>
    </row>
    <row r="674" spans="1:1" ht="15">
      <c r="A674" s="45"/>
    </row>
    <row r="675" spans="1:1" ht="15">
      <c r="A675" s="45"/>
    </row>
    <row r="676" spans="1:1" ht="15">
      <c r="A676" s="45"/>
    </row>
    <row r="677" spans="1:1" ht="15">
      <c r="A677" s="45"/>
    </row>
    <row r="678" spans="1:1" ht="15">
      <c r="A678" s="45"/>
    </row>
    <row r="679" spans="1:1" ht="15">
      <c r="A679" s="45"/>
    </row>
    <row r="680" spans="1:1" ht="15">
      <c r="A680" s="45"/>
    </row>
    <row r="681" spans="1:1" ht="15">
      <c r="A681" s="45"/>
    </row>
    <row r="682" spans="1:1" ht="15">
      <c r="A682" s="45"/>
    </row>
    <row r="683" spans="1:1" ht="15">
      <c r="A683" s="45"/>
    </row>
    <row r="684" spans="1:1" ht="15">
      <c r="A684" s="45"/>
    </row>
    <row r="685" spans="1:1" ht="15">
      <c r="A685" s="45"/>
    </row>
    <row r="686" spans="1:1" ht="15">
      <c r="A686" s="45"/>
    </row>
    <row r="687" spans="1:1" ht="15">
      <c r="A687" s="45"/>
    </row>
    <row r="688" spans="1:1" ht="15">
      <c r="A688" s="45"/>
    </row>
    <row r="689" spans="1:1" ht="15">
      <c r="A689" s="45"/>
    </row>
    <row r="690" spans="1:1" ht="15">
      <c r="A690" s="45"/>
    </row>
    <row r="691" spans="1:1" ht="15">
      <c r="A691" s="45"/>
    </row>
    <row r="692" spans="1:1" ht="15">
      <c r="A692" s="45"/>
    </row>
    <row r="693" spans="1:1" ht="15">
      <c r="A693" s="45"/>
    </row>
    <row r="694" spans="1:1" ht="15">
      <c r="A694" s="45"/>
    </row>
    <row r="695" spans="1:1" ht="15">
      <c r="A695" s="45"/>
    </row>
    <row r="696" spans="1:1" ht="15">
      <c r="A696" s="45"/>
    </row>
    <row r="697" spans="1:1" ht="15">
      <c r="A697" s="45"/>
    </row>
    <row r="698" spans="1:1" ht="15">
      <c r="A698" s="45"/>
    </row>
    <row r="699" spans="1:1" ht="15">
      <c r="A699" s="45"/>
    </row>
    <row r="700" spans="1:1" ht="15">
      <c r="A700" s="45"/>
    </row>
    <row r="701" spans="1:1" ht="15">
      <c r="A701" s="45"/>
    </row>
    <row r="702" spans="1:1" ht="15">
      <c r="A702" s="45"/>
    </row>
    <row r="703" spans="1:1" ht="15">
      <c r="A703" s="45"/>
    </row>
    <row r="704" spans="1:1" ht="15">
      <c r="A704" s="45"/>
    </row>
    <row r="705" spans="1:1" ht="15">
      <c r="A705" s="45"/>
    </row>
    <row r="706" spans="1:1" ht="15">
      <c r="A706" s="45"/>
    </row>
    <row r="707" spans="1:1" ht="15">
      <c r="A707" s="45"/>
    </row>
    <row r="708" spans="1:1" ht="15">
      <c r="A708" s="45"/>
    </row>
    <row r="709" spans="1:1" ht="15">
      <c r="A709" s="45"/>
    </row>
    <row r="710" spans="1:1" ht="15">
      <c r="A710" s="45"/>
    </row>
    <row r="711" spans="1:1" ht="15">
      <c r="A711" s="45"/>
    </row>
    <row r="712" spans="1:1" ht="15">
      <c r="A712" s="45"/>
    </row>
    <row r="713" spans="1:1" ht="15">
      <c r="A713" s="45"/>
    </row>
    <row r="714" spans="1:1" ht="15">
      <c r="A714" s="45"/>
    </row>
    <row r="715" spans="1:1" ht="15">
      <c r="A715" s="45"/>
    </row>
    <row r="716" spans="1:1" ht="15">
      <c r="A716" s="45"/>
    </row>
    <row r="717" spans="1:1" ht="15">
      <c r="A717" s="45"/>
    </row>
    <row r="718" spans="1:1" ht="15">
      <c r="A718" s="45"/>
    </row>
    <row r="719" spans="1:1" ht="15">
      <c r="A719" s="45"/>
    </row>
    <row r="720" spans="1:1" ht="15">
      <c r="A720" s="45"/>
    </row>
    <row r="721" spans="1:1" ht="15">
      <c r="A721" s="45"/>
    </row>
    <row r="722" spans="1:1" ht="15">
      <c r="A722" s="45"/>
    </row>
    <row r="723" spans="1:1" ht="15">
      <c r="A723" s="45"/>
    </row>
    <row r="724" spans="1:1" ht="15">
      <c r="A724" s="45"/>
    </row>
    <row r="725" spans="1:1" ht="15">
      <c r="A725" s="45"/>
    </row>
    <row r="726" spans="1:1" ht="15">
      <c r="A726" s="45"/>
    </row>
    <row r="727" spans="1:1" ht="15">
      <c r="A727" s="45"/>
    </row>
    <row r="728" spans="1:1" ht="15">
      <c r="A728" s="45"/>
    </row>
    <row r="729" spans="1:1" ht="15">
      <c r="A729" s="45"/>
    </row>
    <row r="730" spans="1:1" ht="15">
      <c r="A730" s="45"/>
    </row>
    <row r="731" spans="1:1" ht="15">
      <c r="A731" s="45"/>
    </row>
    <row r="732" spans="1:1" ht="15">
      <c r="A732" s="45"/>
    </row>
    <row r="733" spans="1:1" ht="15">
      <c r="A733" s="45"/>
    </row>
    <row r="734" spans="1:1" ht="15">
      <c r="A734" s="45"/>
    </row>
    <row r="735" spans="1:1" ht="15">
      <c r="A735" s="45"/>
    </row>
    <row r="736" spans="1:1" ht="15">
      <c r="A736" s="45"/>
    </row>
    <row r="737" spans="1:1" ht="15">
      <c r="A737" s="45"/>
    </row>
    <row r="738" spans="1:1" ht="15">
      <c r="A738" s="45"/>
    </row>
    <row r="739" spans="1:1" ht="15">
      <c r="A739" s="45"/>
    </row>
    <row r="740" spans="1:1" ht="15">
      <c r="A740" s="45"/>
    </row>
    <row r="741" spans="1:1" ht="15">
      <c r="A741" s="45"/>
    </row>
    <row r="742" spans="1:1" ht="15">
      <c r="A742" s="45"/>
    </row>
    <row r="743" spans="1:1" ht="15">
      <c r="A743" s="45"/>
    </row>
    <row r="744" spans="1:1" ht="15">
      <c r="A744" s="45"/>
    </row>
    <row r="745" spans="1:1" ht="15">
      <c r="A745" s="45"/>
    </row>
    <row r="746" spans="1:1" ht="15">
      <c r="A746" s="45"/>
    </row>
    <row r="747" spans="1:1" ht="15">
      <c r="A747" s="45"/>
    </row>
    <row r="748" spans="1:1" ht="15">
      <c r="A748" s="45"/>
    </row>
    <row r="749" spans="1:1" ht="15">
      <c r="A749" s="45"/>
    </row>
    <row r="750" spans="1:1" ht="15">
      <c r="A750" s="45"/>
    </row>
    <row r="751" spans="1:1" ht="15">
      <c r="A751" s="45"/>
    </row>
    <row r="752" spans="1:1" ht="15">
      <c r="A752" s="45"/>
    </row>
    <row r="753" spans="1:1" ht="15">
      <c r="A753" s="45"/>
    </row>
    <row r="754" spans="1:1" ht="15">
      <c r="A754" s="45"/>
    </row>
    <row r="755" spans="1:1" ht="15">
      <c r="A755" s="45"/>
    </row>
    <row r="756" spans="1:1" ht="15">
      <c r="A756" s="45"/>
    </row>
    <row r="757" spans="1:1" ht="15">
      <c r="A757" s="45"/>
    </row>
    <row r="758" spans="1:1" ht="15">
      <c r="A758" s="45"/>
    </row>
    <row r="759" spans="1:1" ht="15">
      <c r="A759" s="45"/>
    </row>
    <row r="760" spans="1:1" ht="15">
      <c r="A760" s="45"/>
    </row>
    <row r="761" spans="1:1" ht="15">
      <c r="A761" s="45"/>
    </row>
    <row r="762" spans="1:1" ht="15">
      <c r="A762" s="45"/>
    </row>
    <row r="763" spans="1:1" ht="15">
      <c r="A763" s="45"/>
    </row>
    <row r="764" spans="1:1" ht="15">
      <c r="A764" s="45"/>
    </row>
    <row r="765" spans="1:1" ht="15">
      <c r="A765" s="45"/>
    </row>
    <row r="766" spans="1:1" ht="15">
      <c r="A766" s="45"/>
    </row>
    <row r="767" spans="1:1" ht="15">
      <c r="A767" s="45"/>
    </row>
    <row r="768" spans="1:1" ht="15">
      <c r="A768" s="45"/>
    </row>
    <row r="769" spans="1:1" ht="15">
      <c r="A769" s="45"/>
    </row>
    <row r="770" spans="1:1" ht="15">
      <c r="A770" s="45"/>
    </row>
    <row r="771" spans="1:1" ht="15">
      <c r="A771" s="45"/>
    </row>
    <row r="772" spans="1:1" ht="15">
      <c r="A772" s="45"/>
    </row>
    <row r="773" spans="1:1" ht="15">
      <c r="A773" s="45"/>
    </row>
    <row r="774" spans="1:1" ht="15">
      <c r="A774" s="45"/>
    </row>
    <row r="775" spans="1:1" ht="15">
      <c r="A775" s="45"/>
    </row>
    <row r="776" spans="1:1" ht="15">
      <c r="A776" s="45"/>
    </row>
    <row r="777" spans="1:1" ht="15">
      <c r="A777" s="45"/>
    </row>
    <row r="778" spans="1:1" ht="15">
      <c r="A778" s="45"/>
    </row>
    <row r="779" spans="1:1" ht="15">
      <c r="A779" s="45"/>
    </row>
    <row r="780" spans="1:1" ht="15">
      <c r="A780" s="45"/>
    </row>
    <row r="781" spans="1:1" ht="15">
      <c r="A781" s="45"/>
    </row>
    <row r="782" spans="1:1" ht="15">
      <c r="A782" s="45"/>
    </row>
    <row r="783" spans="1:1" ht="15">
      <c r="A783" s="45"/>
    </row>
    <row r="784" spans="1:1" ht="15">
      <c r="A784" s="45"/>
    </row>
    <row r="785" spans="1:1" ht="15">
      <c r="A785" s="45"/>
    </row>
    <row r="786" spans="1:1" ht="15">
      <c r="A786" s="45"/>
    </row>
    <row r="787" spans="1:1" ht="15">
      <c r="A787" s="45"/>
    </row>
    <row r="788" spans="1:1" ht="15">
      <c r="A788" s="45"/>
    </row>
    <row r="789" spans="1:1" ht="15">
      <c r="A789" s="45"/>
    </row>
    <row r="790" spans="1:1" ht="15">
      <c r="A790" s="45"/>
    </row>
    <row r="791" spans="1:1" ht="15">
      <c r="A791" s="45"/>
    </row>
    <row r="792" spans="1:1" ht="15">
      <c r="A792" s="45"/>
    </row>
    <row r="793" spans="1:1" ht="15">
      <c r="A793" s="45"/>
    </row>
    <row r="794" spans="1:1" ht="15">
      <c r="A794" s="45"/>
    </row>
    <row r="795" spans="1:1" ht="15">
      <c r="A795" s="45"/>
    </row>
    <row r="796" spans="1:1" ht="15">
      <c r="A796" s="45"/>
    </row>
    <row r="797" spans="1:1" ht="15">
      <c r="A797" s="45"/>
    </row>
    <row r="798" spans="1:1" ht="15">
      <c r="A798" s="45"/>
    </row>
    <row r="799" spans="1:1" ht="15">
      <c r="A799" s="45"/>
    </row>
    <row r="800" spans="1:1" ht="15">
      <c r="A800" s="45"/>
    </row>
    <row r="801" spans="1:1" ht="15">
      <c r="A801" s="45"/>
    </row>
    <row r="802" spans="1:1" ht="15">
      <c r="A802" s="45"/>
    </row>
    <row r="803" spans="1:1" ht="15">
      <c r="A803" s="45"/>
    </row>
    <row r="804" spans="1:1" ht="15">
      <c r="A804" s="45"/>
    </row>
    <row r="805" spans="1:1" ht="15">
      <c r="A805" s="45"/>
    </row>
    <row r="806" spans="1:1" ht="15">
      <c r="A806" s="45"/>
    </row>
    <row r="807" spans="1:1" ht="15">
      <c r="A807" s="45"/>
    </row>
    <row r="808" spans="1:1" ht="15">
      <c r="A808" s="45"/>
    </row>
    <row r="809" spans="1:1" ht="15">
      <c r="A809" s="45"/>
    </row>
    <row r="810" spans="1:1" ht="15">
      <c r="A810" s="45"/>
    </row>
    <row r="811" spans="1:1" ht="15">
      <c r="A811" s="45"/>
    </row>
    <row r="812" spans="1:1" ht="15">
      <c r="A812" s="45"/>
    </row>
    <row r="813" spans="1:1" ht="15">
      <c r="A813" s="45"/>
    </row>
    <row r="814" spans="1:1" ht="15">
      <c r="A814" s="45"/>
    </row>
    <row r="815" spans="1:1" ht="15">
      <c r="A815" s="45"/>
    </row>
    <row r="816" spans="1:1" ht="15">
      <c r="A816" s="45"/>
    </row>
    <row r="817" spans="1:1" ht="15">
      <c r="A817" s="45"/>
    </row>
    <row r="818" spans="1:1" ht="15">
      <c r="A818" s="45"/>
    </row>
    <row r="819" spans="1:1" ht="15">
      <c r="A819" s="45"/>
    </row>
    <row r="820" spans="1:1" ht="15">
      <c r="A820" s="45"/>
    </row>
    <row r="821" spans="1:1" ht="15">
      <c r="A821" s="45"/>
    </row>
    <row r="822" spans="1:1" ht="15">
      <c r="A822" s="45"/>
    </row>
    <row r="823" spans="1:1" ht="15">
      <c r="A823" s="45"/>
    </row>
    <row r="824" spans="1:1" ht="15">
      <c r="A824" s="45"/>
    </row>
    <row r="825" spans="1:1" ht="15">
      <c r="A825" s="45"/>
    </row>
    <row r="826" spans="1:1" ht="15">
      <c r="A826" s="45"/>
    </row>
    <row r="827" spans="1:1" ht="15">
      <c r="A827" s="45"/>
    </row>
    <row r="828" spans="1:1" ht="15">
      <c r="A828" s="45"/>
    </row>
    <row r="829" spans="1:1" ht="15">
      <c r="A829" s="45"/>
    </row>
    <row r="830" spans="1:1" ht="15">
      <c r="A830" s="45"/>
    </row>
    <row r="831" spans="1:1" ht="15">
      <c r="A831" s="45"/>
    </row>
    <row r="832" spans="1:1" ht="15">
      <c r="A832" s="45"/>
    </row>
    <row r="833" spans="1:1" ht="15">
      <c r="A833" s="45"/>
    </row>
    <row r="834" spans="1:1" ht="15">
      <c r="A834" s="45"/>
    </row>
    <row r="835" spans="1:1" ht="15">
      <c r="A835" s="45"/>
    </row>
    <row r="836" spans="1:1" ht="15">
      <c r="A836" s="45"/>
    </row>
    <row r="837" spans="1:1" ht="15">
      <c r="A837" s="45"/>
    </row>
    <row r="838" spans="1:1" ht="15">
      <c r="A838" s="45"/>
    </row>
    <row r="839" spans="1:1" ht="15">
      <c r="A839" s="45"/>
    </row>
    <row r="840" spans="1:1" ht="15">
      <c r="A840" s="45"/>
    </row>
    <row r="841" spans="1:1" ht="15">
      <c r="A841" s="45"/>
    </row>
    <row r="842" spans="1:1" ht="15">
      <c r="A842" s="45"/>
    </row>
    <row r="843" spans="1:1" ht="15">
      <c r="A843" s="45"/>
    </row>
    <row r="844" spans="1:1" ht="15">
      <c r="A844" s="45"/>
    </row>
    <row r="845" spans="1:1" ht="15">
      <c r="A845" s="45"/>
    </row>
    <row r="846" spans="1:1" ht="15">
      <c r="A846" s="45"/>
    </row>
    <row r="847" spans="1:1" ht="15">
      <c r="A847" s="45"/>
    </row>
    <row r="848" spans="1:1" ht="15">
      <c r="A848" s="45"/>
    </row>
    <row r="849" spans="1:1" ht="15">
      <c r="A849" s="45"/>
    </row>
    <row r="850" spans="1:1" ht="15">
      <c r="A850" s="45"/>
    </row>
    <row r="851" spans="1:1" ht="15">
      <c r="A851" s="45"/>
    </row>
    <row r="852" spans="1:1" ht="15">
      <c r="A852" s="45"/>
    </row>
    <row r="853" spans="1:1" ht="15">
      <c r="A853" s="45"/>
    </row>
    <row r="854" spans="1:1" ht="15">
      <c r="A854" s="45"/>
    </row>
    <row r="855" spans="1:1" ht="15">
      <c r="A855" s="45"/>
    </row>
    <row r="856" spans="1:1" ht="15">
      <c r="A856" s="45"/>
    </row>
    <row r="857" spans="1:1" ht="15">
      <c r="A857" s="45"/>
    </row>
    <row r="858" spans="1:1" ht="15">
      <c r="A858" s="45"/>
    </row>
    <row r="859" spans="1:1" ht="15">
      <c r="A859" s="45"/>
    </row>
    <row r="860" spans="1:1" ht="15">
      <c r="A860" s="45"/>
    </row>
    <row r="861" spans="1:1" ht="15">
      <c r="A861" s="45"/>
    </row>
    <row r="862" spans="1:1" ht="15">
      <c r="A862" s="45"/>
    </row>
    <row r="863" spans="1:1" ht="15">
      <c r="A863" s="45"/>
    </row>
    <row r="864" spans="1:1" ht="15">
      <c r="A864" s="45"/>
    </row>
    <row r="865" spans="1:1" ht="15">
      <c r="A865" s="45"/>
    </row>
    <row r="866" spans="1:1" ht="15">
      <c r="A866" s="45"/>
    </row>
    <row r="867" spans="1:1" ht="15">
      <c r="A867" s="45"/>
    </row>
    <row r="868" spans="1:1" ht="15">
      <c r="A868" s="45"/>
    </row>
    <row r="869" spans="1:1" ht="15">
      <c r="A869" s="45"/>
    </row>
    <row r="870" spans="1:1" ht="15">
      <c r="A870" s="45"/>
    </row>
    <row r="871" spans="1:1" ht="15">
      <c r="A871" s="45"/>
    </row>
    <row r="872" spans="1:1" ht="15">
      <c r="A872" s="45"/>
    </row>
    <row r="873" spans="1:1" ht="15">
      <c r="A873" s="45"/>
    </row>
    <row r="874" spans="1:1" ht="15">
      <c r="A874" s="45"/>
    </row>
    <row r="875" spans="1:1" ht="15">
      <c r="A875" s="45"/>
    </row>
    <row r="876" spans="1:1" ht="15">
      <c r="A876" s="45"/>
    </row>
    <row r="877" spans="1:1" ht="15">
      <c r="A877" s="45"/>
    </row>
    <row r="878" spans="1:1" ht="15">
      <c r="A878" s="45"/>
    </row>
    <row r="879" spans="1:1" ht="15">
      <c r="A879" s="45"/>
    </row>
    <row r="880" spans="1:1" ht="15">
      <c r="A880" s="45"/>
    </row>
    <row r="881" spans="1:1" ht="15">
      <c r="A881" s="45"/>
    </row>
    <row r="882" spans="1:1" ht="15">
      <c r="A882" s="45"/>
    </row>
    <row r="883" spans="1:1" ht="15">
      <c r="A883" s="45"/>
    </row>
    <row r="884" spans="1:1" ht="15">
      <c r="A884" s="45"/>
    </row>
    <row r="885" spans="1:1" ht="15">
      <c r="A885" s="45"/>
    </row>
    <row r="886" spans="1:1" ht="15">
      <c r="A886" s="45"/>
    </row>
    <row r="887" spans="1:1" ht="15">
      <c r="A887" s="45"/>
    </row>
    <row r="888" spans="1:1" ht="15">
      <c r="A888" s="45"/>
    </row>
    <row r="889" spans="1:1" ht="15">
      <c r="A889" s="45"/>
    </row>
    <row r="890" spans="1:1" ht="15">
      <c r="A890" s="45"/>
    </row>
    <row r="891" spans="1:1" ht="15">
      <c r="A891" s="45"/>
    </row>
    <row r="892" spans="1:1" ht="15">
      <c r="A892" s="45"/>
    </row>
    <row r="893" spans="1:1" ht="15">
      <c r="A893" s="45"/>
    </row>
    <row r="894" spans="1:1" ht="15">
      <c r="A894" s="45"/>
    </row>
    <row r="895" spans="1:1" ht="15">
      <c r="A895" s="45"/>
    </row>
    <row r="896" spans="1:1" ht="15">
      <c r="A896" s="45"/>
    </row>
    <row r="897" spans="1:1" ht="15">
      <c r="A897" s="45"/>
    </row>
    <row r="898" spans="1:1" ht="15">
      <c r="A898" s="45"/>
    </row>
    <row r="899" spans="1:1" ht="15">
      <c r="A899" s="45"/>
    </row>
    <row r="900" spans="1:1" ht="15">
      <c r="A900" s="45"/>
    </row>
    <row r="901" spans="1:1" ht="15">
      <c r="A901" s="45"/>
    </row>
    <row r="902" spans="1:1" ht="15">
      <c r="A902" s="45"/>
    </row>
    <row r="903" spans="1:1" ht="15">
      <c r="A903" s="45"/>
    </row>
    <row r="904" spans="1:1" ht="15">
      <c r="A904" s="45"/>
    </row>
    <row r="905" spans="1:1" ht="15">
      <c r="A905" s="45"/>
    </row>
    <row r="906" spans="1:1" ht="15">
      <c r="A906" s="45"/>
    </row>
    <row r="907" spans="1:1" ht="15">
      <c r="A907" s="45"/>
    </row>
    <row r="908" spans="1:1" ht="15">
      <c r="A908" s="45"/>
    </row>
    <row r="909" spans="1:1" ht="15">
      <c r="A909" s="45"/>
    </row>
    <row r="910" spans="1:1" ht="15">
      <c r="A910" s="45"/>
    </row>
    <row r="911" spans="1:1" ht="15">
      <c r="A911" s="45"/>
    </row>
    <row r="912" spans="1:1" ht="15">
      <c r="A912" s="45"/>
    </row>
    <row r="913" spans="1:1" ht="15">
      <c r="A913" s="45"/>
    </row>
    <row r="914" spans="1:1" ht="15">
      <c r="A914" s="45"/>
    </row>
    <row r="915" spans="1:1" ht="15">
      <c r="A915" s="45"/>
    </row>
    <row r="916" spans="1:1" ht="15">
      <c r="A916" s="45"/>
    </row>
    <row r="917" spans="1:1" ht="15">
      <c r="A917" s="45"/>
    </row>
    <row r="918" spans="1:1" ht="15">
      <c r="A918" s="45"/>
    </row>
    <row r="919" spans="1:1" ht="15">
      <c r="A919" s="45"/>
    </row>
    <row r="920" spans="1:1" ht="15">
      <c r="A920" s="45"/>
    </row>
    <row r="921" spans="1:1" ht="15">
      <c r="A921" s="45"/>
    </row>
    <row r="922" spans="1:1" ht="15">
      <c r="A922" s="45"/>
    </row>
    <row r="923" spans="1:1" ht="15">
      <c r="A923" s="45"/>
    </row>
    <row r="924" spans="1:1" ht="15">
      <c r="A924" s="45"/>
    </row>
    <row r="925" spans="1:1" ht="15">
      <c r="A925" s="45"/>
    </row>
    <row r="926" spans="1:1" ht="15">
      <c r="A926" s="45"/>
    </row>
    <row r="927" spans="1:1" ht="15">
      <c r="A927" s="45"/>
    </row>
    <row r="928" spans="1:1" ht="15">
      <c r="A928" s="45"/>
    </row>
    <row r="929" spans="1:1" ht="15">
      <c r="A929" s="45"/>
    </row>
    <row r="930" spans="1:1" ht="15">
      <c r="A930" s="45"/>
    </row>
    <row r="931" spans="1:1" ht="15">
      <c r="A931" s="45"/>
    </row>
    <row r="932" spans="1:1" ht="15">
      <c r="A932" s="45"/>
    </row>
    <row r="933" spans="1:1" ht="15">
      <c r="A933" s="45"/>
    </row>
    <row r="934" spans="1:1" ht="15">
      <c r="A934" s="45"/>
    </row>
    <row r="935" spans="1:1" ht="15">
      <c r="A935" s="45"/>
    </row>
    <row r="936" spans="1:1" ht="15">
      <c r="A936" s="45"/>
    </row>
    <row r="937" spans="1:1" ht="15">
      <c r="A937" s="45"/>
    </row>
    <row r="938" spans="1:1" ht="15">
      <c r="A938" s="45"/>
    </row>
    <row r="939" spans="1:1" ht="15">
      <c r="A939" s="45"/>
    </row>
    <row r="940" spans="1:1" ht="15">
      <c r="A940" s="45"/>
    </row>
    <row r="941" spans="1:1" ht="15">
      <c r="A941" s="45"/>
    </row>
    <row r="942" spans="1:1" ht="15">
      <c r="A942" s="45"/>
    </row>
    <row r="943" spans="1:1" ht="15">
      <c r="A943" s="45"/>
    </row>
    <row r="944" spans="1:1" ht="15">
      <c r="A944" s="45"/>
    </row>
    <row r="945" spans="1:1" ht="15">
      <c r="A945" s="45"/>
    </row>
    <row r="946" spans="1:1" ht="15">
      <c r="A946" s="45"/>
    </row>
    <row r="947" spans="1:1" ht="15">
      <c r="A947" s="45"/>
    </row>
    <row r="948" spans="1:1" ht="15">
      <c r="A948" s="45"/>
    </row>
    <row r="949" spans="1:1" ht="15">
      <c r="A949" s="45"/>
    </row>
    <row r="950" spans="1:1" ht="15">
      <c r="A950" s="45"/>
    </row>
    <row r="951" spans="1:1" ht="15">
      <c r="A951" s="45"/>
    </row>
    <row r="952" spans="1:1" ht="15">
      <c r="A952" s="45"/>
    </row>
    <row r="953" spans="1:1" ht="15">
      <c r="A953" s="45"/>
    </row>
    <row r="954" spans="1:1" ht="15">
      <c r="A954" s="45"/>
    </row>
    <row r="955" spans="1:1" ht="15">
      <c r="A955" s="45"/>
    </row>
    <row r="956" spans="1:1" ht="15">
      <c r="A956" s="45"/>
    </row>
    <row r="957" spans="1:1" ht="15">
      <c r="A957" s="45"/>
    </row>
    <row r="958" spans="1:1" ht="15">
      <c r="A958" s="45"/>
    </row>
    <row r="959" spans="1:1" ht="15">
      <c r="A959" s="45"/>
    </row>
    <row r="960" spans="1:1" ht="15">
      <c r="A960" s="45"/>
    </row>
    <row r="961" spans="1:1" ht="15">
      <c r="A961" s="45"/>
    </row>
    <row r="962" spans="1:1" ht="15">
      <c r="A962" s="45"/>
    </row>
    <row r="963" spans="1:1" ht="15">
      <c r="A963" s="45"/>
    </row>
    <row r="964" spans="1:1" ht="15">
      <c r="A964" s="45"/>
    </row>
    <row r="965" spans="1:1" ht="15">
      <c r="A965" s="45"/>
    </row>
    <row r="966" spans="1:1" ht="15">
      <c r="A966" s="45"/>
    </row>
    <row r="967" spans="1:1" ht="15">
      <c r="A967" s="45"/>
    </row>
    <row r="968" spans="1:1" ht="15">
      <c r="A968" s="45"/>
    </row>
    <row r="969" spans="1:1" ht="15">
      <c r="A969" s="45"/>
    </row>
    <row r="970" spans="1:1" ht="15">
      <c r="A970" s="45"/>
    </row>
    <row r="971" spans="1:1" ht="15">
      <c r="A971" s="45"/>
    </row>
    <row r="972" spans="1:1" ht="15">
      <c r="A972" s="45"/>
    </row>
    <row r="973" spans="1:1" ht="15">
      <c r="A973" s="45"/>
    </row>
    <row r="974" spans="1:1" ht="15">
      <c r="A974" s="45"/>
    </row>
    <row r="975" spans="1:1" ht="15">
      <c r="A975" s="45"/>
    </row>
    <row r="976" spans="1:1" ht="15">
      <c r="A976" s="45"/>
    </row>
    <row r="977" spans="1:1" ht="15">
      <c r="A977" s="45"/>
    </row>
    <row r="978" spans="1:1" ht="15">
      <c r="A978" s="45"/>
    </row>
    <row r="979" spans="1:1" ht="15">
      <c r="A979" s="45"/>
    </row>
    <row r="980" spans="1:1" ht="15">
      <c r="A980" s="45"/>
    </row>
    <row r="981" spans="1:1" ht="15">
      <c r="A981" s="45"/>
    </row>
    <row r="982" spans="1:1" ht="15">
      <c r="A982" s="45"/>
    </row>
    <row r="983" spans="1:1" ht="15">
      <c r="A983" s="45"/>
    </row>
    <row r="984" spans="1:1" ht="15">
      <c r="A984" s="45"/>
    </row>
    <row r="985" spans="1:1" ht="15">
      <c r="A985" s="45"/>
    </row>
    <row r="986" spans="1:1" ht="15">
      <c r="A986" s="45"/>
    </row>
    <row r="987" spans="1:1" ht="15">
      <c r="A987" s="45"/>
    </row>
    <row r="988" spans="1:1" ht="15">
      <c r="A988" s="45"/>
    </row>
    <row r="989" spans="1:1" ht="15">
      <c r="A989" s="45"/>
    </row>
    <row r="990" spans="1:1" ht="15">
      <c r="A990" s="45"/>
    </row>
    <row r="991" spans="1:1" ht="15">
      <c r="A991" s="45"/>
    </row>
    <row r="992" spans="1:1" ht="15">
      <c r="A992" s="45"/>
    </row>
    <row r="993" spans="1:1" ht="15">
      <c r="A993" s="45"/>
    </row>
    <row r="994" spans="1:1" ht="15">
      <c r="A994" s="45"/>
    </row>
    <row r="995" spans="1:1" ht="15">
      <c r="A995" s="45"/>
    </row>
    <row r="996" spans="1:1" ht="15">
      <c r="A996" s="45"/>
    </row>
    <row r="997" spans="1:1" ht="15">
      <c r="A997" s="45"/>
    </row>
    <row r="998" spans="1:1" ht="15">
      <c r="A998" s="45"/>
    </row>
    <row r="999" spans="1:1" ht="15">
      <c r="A999" s="45"/>
    </row>
    <row r="1000" spans="1:1" ht="15">
      <c r="A1000" s="4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Z17"/>
  <sheetViews>
    <sheetView workbookViewId="0"/>
  </sheetViews>
  <sheetFormatPr baseColWidth="10" defaultColWidth="12.5" defaultRowHeight="15.75" customHeight="1"/>
  <sheetData>
    <row r="1" spans="1:234" ht="13">
      <c r="B1" s="26" t="s">
        <v>921</v>
      </c>
    </row>
    <row r="2" spans="1:234" ht="13">
      <c r="A2" s="26" t="s">
        <v>922</v>
      </c>
    </row>
    <row r="3" spans="1:234" ht="70.5" customHeight="1">
      <c r="A3" s="46" t="s">
        <v>923</v>
      </c>
      <c r="B3" s="47" t="str">
        <f ca="1">IFERROR(__xludf.DUMMYFUNCTION("TRANSPOSE(
  FILTER(
    IF(
      'ALL PPR Drafts'!C$2:C1000 = """",
      'ALL PPR Drafts'!D$2:D1000 &amp; "" ("" &amp; 'ALL PPR Drafts'!F$2:F1000 &amp; "", "" &amp; 'ALL PPR Drafts'!H$2:H1000 &amp; "",  "" &amp; 'ALL PPR Drafts'!I$2:I1000 &amp; "")"",
      """"
    ),
    VALUE("&amp;"'ALL PPR Drafts'!G$2:G1000) &gt;= 1,
    VALUE('ALL PPR Drafts'!G$2:G1000) &lt;= 10.99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s="47" t="str">
        <f ca="1">IFERROR(__xludf.DUMMYFUNCTION("""COMPUTED_VALUE"""),"")</f>
        <v/>
      </c>
      <c r="K3" s="47" t="str">
        <f ca="1">IFERROR(__xludf.DUMMYFUNCTION("""COMPUTED_VALUE"""),"")</f>
        <v/>
      </c>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c r="DA3" s="47"/>
      <c r="DB3" s="47"/>
      <c r="DC3" s="47"/>
      <c r="DD3" s="47"/>
      <c r="DE3" s="47"/>
      <c r="DF3" s="47"/>
      <c r="DG3" s="47"/>
      <c r="DH3" s="47"/>
      <c r="DI3" s="47"/>
      <c r="DJ3" s="47"/>
      <c r="DK3" s="47"/>
      <c r="DL3" s="47"/>
      <c r="DM3" s="47"/>
      <c r="DN3" s="47"/>
      <c r="DO3" s="47"/>
      <c r="DP3" s="47"/>
      <c r="DQ3" s="47"/>
      <c r="DR3" s="47"/>
      <c r="DS3" s="47"/>
      <c r="DT3" s="47"/>
      <c r="DU3" s="47"/>
      <c r="DV3" s="47"/>
      <c r="DW3" s="47"/>
      <c r="DX3" s="47"/>
      <c r="DY3" s="47"/>
      <c r="DZ3" s="47"/>
      <c r="EA3" s="47"/>
      <c r="EB3" s="47"/>
      <c r="EC3" s="47"/>
      <c r="ED3" s="47"/>
      <c r="EE3" s="47"/>
      <c r="EF3" s="47"/>
      <c r="EG3" s="47"/>
      <c r="EH3" s="47"/>
      <c r="EI3" s="47"/>
      <c r="EJ3" s="47"/>
      <c r="EK3" s="47"/>
      <c r="EL3" s="47"/>
      <c r="EM3" s="47"/>
      <c r="EN3" s="47"/>
      <c r="EO3" s="47"/>
      <c r="EP3" s="47"/>
      <c r="EQ3" s="47"/>
      <c r="ER3" s="47"/>
      <c r="ES3" s="47"/>
      <c r="ET3" s="47"/>
      <c r="EU3" s="47"/>
      <c r="EV3" s="47"/>
      <c r="EW3" s="47"/>
      <c r="EX3" s="47"/>
      <c r="EY3" s="47"/>
      <c r="EZ3" s="47"/>
      <c r="FA3" s="47"/>
      <c r="FB3" s="47"/>
      <c r="FC3" s="47"/>
      <c r="FD3" s="47"/>
      <c r="FE3" s="47"/>
      <c r="FF3" s="47"/>
      <c r="FG3" s="47"/>
      <c r="FH3" s="47"/>
      <c r="FI3" s="47"/>
      <c r="FJ3" s="47"/>
      <c r="FK3" s="47"/>
      <c r="FL3" s="47"/>
      <c r="FM3" s="47"/>
      <c r="FN3" s="47"/>
      <c r="FO3" s="47"/>
      <c r="FP3" s="47"/>
      <c r="FQ3" s="47"/>
      <c r="FR3" s="47"/>
      <c r="FS3" s="47"/>
      <c r="FT3" s="47"/>
      <c r="FU3" s="47"/>
      <c r="FV3" s="47"/>
      <c r="FW3" s="47"/>
      <c r="FX3" s="47"/>
      <c r="FY3" s="47"/>
      <c r="FZ3" s="47"/>
      <c r="GA3" s="47"/>
      <c r="GB3" s="47"/>
      <c r="GC3" s="47"/>
      <c r="GD3" s="47"/>
      <c r="GE3" s="47"/>
      <c r="GF3" s="47"/>
      <c r="GG3" s="47"/>
      <c r="GH3" s="47"/>
      <c r="GI3" s="47"/>
      <c r="GJ3" s="47"/>
      <c r="GK3" s="47"/>
      <c r="GL3" s="47"/>
      <c r="GM3" s="47"/>
      <c r="GN3" s="47"/>
      <c r="GO3" s="47"/>
      <c r="GP3" s="47"/>
      <c r="GQ3" s="47"/>
      <c r="GR3" s="47"/>
      <c r="GS3" s="47"/>
      <c r="GT3" s="47"/>
      <c r="GU3" s="47"/>
      <c r="GV3" s="47"/>
      <c r="GW3" s="47"/>
      <c r="GX3" s="47"/>
      <c r="GY3" s="47"/>
      <c r="GZ3" s="47"/>
      <c r="HA3" s="47"/>
      <c r="HB3" s="47"/>
      <c r="HC3" s="47"/>
      <c r="HD3" s="47"/>
      <c r="HE3" s="47"/>
      <c r="HF3" s="47"/>
      <c r="HG3" s="47"/>
      <c r="HH3" s="47"/>
      <c r="HI3" s="47"/>
      <c r="HJ3" s="47"/>
      <c r="HK3" s="47"/>
      <c r="HL3" s="47"/>
      <c r="HM3" s="47"/>
      <c r="HN3" s="47"/>
      <c r="HO3" s="47"/>
      <c r="HP3" s="47"/>
      <c r="HQ3" s="47"/>
      <c r="HR3" s="47"/>
      <c r="HS3" s="47"/>
      <c r="HT3" s="47"/>
      <c r="HU3" s="47"/>
      <c r="HV3" s="47"/>
      <c r="HW3" s="47"/>
      <c r="HX3" s="47"/>
      <c r="HY3" s="47"/>
      <c r="HZ3" s="47"/>
    </row>
    <row r="4" spans="1:234" ht="42">
      <c r="A4" s="46" t="s">
        <v>924</v>
      </c>
      <c r="B4" s="48" t="str">
        <f ca="1">IFERROR(__xludf.DUMMYFUNCTION("TRANSPOSE(
  FILTER(
    IF(
      'ALL PPR Drafts'!C$2:C1000 = """",
      'ALL PPR Drafts'!D$2:D1000 &amp; "" ("" &amp; 'ALL PPR Drafts'!F$2:F1000 &amp; "", "" &amp; 'ALL PPR Drafts'!H$2:H1000 &amp; "", "" &amp; 'ALL PPR Drafts'!I$2:I1000 &amp; "")"",
      """"
    ),
    VALUE('"&amp;"ALL PPR Drafts'!G$2:G1000) &gt;= 11,
    VALUE('ALL PPR Drafts'!G$2:G1000) &lt;= 20.99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t="str">
        <f ca="1">IFERROR(__xludf.DUMMYFUNCTION("""COMPUTED_VALUE"""),"Jeremiyah Love (RB, 4.2, 3)")</f>
        <v>Jeremiyah Love (RB, 4.2, 3)</v>
      </c>
      <c r="J4" s="47" t="str">
        <f ca="1">IFERROR(__xludf.DUMMYFUNCTION("""COMPUTED_VALUE"""),"")</f>
        <v/>
      </c>
      <c r="K4" s="47" t="str">
        <f ca="1">IFERROR(__xludf.DUMMYFUNCTION("""COMPUTED_VALUE"""),"")</f>
        <v/>
      </c>
      <c r="L4" s="47"/>
      <c r="M4" s="47"/>
      <c r="N4" s="47"/>
      <c r="O4" s="47"/>
      <c r="P4" s="47"/>
      <c r="Q4" s="47"/>
      <c r="R4" s="47"/>
      <c r="S4" s="47"/>
      <c r="T4" s="47"/>
      <c r="U4" s="47"/>
      <c r="V4" s="47"/>
      <c r="W4" s="47"/>
      <c r="X4" s="47"/>
      <c r="Y4" s="47"/>
      <c r="Z4" s="47"/>
      <c r="AA4" s="47"/>
      <c r="AB4" s="47"/>
      <c r="AC4" s="47"/>
      <c r="AD4" s="47"/>
      <c r="AE4" s="47"/>
      <c r="AF4" s="47"/>
      <c r="AG4" s="47"/>
      <c r="AH4" s="47"/>
      <c r="AI4" s="47"/>
      <c r="AJ4" s="47"/>
      <c r="AK4" s="47"/>
      <c r="AL4" s="47"/>
      <c r="AM4" s="47"/>
      <c r="AN4" s="47"/>
      <c r="AO4" s="47"/>
      <c r="AP4" s="47"/>
      <c r="AQ4" s="47"/>
      <c r="AR4" s="47"/>
      <c r="AS4" s="47"/>
      <c r="AT4" s="47"/>
      <c r="AU4" s="47"/>
      <c r="AV4" s="47"/>
      <c r="AW4" s="47"/>
      <c r="AX4" s="47"/>
      <c r="AY4" s="47"/>
      <c r="AZ4" s="47"/>
      <c r="BA4" s="47"/>
      <c r="BB4" s="47"/>
      <c r="BC4" s="47"/>
      <c r="BD4" s="47"/>
      <c r="BE4" s="47"/>
      <c r="BF4" s="47"/>
      <c r="BG4" s="47"/>
      <c r="BH4" s="47"/>
      <c r="BI4" s="47"/>
      <c r="BJ4" s="47"/>
      <c r="BK4" s="47"/>
      <c r="BL4" s="47"/>
      <c r="BM4" s="47"/>
      <c r="BN4" s="47"/>
      <c r="BO4" s="47"/>
      <c r="BP4" s="47"/>
      <c r="BQ4" s="47"/>
      <c r="BR4" s="47"/>
      <c r="BS4" s="47"/>
      <c r="BT4" s="47"/>
      <c r="BU4" s="47"/>
      <c r="BV4" s="47"/>
      <c r="BW4" s="47"/>
      <c r="BX4" s="47"/>
      <c r="BY4" s="47"/>
      <c r="BZ4" s="47"/>
      <c r="CA4" s="47"/>
      <c r="CB4" s="47"/>
      <c r="CC4" s="47"/>
      <c r="CD4" s="47"/>
      <c r="CE4" s="47"/>
      <c r="CF4" s="47"/>
      <c r="CG4" s="47"/>
      <c r="CH4" s="47"/>
      <c r="CI4" s="47"/>
      <c r="CJ4" s="47"/>
      <c r="CK4" s="47"/>
      <c r="CL4" s="47"/>
      <c r="CM4" s="47"/>
      <c r="CN4" s="47"/>
      <c r="CO4" s="47"/>
      <c r="CP4" s="47"/>
      <c r="CQ4" s="47"/>
      <c r="CR4" s="47"/>
      <c r="CS4" s="47"/>
      <c r="CT4" s="47"/>
      <c r="CU4" s="47"/>
      <c r="CV4" s="47"/>
      <c r="CW4" s="47"/>
      <c r="CX4" s="47"/>
      <c r="CY4" s="47"/>
      <c r="CZ4" s="47"/>
      <c r="DA4" s="47"/>
      <c r="DB4" s="47"/>
      <c r="DC4" s="47"/>
      <c r="DD4" s="47"/>
      <c r="DE4" s="47"/>
      <c r="DF4" s="47"/>
      <c r="DG4" s="47"/>
      <c r="DH4" s="47"/>
      <c r="DI4" s="47"/>
      <c r="DJ4" s="47"/>
      <c r="DK4" s="47"/>
      <c r="DL4" s="47"/>
      <c r="DM4" s="47"/>
      <c r="DN4" s="47"/>
      <c r="DO4" s="47"/>
      <c r="DP4" s="47"/>
      <c r="DQ4" s="47"/>
      <c r="DR4" s="47"/>
      <c r="DS4" s="47"/>
      <c r="DT4" s="47"/>
      <c r="DU4" s="47"/>
      <c r="DV4" s="47"/>
      <c r="DW4" s="47"/>
      <c r="DX4" s="47"/>
      <c r="DY4" s="47"/>
      <c r="DZ4" s="47"/>
      <c r="EA4" s="47"/>
      <c r="EB4" s="47"/>
      <c r="EC4" s="47"/>
      <c r="ED4" s="47"/>
      <c r="EE4" s="47"/>
      <c r="EF4" s="47"/>
      <c r="EG4" s="47"/>
      <c r="EH4" s="47"/>
      <c r="EI4" s="47"/>
      <c r="EJ4" s="47"/>
      <c r="EK4" s="47"/>
      <c r="EL4" s="47"/>
      <c r="EM4" s="47"/>
      <c r="EN4" s="47"/>
      <c r="EO4" s="47"/>
      <c r="EP4" s="47"/>
      <c r="EQ4" s="47"/>
      <c r="ER4" s="47"/>
      <c r="ES4" s="47"/>
      <c r="ET4" s="47"/>
      <c r="EU4" s="47"/>
      <c r="EV4" s="47"/>
      <c r="EW4" s="47"/>
      <c r="EX4" s="47"/>
      <c r="EY4" s="47"/>
      <c r="EZ4" s="47"/>
      <c r="FA4" s="47"/>
      <c r="FB4" s="47"/>
      <c r="FC4" s="47"/>
      <c r="FD4" s="47"/>
      <c r="FE4" s="47"/>
      <c r="FF4" s="47"/>
      <c r="FG4" s="47"/>
      <c r="FH4" s="47"/>
      <c r="FI4" s="47"/>
      <c r="FJ4" s="47"/>
      <c r="FK4" s="47"/>
      <c r="FL4" s="47"/>
      <c r="FM4" s="47"/>
      <c r="FN4" s="47"/>
      <c r="FO4" s="47"/>
      <c r="FP4" s="47"/>
      <c r="FQ4" s="47"/>
      <c r="FR4" s="47"/>
      <c r="FS4" s="47"/>
      <c r="FT4" s="47"/>
      <c r="FU4" s="47"/>
      <c r="FV4" s="47"/>
      <c r="FW4" s="47"/>
      <c r="FX4" s="47"/>
      <c r="FY4" s="47"/>
      <c r="FZ4" s="47"/>
      <c r="GA4" s="47"/>
      <c r="GB4" s="47"/>
      <c r="GC4" s="47"/>
      <c r="GD4" s="47"/>
      <c r="GE4" s="47"/>
      <c r="GF4" s="47"/>
      <c r="GG4" s="47"/>
      <c r="GH4" s="47"/>
      <c r="GI4" s="47"/>
      <c r="GJ4" s="47"/>
      <c r="GK4" s="47"/>
      <c r="GL4" s="47"/>
      <c r="GM4" s="47"/>
      <c r="GN4" s="47"/>
      <c r="GO4" s="47"/>
      <c r="GP4" s="47"/>
      <c r="GQ4" s="47"/>
      <c r="GR4" s="47"/>
      <c r="GS4" s="47"/>
      <c r="GT4" s="47"/>
      <c r="GU4" s="47"/>
      <c r="GV4" s="47"/>
      <c r="GW4" s="47"/>
      <c r="GX4" s="47"/>
      <c r="GY4" s="47"/>
      <c r="GZ4" s="47"/>
      <c r="HA4" s="47"/>
      <c r="HB4" s="47"/>
      <c r="HC4" s="47"/>
      <c r="HD4" s="47"/>
      <c r="HE4" s="47"/>
      <c r="HF4" s="47"/>
      <c r="HG4" s="47"/>
      <c r="HH4" s="47"/>
      <c r="HI4" s="47"/>
      <c r="HJ4" s="47"/>
      <c r="HK4" s="47"/>
      <c r="HL4" s="47"/>
      <c r="HM4" s="47"/>
      <c r="HN4" s="47"/>
      <c r="HO4" s="47"/>
      <c r="HP4" s="47"/>
      <c r="HQ4" s="47"/>
      <c r="HR4" s="47"/>
      <c r="HS4" s="47"/>
      <c r="HT4" s="47"/>
      <c r="HU4" s="47"/>
      <c r="HV4" s="47"/>
      <c r="HW4" s="47"/>
      <c r="HX4" s="47"/>
      <c r="HY4" s="47"/>
      <c r="HZ4" s="47"/>
    </row>
    <row r="5" spans="1:234" ht="42">
      <c r="A5" s="46" t="s">
        <v>925</v>
      </c>
      <c r="B5" s="47" t="str">
        <f ca="1">IFERROR(__xludf.DUMMYFUNCTION("TRANSPOSE(
  FILTER(
    IF(
      'ALL PPR Drafts'!C$2:C1000 = """",
      'ALL PPR Drafts'!D$2:D1000 &amp; "" ("" &amp; 'ALL PPR Drafts'!F$2:F1000 &amp; "", "" &amp; 'ALL PPR Drafts'!H$2:H1000 &amp; "", "" &amp; 'ALL PPR Drafts'!I$2:I1000 &amp; "")"",
      """"
    ),
    VALUE('"&amp;"ALL PPR Drafts'!G$2:G1000) &gt;= 21,
    VALUE('ALL PPR Drafts'!G$2:G1000) &lt;= 30.99
  )
)
"),"")</f>
        <v/>
      </c>
      <c r="C5" s="47" t="str">
        <f ca="1">IFERROR(__xludf.DUMMYFUNCTION("""COMPUTED_VALUE"""),"")</f>
        <v/>
      </c>
      <c r="D5" s="47" t="str">
        <f ca="1">IFERROR(__xludf.DUMMYFUNCTION("""COMPUTED_VALUE"""),"")</f>
        <v/>
      </c>
      <c r="E5" s="47" t="str">
        <f ca="1">IFERROR(__xludf.DUMMYFUNCTION("""COMPUTED_VALUE"""),"Derrick Henry (RB, 4.8, 1)")</f>
        <v>Derrick Henry (RB, 4.8, 1)</v>
      </c>
      <c r="F5" s="47" t="str">
        <f ca="1">IFERROR(__xludf.DUMMYFUNCTION("""COMPUTED_VALUE"""),"")</f>
        <v/>
      </c>
      <c r="G5" s="47" t="str">
        <f ca="1">IFERROR(__xludf.DUMMYFUNCTION("""COMPUTED_VALUE"""),"")</f>
        <v/>
      </c>
      <c r="H5" s="47" t="str">
        <f ca="1">IFERROR(__xludf.DUMMYFUNCTION("""COMPUTED_VALUE"""),"Lamar Jackson (QB, 1.2, 3)")</f>
        <v>Lamar Jackson (QB, 1.2, 3)</v>
      </c>
      <c r="I5" s="47" t="str">
        <f ca="1">IFERROR(__xludf.DUMMYFUNCTION("""COMPUTED_VALUE"""),"Tee Higgins (WR, 5.3, 3)")</f>
        <v>Tee Higgins (WR, 5.3, 3)</v>
      </c>
      <c r="J5" s="47" t="str">
        <f ca="1">IFERROR(__xludf.DUMMYFUNCTION("""COMPUTED_VALUE"""),"Kenneth Walker III (RB, 8.3, 3)")</f>
        <v>Kenneth Walker III (RB, 8.3, 3)</v>
      </c>
      <c r="K5" s="48" t="str">
        <f ca="1">IFERROR(__xludf.DUMMYFUNCTION("""COMPUTED_VALUE"""),"A.J. Brown (WR, 5.3, 3)")</f>
        <v>A.J. Brown (WR, 5.3, 3)</v>
      </c>
      <c r="L5" s="47" t="str">
        <f ca="1">IFERROR(__xludf.DUMMYFUNCTION("""COMPUTED_VALUE"""),"")</f>
        <v/>
      </c>
      <c r="M5" s="47"/>
      <c r="N5" s="47"/>
      <c r="O5" s="47"/>
      <c r="P5" s="47"/>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c r="BW5" s="47"/>
      <c r="BX5" s="47"/>
      <c r="BY5" s="47"/>
      <c r="BZ5" s="47"/>
      <c r="CA5" s="47"/>
      <c r="CB5" s="47"/>
      <c r="CC5" s="47"/>
      <c r="CD5" s="47"/>
      <c r="CE5" s="47"/>
      <c r="CF5" s="47"/>
      <c r="CG5" s="47"/>
      <c r="CH5" s="47"/>
      <c r="CI5" s="47"/>
      <c r="CJ5" s="47"/>
      <c r="CK5" s="47"/>
      <c r="CL5" s="47"/>
      <c r="CM5" s="47"/>
      <c r="CN5" s="47"/>
      <c r="CO5" s="47"/>
      <c r="CP5" s="47"/>
      <c r="CQ5" s="47"/>
      <c r="CR5" s="47"/>
      <c r="CS5" s="47"/>
      <c r="CT5" s="47"/>
      <c r="CU5" s="47"/>
      <c r="CV5" s="47"/>
      <c r="CW5" s="47"/>
      <c r="CX5" s="47"/>
      <c r="CY5" s="47"/>
      <c r="CZ5" s="47"/>
      <c r="DA5" s="47"/>
      <c r="DB5" s="47"/>
      <c r="DC5" s="47"/>
      <c r="DD5" s="47"/>
      <c r="DE5" s="47"/>
      <c r="DF5" s="47"/>
      <c r="DG5" s="47"/>
      <c r="DH5" s="47"/>
      <c r="DI5" s="47"/>
      <c r="DJ5" s="47"/>
      <c r="DK5" s="47"/>
      <c r="DL5" s="47"/>
      <c r="DM5" s="47"/>
      <c r="DN5" s="47"/>
      <c r="DO5" s="47"/>
      <c r="DP5" s="47"/>
      <c r="DQ5" s="47"/>
      <c r="DR5" s="47"/>
      <c r="DS5" s="47"/>
      <c r="DT5" s="47"/>
      <c r="DU5" s="47"/>
      <c r="DV5" s="47"/>
      <c r="DW5" s="47"/>
      <c r="DX5" s="47"/>
      <c r="DY5" s="47"/>
      <c r="DZ5" s="47"/>
      <c r="EA5" s="47"/>
      <c r="EB5" s="47"/>
      <c r="EC5" s="47"/>
      <c r="ED5" s="47"/>
      <c r="EE5" s="47"/>
      <c r="EF5" s="47"/>
      <c r="EG5" s="47"/>
      <c r="EH5" s="47"/>
      <c r="EI5" s="47"/>
      <c r="EJ5" s="47"/>
      <c r="EK5" s="47"/>
      <c r="EL5" s="47"/>
      <c r="EM5" s="47"/>
      <c r="EN5" s="47"/>
      <c r="EO5" s="47"/>
      <c r="EP5" s="47"/>
      <c r="EQ5" s="47"/>
      <c r="ER5" s="47"/>
      <c r="ES5" s="47"/>
      <c r="ET5" s="47"/>
      <c r="EU5" s="47"/>
      <c r="EV5" s="47"/>
      <c r="EW5" s="47"/>
      <c r="EX5" s="47"/>
      <c r="EY5" s="47"/>
      <c r="EZ5" s="47"/>
      <c r="FA5" s="47"/>
      <c r="FB5" s="47"/>
      <c r="FC5" s="47"/>
      <c r="FD5" s="47"/>
      <c r="FE5" s="47"/>
      <c r="FF5" s="47"/>
      <c r="FG5" s="47"/>
      <c r="FH5" s="47"/>
      <c r="FI5" s="47"/>
      <c r="FJ5" s="47"/>
      <c r="FK5" s="47"/>
      <c r="FL5" s="47"/>
      <c r="FM5" s="47"/>
      <c r="FN5" s="47"/>
      <c r="FO5" s="47"/>
      <c r="FP5" s="47"/>
      <c r="FQ5" s="47"/>
      <c r="FR5" s="47"/>
      <c r="FS5" s="47"/>
      <c r="FT5" s="47"/>
      <c r="FU5" s="47"/>
      <c r="FV5" s="47"/>
      <c r="FW5" s="47"/>
      <c r="FX5" s="47"/>
      <c r="FY5" s="47"/>
      <c r="FZ5" s="47"/>
      <c r="GA5" s="47"/>
      <c r="GB5" s="47"/>
      <c r="GC5" s="47"/>
      <c r="GD5" s="47"/>
      <c r="GE5" s="47"/>
      <c r="GF5" s="47"/>
      <c r="GG5" s="47"/>
      <c r="GH5" s="47"/>
      <c r="GI5" s="47"/>
      <c r="GJ5" s="47"/>
      <c r="GK5" s="47"/>
      <c r="GL5" s="47"/>
      <c r="GM5" s="47"/>
      <c r="GN5" s="47"/>
      <c r="GO5" s="47"/>
      <c r="GP5" s="47"/>
      <c r="GQ5" s="47"/>
      <c r="GR5" s="47"/>
      <c r="GS5" s="47"/>
      <c r="GT5" s="47"/>
      <c r="GU5" s="47"/>
      <c r="GV5" s="47"/>
      <c r="GW5" s="47"/>
      <c r="GX5" s="47"/>
      <c r="GY5" s="47"/>
      <c r="GZ5" s="47"/>
      <c r="HA5" s="47"/>
      <c r="HB5" s="47"/>
      <c r="HC5" s="47"/>
      <c r="HD5" s="47"/>
      <c r="HE5" s="47"/>
      <c r="HF5" s="47"/>
      <c r="HG5" s="47"/>
      <c r="HH5" s="47"/>
      <c r="HI5" s="47"/>
      <c r="HJ5" s="47"/>
      <c r="HK5" s="47"/>
      <c r="HL5" s="47"/>
      <c r="HM5" s="47"/>
      <c r="HN5" s="47"/>
      <c r="HO5" s="47"/>
      <c r="HP5" s="47"/>
      <c r="HQ5" s="47"/>
      <c r="HR5" s="47"/>
      <c r="HS5" s="47"/>
      <c r="HT5" s="47"/>
      <c r="HU5" s="47"/>
      <c r="HV5" s="47"/>
      <c r="HW5" s="47"/>
      <c r="HX5" s="47"/>
      <c r="HY5" s="47"/>
      <c r="HZ5" s="47"/>
    </row>
    <row r="6" spans="1:234" ht="42">
      <c r="A6" s="46" t="s">
        <v>926</v>
      </c>
      <c r="B6" s="47" t="str">
        <f ca="1">IFERROR(__xludf.DUMMYFUNCTION("TRANSPOSE(
  FILTER(
    IF(
      'ALL PPR Drafts'!C$2:C1000 = """",
      'ALL PPR Drafts'!D$2:D1000 &amp; "" ("" &amp; 'ALL PPR Drafts'!F$2:F1000 &amp; "", "" &amp; 'ALL PPR Drafts'!H$2:H1000 &amp; "", "" &amp; 'ALL PPR Drafts'!I$2:I1000 &amp; "")"",
      """"
    ),
    VALUE('"&amp;"ALL PPR Drafts'!G$2:G1000) &gt;= 31,
    VALUE('ALL PPR Drafts'!G$2:G1000) &lt;= 40.99
  )
)
"),"Josh Jacobs (RB, 7.7, 4)")</f>
        <v>Josh Jacobs (RB, 7.7, 4)</v>
      </c>
      <c r="C6" s="47" t="str">
        <f ca="1">IFERROR(__xludf.DUMMYFUNCTION("""COMPUTED_VALUE"""),"")</f>
        <v/>
      </c>
      <c r="D6" s="47" t="str">
        <f ca="1">IFERROR(__xludf.DUMMYFUNCTION("""COMPUTED_VALUE"""),"")</f>
        <v/>
      </c>
      <c r="E6" s="47" t="str">
        <f ca="1">IFERROR(__xludf.DUMMYFUNCTION("""COMPUTED_VALUE"""),"Davante Adams (WR, 5, 3)")</f>
        <v>Davante Adams (WR, 5, 3)</v>
      </c>
      <c r="F6" s="47" t="str">
        <f ca="1">IFERROR(__xludf.DUMMYFUNCTION("""COMPUTED_VALUE"""),"")</f>
        <v/>
      </c>
      <c r="G6" s="47"/>
      <c r="H6" s="47"/>
      <c r="I6" s="47"/>
      <c r="J6" s="47"/>
      <c r="K6" s="48"/>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c r="AM6" s="47"/>
      <c r="AN6" s="47"/>
      <c r="AO6" s="47"/>
      <c r="AP6" s="47"/>
      <c r="AQ6" s="47"/>
      <c r="AR6" s="47"/>
      <c r="AS6" s="47"/>
      <c r="AT6" s="47"/>
      <c r="AU6" s="47"/>
      <c r="AV6" s="47"/>
      <c r="AW6" s="47"/>
      <c r="AX6" s="47"/>
      <c r="AY6" s="47"/>
      <c r="AZ6" s="47"/>
      <c r="BA6" s="47"/>
      <c r="BB6" s="47"/>
      <c r="BC6" s="47"/>
      <c r="BD6" s="47"/>
      <c r="BE6" s="47"/>
      <c r="BF6" s="47"/>
      <c r="BG6" s="47"/>
      <c r="BH6" s="47"/>
      <c r="BI6" s="47"/>
      <c r="BJ6" s="47"/>
      <c r="BK6" s="47"/>
      <c r="BL6" s="47"/>
      <c r="BM6" s="47"/>
      <c r="BN6" s="47"/>
      <c r="BO6" s="47"/>
      <c r="BP6" s="47"/>
      <c r="BQ6" s="47"/>
      <c r="BR6" s="47"/>
      <c r="BS6" s="47"/>
      <c r="BT6" s="47"/>
      <c r="BU6" s="47"/>
      <c r="BV6" s="47"/>
      <c r="BW6" s="47"/>
      <c r="BX6" s="47"/>
      <c r="BY6" s="47"/>
      <c r="BZ6" s="47"/>
      <c r="CA6" s="47"/>
      <c r="CB6" s="47"/>
      <c r="CC6" s="47"/>
      <c r="CD6" s="47"/>
      <c r="CE6" s="47"/>
      <c r="CF6" s="47"/>
      <c r="CG6" s="47"/>
      <c r="CH6" s="47"/>
      <c r="CI6" s="47"/>
      <c r="CJ6" s="47"/>
      <c r="CK6" s="47"/>
      <c r="CL6" s="47"/>
      <c r="CM6" s="47"/>
      <c r="CN6" s="47"/>
      <c r="CO6" s="47"/>
      <c r="CP6" s="47"/>
      <c r="CQ6" s="47"/>
      <c r="CR6" s="47"/>
      <c r="CS6" s="47"/>
      <c r="CT6" s="47"/>
      <c r="CU6" s="47"/>
      <c r="CV6" s="47"/>
      <c r="CW6" s="47"/>
      <c r="CX6" s="47"/>
      <c r="CY6" s="47"/>
      <c r="CZ6" s="47"/>
      <c r="DA6" s="47"/>
      <c r="DB6" s="47"/>
      <c r="DC6" s="47"/>
      <c r="DD6" s="47"/>
      <c r="DE6" s="47"/>
      <c r="DF6" s="47"/>
      <c r="DG6" s="47"/>
      <c r="DH6" s="47"/>
      <c r="DI6" s="47"/>
      <c r="DJ6" s="47"/>
      <c r="DK6" s="47"/>
      <c r="DL6" s="47"/>
      <c r="DM6" s="47"/>
      <c r="DN6" s="47"/>
      <c r="DO6" s="47"/>
      <c r="DP6" s="47"/>
      <c r="DQ6" s="47"/>
      <c r="DR6" s="47"/>
      <c r="DS6" s="47"/>
      <c r="DT6" s="47"/>
      <c r="DU6" s="47"/>
      <c r="DV6" s="47"/>
      <c r="DW6" s="47"/>
      <c r="DX6" s="47"/>
      <c r="DY6" s="47"/>
      <c r="DZ6" s="47"/>
      <c r="EA6" s="47"/>
      <c r="EB6" s="47"/>
      <c r="EC6" s="47"/>
      <c r="ED6" s="47"/>
      <c r="EE6" s="47"/>
      <c r="EF6" s="47"/>
      <c r="EG6" s="47"/>
      <c r="EH6" s="47"/>
      <c r="EI6" s="47"/>
      <c r="EJ6" s="47"/>
      <c r="EK6" s="47"/>
      <c r="EL6" s="47"/>
      <c r="EM6" s="47"/>
      <c r="EN6" s="47"/>
      <c r="EO6" s="47"/>
      <c r="EP6" s="47"/>
      <c r="EQ6" s="47"/>
      <c r="ER6" s="47"/>
      <c r="ES6" s="47"/>
      <c r="ET6" s="47"/>
      <c r="EU6" s="47"/>
      <c r="EV6" s="47"/>
      <c r="EW6" s="47"/>
      <c r="EX6" s="47"/>
      <c r="EY6" s="47"/>
      <c r="EZ6" s="47"/>
      <c r="FA6" s="47"/>
      <c r="FB6" s="47"/>
      <c r="FC6" s="47"/>
      <c r="FD6" s="47"/>
      <c r="FE6" s="47"/>
      <c r="FF6" s="47"/>
      <c r="FG6" s="47"/>
      <c r="FH6" s="47"/>
      <c r="FI6" s="47"/>
      <c r="FJ6" s="47"/>
      <c r="FK6" s="47"/>
      <c r="FL6" s="47"/>
      <c r="FM6" s="47"/>
      <c r="FN6" s="47"/>
      <c r="FO6" s="47"/>
      <c r="FP6" s="47"/>
      <c r="FQ6" s="47"/>
      <c r="FR6" s="47"/>
      <c r="FS6" s="47"/>
      <c r="FT6" s="47"/>
      <c r="FU6" s="47"/>
      <c r="FV6" s="47"/>
      <c r="FW6" s="47"/>
      <c r="FX6" s="47"/>
      <c r="FY6" s="47"/>
      <c r="FZ6" s="47"/>
      <c r="GA6" s="47"/>
      <c r="GB6" s="47"/>
      <c r="GC6" s="47"/>
      <c r="GD6" s="47"/>
      <c r="GE6" s="47"/>
      <c r="GF6" s="47"/>
      <c r="GG6" s="47"/>
      <c r="GH6" s="47"/>
      <c r="GI6" s="47"/>
      <c r="GJ6" s="47"/>
      <c r="GK6" s="47"/>
      <c r="GL6" s="47"/>
      <c r="GM6" s="47"/>
      <c r="GN6" s="47"/>
      <c r="GO6" s="47"/>
      <c r="GP6" s="47"/>
      <c r="GQ6" s="47"/>
      <c r="GR6" s="47"/>
      <c r="GS6" s="47"/>
      <c r="GT6" s="47"/>
      <c r="GU6" s="47"/>
      <c r="GV6" s="47"/>
      <c r="GW6" s="47"/>
      <c r="GX6" s="47"/>
      <c r="GY6" s="47"/>
      <c r="GZ6" s="47"/>
      <c r="HA6" s="47"/>
      <c r="HB6" s="47"/>
      <c r="HC6" s="47"/>
      <c r="HD6" s="47"/>
      <c r="HE6" s="47"/>
      <c r="HF6" s="47"/>
      <c r="HG6" s="47"/>
      <c r="HH6" s="47"/>
      <c r="HI6" s="47"/>
      <c r="HJ6" s="47"/>
      <c r="HK6" s="47"/>
      <c r="HL6" s="47"/>
      <c r="HM6" s="47"/>
      <c r="HN6" s="47"/>
      <c r="HO6" s="47"/>
      <c r="HP6" s="47"/>
      <c r="HQ6" s="47"/>
      <c r="HR6" s="47"/>
      <c r="HS6" s="47"/>
      <c r="HT6" s="47"/>
      <c r="HU6" s="47"/>
      <c r="HV6" s="47"/>
      <c r="HW6" s="47"/>
      <c r="HX6" s="47"/>
      <c r="HY6" s="47"/>
      <c r="HZ6" s="47"/>
    </row>
    <row r="7" spans="1:234" ht="42">
      <c r="A7" s="46" t="s">
        <v>927</v>
      </c>
      <c r="B7" s="47" t="str">
        <f ca="1">IFERROR(__xludf.DUMMYFUNCTION("TRANSPOSE(
  FILTER(
    IF(
      'ALL PPR Drafts'!C$2:C1000 = """",
      'ALL PPR Drafts'!D$2:D1000 &amp; "" ("" &amp; 'ALL PPR Drafts'!F$2:F1000 &amp; "", "" &amp; 'ALL PPR Drafts'!H$2:H1000 &amp; "","" &amp; 'ALL PPR Drafts'!I$2:I1000 &amp; "")"",
      """"
    ),
    VALUE('A"&amp;"LL PPR Drafts'!G$2:G1000) &gt;= 41,
    VALUE('ALL PPR Drafts'!G$2:G1000) &lt;= 50.99
  )
)
"),"Breece Hall (RB, 5.8,4)")</f>
        <v>Breece Hall (RB, 5.8,4)</v>
      </c>
      <c r="C7" s="47" t="str">
        <f ca="1">IFERROR(__xludf.DUMMYFUNCTION("""COMPUTED_VALUE"""),"Tucker Kraft (TE, 20.4,2)")</f>
        <v>Tucker Kraft (TE, 20.4,2)</v>
      </c>
      <c r="D7" s="47" t="str">
        <f ca="1">IFERROR(__xludf.DUMMYFUNCTION("""COMPUTED_VALUE"""),"")</f>
        <v/>
      </c>
      <c r="E7" s="47" t="str">
        <f ca="1">IFERROR(__xludf.DUMMYFUNCTION("""COMPUTED_VALUE"""),"Zay Flowers (WR, 8.4,4)")</f>
        <v>Zay Flowers (WR, 8.4,4)</v>
      </c>
      <c r="F7" s="47" t="str">
        <f ca="1">IFERROR(__xludf.DUMMYFUNCTION("""COMPUTED_VALUE"""),"Joe Burrow (QB, 10.7,3)")</f>
        <v>Joe Burrow (QB, 10.7,3)</v>
      </c>
      <c r="G7" s="47" t="str">
        <f ca="1">IFERROR(__xludf.DUMMYFUNCTION("""COMPUTED_VALUE"""),"Javonte Williams (RB, 7.9,3)")</f>
        <v>Javonte Williams (RB, 7.9,3)</v>
      </c>
      <c r="H7" s="47" t="str">
        <f ca="1">IFERROR(__xludf.DUMMYFUNCTION("""COMPUTED_VALUE"""),"Travis Etienne Jr. (RB, 5.7,3)")</f>
        <v>Travis Etienne Jr. (RB, 5.7,3)</v>
      </c>
      <c r="I7" s="47" t="str">
        <f ca="1">IFERROR(__xludf.DUMMYFUNCTION("""COMPUTED_VALUE"""),"Jameson Williams (WR, 7.7,4)")</f>
        <v>Jameson Williams (WR, 7.7,4)</v>
      </c>
      <c r="J7" s="47" t="str">
        <f ca="1">IFERROR(__xludf.DUMMYFUNCTION("""COMPUTED_VALUE"""),"Jayden Daniels (QB, 11.3,4)")</f>
        <v>Jayden Daniels (QB, 11.3,4)</v>
      </c>
      <c r="K7" s="47" t="str">
        <f ca="1">IFERROR(__xludf.DUMMYFUNCTION("""COMPUTED_VALUE"""),"Carnell Tate (WR, 13.9,3)")</f>
        <v>Carnell Tate (WR, 13.9,3)</v>
      </c>
      <c r="L7" s="47" t="str">
        <f ca="1">IFERROR(__xludf.DUMMYFUNCTION("""COMPUTED_VALUE"""),"Bucky Irving (RB, 4.7,3)")</f>
        <v>Bucky Irving (RB, 4.7,3)</v>
      </c>
      <c r="M7" s="47" t="str">
        <f ca="1">IFERROR(__xludf.DUMMYFUNCTION("""COMPUTED_VALUE"""),"Ladd McConkey (WR, 6.1,3)")</f>
        <v>Ladd McConkey (WR, 6.1,3)</v>
      </c>
      <c r="N7" s="47" t="str">
        <f ca="1">IFERROR(__xludf.DUMMYFUNCTION("""COMPUTED_VALUE"""),"Terry McLaurin (WR, 6.9,4)")</f>
        <v>Terry McLaurin (WR, 6.9,4)</v>
      </c>
      <c r="O7" s="47" t="str">
        <f ca="1">IFERROR(__xludf.DUMMYFUNCTION("""COMPUTED_VALUE"""),"Colston Loveland (TE, 11,4)")</f>
        <v>Colston Loveland (TE, 11,4)</v>
      </c>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c r="AS7" s="47"/>
      <c r="AT7" s="47"/>
      <c r="AU7" s="47"/>
      <c r="AV7" s="47"/>
      <c r="AW7" s="47"/>
      <c r="AX7" s="47"/>
      <c r="AY7" s="47"/>
      <c r="AZ7" s="47"/>
      <c r="BA7" s="47"/>
      <c r="BB7" s="47"/>
      <c r="BC7" s="47"/>
      <c r="BD7" s="47"/>
      <c r="BE7" s="47"/>
      <c r="BF7" s="47"/>
      <c r="BG7" s="47"/>
      <c r="BH7" s="47"/>
      <c r="BI7" s="47"/>
      <c r="BJ7" s="47"/>
      <c r="BK7" s="47"/>
      <c r="BL7" s="47"/>
      <c r="BM7" s="47"/>
      <c r="BN7" s="47"/>
      <c r="BO7" s="47"/>
      <c r="BP7" s="47"/>
      <c r="BQ7" s="47"/>
      <c r="BR7" s="47"/>
      <c r="BS7" s="47"/>
      <c r="BT7" s="47"/>
      <c r="BU7" s="47"/>
      <c r="BV7" s="47"/>
      <c r="BW7" s="47"/>
      <c r="BX7" s="47"/>
      <c r="BY7" s="47"/>
      <c r="BZ7" s="47"/>
      <c r="CA7" s="47"/>
      <c r="CB7" s="47"/>
      <c r="CC7" s="47"/>
      <c r="CD7" s="47"/>
      <c r="CE7" s="47"/>
      <c r="CF7" s="47"/>
      <c r="CG7" s="47"/>
      <c r="CH7" s="47"/>
      <c r="CI7" s="47"/>
      <c r="CJ7" s="47"/>
      <c r="CK7" s="47"/>
      <c r="CL7" s="47"/>
      <c r="CM7" s="47"/>
      <c r="CN7" s="47"/>
      <c r="CO7" s="47"/>
      <c r="CP7" s="47"/>
      <c r="CQ7" s="47"/>
      <c r="CR7" s="47"/>
      <c r="CS7" s="47"/>
      <c r="CT7" s="47"/>
      <c r="CU7" s="47"/>
      <c r="CV7" s="47"/>
      <c r="CW7" s="47"/>
      <c r="CX7" s="47"/>
      <c r="CY7" s="47"/>
      <c r="CZ7" s="47"/>
      <c r="DA7" s="47"/>
      <c r="DB7" s="47"/>
      <c r="DC7" s="47"/>
      <c r="DD7" s="47"/>
      <c r="DE7" s="47"/>
      <c r="DF7" s="47"/>
      <c r="DG7" s="47"/>
      <c r="DH7" s="47"/>
      <c r="DI7" s="47"/>
      <c r="DJ7" s="47"/>
      <c r="DK7" s="47"/>
      <c r="DL7" s="47"/>
      <c r="DM7" s="47"/>
      <c r="DN7" s="47"/>
      <c r="DO7" s="47"/>
      <c r="DP7" s="47"/>
      <c r="DQ7" s="47"/>
      <c r="DR7" s="47"/>
      <c r="DS7" s="47"/>
      <c r="DT7" s="47"/>
      <c r="DU7" s="47"/>
      <c r="DV7" s="47"/>
      <c r="DW7" s="47"/>
      <c r="DX7" s="47"/>
      <c r="DY7" s="47"/>
      <c r="DZ7" s="47"/>
      <c r="EA7" s="47"/>
      <c r="EB7" s="47"/>
      <c r="EC7" s="47"/>
      <c r="ED7" s="47"/>
      <c r="EE7" s="47"/>
      <c r="EF7" s="47"/>
      <c r="EG7" s="47"/>
      <c r="EH7" s="47"/>
      <c r="EI7" s="47"/>
      <c r="EJ7" s="47"/>
      <c r="EK7" s="47"/>
      <c r="EL7" s="47"/>
      <c r="EM7" s="47"/>
      <c r="EN7" s="47"/>
      <c r="EO7" s="47"/>
      <c r="EP7" s="47"/>
      <c r="EQ7" s="47"/>
      <c r="ER7" s="47"/>
      <c r="ES7" s="47"/>
      <c r="ET7" s="47"/>
      <c r="EU7" s="47"/>
      <c r="EV7" s="47"/>
      <c r="EW7" s="47"/>
      <c r="EX7" s="47"/>
      <c r="EY7" s="47"/>
      <c r="EZ7" s="47"/>
      <c r="FA7" s="47"/>
      <c r="FB7" s="47"/>
      <c r="FC7" s="47"/>
      <c r="FD7" s="47"/>
      <c r="FE7" s="47"/>
      <c r="FF7" s="47"/>
      <c r="FG7" s="47"/>
      <c r="FH7" s="47"/>
      <c r="FI7" s="47"/>
      <c r="FJ7" s="47"/>
      <c r="FK7" s="47"/>
      <c r="FL7" s="47"/>
      <c r="FM7" s="47"/>
      <c r="FN7" s="47"/>
      <c r="FO7" s="47"/>
      <c r="FP7" s="47"/>
      <c r="FQ7" s="47"/>
      <c r="FR7" s="47"/>
      <c r="FS7" s="47"/>
      <c r="FT7" s="47"/>
      <c r="FU7" s="47"/>
      <c r="FV7" s="47"/>
      <c r="FW7" s="47"/>
      <c r="FX7" s="47"/>
      <c r="FY7" s="47"/>
      <c r="FZ7" s="47"/>
      <c r="GA7" s="47"/>
      <c r="GB7" s="47"/>
      <c r="GC7" s="47"/>
      <c r="GD7" s="47"/>
      <c r="GE7" s="47"/>
      <c r="GF7" s="47"/>
      <c r="GG7" s="47"/>
      <c r="GH7" s="47"/>
      <c r="GI7" s="47"/>
      <c r="GJ7" s="47"/>
      <c r="GK7" s="47"/>
      <c r="GL7" s="47"/>
      <c r="GM7" s="47"/>
      <c r="GN7" s="47"/>
      <c r="GO7" s="47"/>
      <c r="GP7" s="47"/>
      <c r="GQ7" s="47"/>
      <c r="GR7" s="47"/>
      <c r="GS7" s="47"/>
      <c r="GT7" s="47"/>
      <c r="GU7" s="47"/>
      <c r="GV7" s="47"/>
      <c r="GW7" s="47"/>
      <c r="GX7" s="47"/>
      <c r="GY7" s="47"/>
      <c r="GZ7" s="47"/>
      <c r="HA7" s="47"/>
      <c r="HB7" s="47"/>
      <c r="HC7" s="47"/>
      <c r="HD7" s="47"/>
      <c r="HE7" s="47"/>
      <c r="HF7" s="47"/>
      <c r="HG7" s="47"/>
      <c r="HH7" s="47"/>
      <c r="HI7" s="47"/>
      <c r="HJ7" s="47"/>
      <c r="HK7" s="47"/>
      <c r="HL7" s="47"/>
      <c r="HM7" s="47"/>
      <c r="HN7" s="47"/>
      <c r="HO7" s="47"/>
      <c r="HP7" s="47"/>
      <c r="HQ7" s="47"/>
      <c r="HR7" s="47"/>
      <c r="HS7" s="47"/>
      <c r="HT7" s="47"/>
      <c r="HU7" s="47"/>
      <c r="HV7" s="47"/>
      <c r="HW7" s="47"/>
      <c r="HX7" s="47"/>
      <c r="HY7" s="47"/>
      <c r="HZ7" s="47"/>
    </row>
    <row r="8" spans="1:234" ht="42">
      <c r="A8" s="46" t="s">
        <v>928</v>
      </c>
      <c r="B8" s="47" t="str">
        <f ca="1">IFERROR(__xludf.DUMMYFUNCTION("TRANSPOSE(
  FILTER(
    IF(
      'ALL PPR Drafts'!C$2:C1000 = """",
      'ALL PPR Drafts'!D$2:D1000 &amp; "" ("" &amp; 'ALL PPR Drafts'!F$2:F1000 &amp; "","" &amp; 'ALL PPR Drafts'!H$2:H1000 &amp; "", "" &amp; 'ALL PPR Drafts'!I$2:I1000 &amp; "")"",
      """"
    ),
    VALUE('A"&amp;"LL PPR Drafts'!G$2:G1000) &gt;= 51,
    VALUE('ALL PPR Drafts'!G$2:G1000) &lt;= 60.99
  )
)
"),"Jaylen Waddle (WR,10.6, 3)")</f>
        <v>Jaylen Waddle (WR,10.6, 3)</v>
      </c>
      <c r="C8" s="47" t="str">
        <f ca="1">IFERROR(__xludf.DUMMYFUNCTION("""COMPUTED_VALUE"""),"Christian Watson (WR,8.4, 3)")</f>
        <v>Christian Watson (WR,8.4, 3)</v>
      </c>
      <c r="D8" s="47" t="str">
        <f ca="1">IFERROR(__xludf.DUMMYFUNCTION("""COMPUTED_VALUE"""),"TreVeyon Henderson (RB,7.7, 4)")</f>
        <v>TreVeyon Henderson (RB,7.7, 4)</v>
      </c>
      <c r="E8" s="47" t="str">
        <f ca="1">IFERROR(__xludf.DUMMYFUNCTION("""COMPUTED_VALUE"""),"Jalen Hurts (QB,10.7, 4)")</f>
        <v>Jalen Hurts (QB,10.7, 4)</v>
      </c>
      <c r="F8" s="47" t="str">
        <f ca="1">IFERROR(__xludf.DUMMYFUNCTION("""COMPUTED_VALUE"""),"Luther Burden III (WR,9.3, 4)")</f>
        <v>Luther Burden III (WR,9.3, 4)</v>
      </c>
      <c r="G8" s="47" t="str">
        <f ca="1">IFERROR(__xludf.DUMMYFUNCTION("""COMPUTED_VALUE"""),"Emeka Egbuka (WR,8.8, 4)")</f>
        <v>Emeka Egbuka (WR,8.8, 4)</v>
      </c>
      <c r="H8" s="47" t="str">
        <f ca="1">IFERROR(__xludf.DUMMYFUNCTION("""COMPUTED_VALUE"""),"Mike Evans (WR,11.9, 4)")</f>
        <v>Mike Evans (WR,11.9, 4)</v>
      </c>
      <c r="I8" s="47" t="str">
        <f ca="1">IFERROR(__xludf.DUMMYFUNCTION("""COMPUTED_VALUE"""),"DeVonta Smith (WR,9.6, 2)")</f>
        <v>DeVonta Smith (WR,9.6, 2)</v>
      </c>
      <c r="J8" s="47" t="str">
        <f ca="1">IFERROR(__xludf.DUMMYFUNCTION("""COMPUTED_VALUE"""),"D'Andre Swift (RB,4.5, 4)")</f>
        <v>D'Andre Swift (RB,4.5, 4)</v>
      </c>
      <c r="K8" s="47" t="str">
        <f ca="1">IFERROR(__xludf.DUMMYFUNCTION("""COMPUTED_VALUE"""),"Cam Skattebo (RB,9.7, 2)")</f>
        <v>Cam Skattebo (RB,9.7, 2)</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row>
    <row r="9" spans="1:234" ht="42">
      <c r="A9" s="46" t="s">
        <v>929</v>
      </c>
      <c r="B9" s="47" t="str">
        <f ca="1">IFERROR(__xludf.DUMMYFUNCTION("TRANSPOSE(
  FILTER(
    IF(
      'ALL PPR Drafts'!C$2:C1000 = """",
      'ALL PPR Drafts'!D$2:D1000 &amp; "" ("" &amp; 'ALL PPR Drafts'!F$2:F1000 &amp; "","" &amp; 'ALL PPR Drafts'!H$2:H1000 &amp; "", "" &amp; 'ALL PPR Drafts'!I$2:I1000 &amp; "")"",
      """"
    ),
    VALUE('A"&amp;"LL PPR Drafts'!G$2:G1000) &gt;= 61,
    VALUE('ALL PPR Drafts'!G$2:G1000) &lt;= 70.99
  )
)
"),"Quinshon Judkins (RB,3.7, 4)")</f>
        <v>Quinshon Judkins (RB,3.7, 4)</v>
      </c>
      <c r="C9" s="47" t="str">
        <f ca="1">IFERROR(__xludf.DUMMYFUNCTION("""COMPUTED_VALUE"""),"Makai Lemon (WR,19, 4)")</f>
        <v>Makai Lemon (WR,19, 4)</v>
      </c>
      <c r="D9" s="47" t="str">
        <f ca="1">IFERROR(__xludf.DUMMYFUNCTION("""COMPUTED_VALUE"""),"David Montgomery (RB,12.5, 4)")</f>
        <v>David Montgomery (RB,12.5, 4)</v>
      </c>
      <c r="E9" s="47" t="str">
        <f ca="1">IFERROR(__xludf.DUMMYFUNCTION("""COMPUTED_VALUE"""),"DJ Moore (WR,17.9, 4)")</f>
        <v>DJ Moore (WR,17.9, 4)</v>
      </c>
      <c r="F9" s="47" t="str">
        <f ca="1">IFERROR(__xludf.DUMMYFUNCTION("""COMPUTED_VALUE"""),"Bhayshul Tuten (RB,10.4, 4)")</f>
        <v>Bhayshul Tuten (RB,10.4, 4)</v>
      </c>
      <c r="G9" s="47" t="str">
        <f ca="1">IFERROR(__xludf.DUMMYFUNCTION("""COMPUTED_VALUE"""),"Jordyn Tyson (WR,18.8, 4)")</f>
        <v>Jordyn Tyson (WR,18.8, 4)</v>
      </c>
      <c r="H9" s="47" t="str">
        <f ca="1">IFERROR(__xludf.DUMMYFUNCTION("""COMPUTED_VALUE"""),"Rome Odunze (WR,13.2, 4)")</f>
        <v>Rome Odunze (WR,13.2, 4)</v>
      </c>
      <c r="I9" s="47" t="str">
        <f ca="1">IFERROR(__xludf.DUMMYFUNCTION("""COMPUTED_VALUE"""),"RJ Harvey (RB,12.1, 3)")</f>
        <v>RJ Harvey (RB,12.1, 3)</v>
      </c>
      <c r="J9" s="47" t="str">
        <f ca="1">IFERROR(__xludf.DUMMYFUNCTION("""COMPUTED_VALUE"""),"Tyler Warren (TE,5.3, 4)")</f>
        <v>Tyler Warren (TE,5.3, 4)</v>
      </c>
      <c r="K9" s="47" t="str">
        <f ca="1">IFERROR(__xludf.DUMMYFUNCTION("""COMPUTED_VALUE"""),"Alec Pierce (WR,11.6, 4)")</f>
        <v>Alec Pierce (WR,11.6, 4)</v>
      </c>
      <c r="L9" t="str">
        <f ca="1">IFERROR(__xludf.DUMMYFUNCTION("""COMPUTED_VALUE"""),"Jaxson Dart (QB,10.3, 4)")</f>
        <v>Jaxson Dart (QB,10.3, 4)</v>
      </c>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7"/>
      <c r="BD9" s="47"/>
      <c r="BE9" s="47"/>
      <c r="BF9" s="47"/>
      <c r="BG9" s="47"/>
      <c r="BH9" s="47"/>
      <c r="BI9" s="47"/>
      <c r="BJ9" s="47"/>
      <c r="BK9" s="47"/>
      <c r="BL9" s="47"/>
      <c r="BM9" s="47"/>
      <c r="BN9" s="47"/>
      <c r="BO9" s="47"/>
      <c r="BP9" s="47"/>
      <c r="BQ9" s="47"/>
      <c r="BR9" s="47"/>
      <c r="BS9" s="47"/>
      <c r="BT9" s="47"/>
      <c r="BU9" s="47"/>
      <c r="BV9" s="47"/>
      <c r="BW9" s="47"/>
      <c r="BX9" s="47"/>
      <c r="BY9" s="47"/>
      <c r="BZ9" s="47"/>
      <c r="CA9" s="47"/>
      <c r="CB9" s="47"/>
      <c r="CC9" s="47"/>
      <c r="CD9" s="47"/>
      <c r="CE9" s="47"/>
      <c r="CF9" s="47"/>
      <c r="CG9" s="47"/>
      <c r="CH9" s="47"/>
      <c r="CI9" s="47"/>
      <c r="CJ9" s="47"/>
      <c r="CK9" s="47"/>
      <c r="CL9" s="47"/>
      <c r="CM9" s="47"/>
      <c r="CN9" s="47"/>
      <c r="CO9" s="47"/>
      <c r="CP9" s="47"/>
      <c r="CQ9" s="47"/>
      <c r="CR9" s="47"/>
      <c r="CS9" s="47"/>
      <c r="CT9" s="47"/>
      <c r="CU9" s="47"/>
      <c r="CV9" s="47"/>
      <c r="CW9" s="47"/>
      <c r="CX9" s="47"/>
      <c r="CY9" s="47"/>
      <c r="CZ9" s="47"/>
      <c r="DA9" s="47"/>
      <c r="DB9" s="47"/>
      <c r="DC9" s="47"/>
      <c r="DD9" s="47"/>
      <c r="DE9" s="47"/>
      <c r="DF9" s="47"/>
      <c r="DG9" s="47"/>
      <c r="DH9" s="47"/>
      <c r="DI9" s="47"/>
      <c r="DJ9" s="47"/>
      <c r="DK9" s="47"/>
      <c r="DL9" s="47"/>
      <c r="DM9" s="47"/>
      <c r="DN9" s="47"/>
      <c r="DO9" s="47"/>
      <c r="DP9" s="47"/>
      <c r="DQ9" s="47"/>
      <c r="DR9" s="47"/>
      <c r="DS9" s="47"/>
      <c r="DT9" s="47"/>
      <c r="DU9" s="47"/>
      <c r="DV9" s="47"/>
      <c r="DW9" s="47"/>
      <c r="DX9" s="47"/>
      <c r="DY9" s="47"/>
      <c r="DZ9" s="47"/>
      <c r="EA9" s="47"/>
      <c r="EB9" s="47"/>
      <c r="EC9" s="47"/>
      <c r="ED9" s="47"/>
      <c r="EE9" s="47"/>
      <c r="EF9" s="47"/>
      <c r="EG9" s="47"/>
      <c r="EH9" s="47"/>
      <c r="EI9" s="47"/>
      <c r="EJ9" s="47"/>
      <c r="EK9" s="47"/>
      <c r="EL9" s="47"/>
      <c r="EM9" s="47"/>
      <c r="EN9" s="47"/>
      <c r="EO9" s="47"/>
      <c r="EP9" s="47"/>
      <c r="EQ9" s="47"/>
      <c r="ER9" s="47"/>
      <c r="ES9" s="47"/>
      <c r="ET9" s="47"/>
      <c r="EU9" s="47"/>
      <c r="EV9" s="47"/>
      <c r="EW9" s="47"/>
      <c r="EX9" s="47"/>
      <c r="EY9" s="47"/>
      <c r="EZ9" s="47"/>
      <c r="FA9" s="47"/>
      <c r="FB9" s="47"/>
      <c r="FC9" s="47"/>
      <c r="FD9" s="47"/>
      <c r="FE9" s="47"/>
      <c r="FF9" s="47"/>
      <c r="FG9" s="47"/>
      <c r="FH9" s="47"/>
      <c r="FI9" s="47"/>
      <c r="FJ9" s="47"/>
      <c r="FK9" s="47"/>
      <c r="FL9" s="47"/>
      <c r="FM9" s="47"/>
      <c r="FN9" s="47"/>
      <c r="FO9" s="47"/>
      <c r="FP9" s="47"/>
      <c r="FQ9" s="47"/>
      <c r="FR9" s="47"/>
      <c r="FS9" s="47"/>
      <c r="FT9" s="47"/>
      <c r="FU9" s="47"/>
      <c r="FV9" s="47"/>
      <c r="FW9" s="47"/>
      <c r="FX9" s="47"/>
      <c r="FY9" s="47"/>
      <c r="FZ9" s="47"/>
      <c r="GA9" s="47"/>
      <c r="GB9" s="47"/>
      <c r="GC9" s="47"/>
      <c r="GD9" s="47"/>
      <c r="GE9" s="47"/>
      <c r="GF9" s="47"/>
      <c r="GG9" s="47"/>
      <c r="GH9" s="47"/>
      <c r="GI9" s="47"/>
      <c r="GJ9" s="47"/>
      <c r="GK9" s="47"/>
      <c r="GL9" s="47"/>
      <c r="GM9" s="47"/>
      <c r="GN9" s="47"/>
      <c r="GO9" s="47"/>
      <c r="GP9" s="47"/>
      <c r="GQ9" s="47"/>
      <c r="GR9" s="47"/>
      <c r="GS9" s="47"/>
      <c r="GT9" s="47"/>
      <c r="GU9" s="47"/>
      <c r="GV9" s="47"/>
      <c r="GW9" s="47"/>
      <c r="GX9" s="47"/>
      <c r="GY9" s="47"/>
      <c r="GZ9" s="47"/>
      <c r="HA9" s="47"/>
      <c r="HB9" s="47"/>
      <c r="HC9" s="47"/>
      <c r="HD9" s="47"/>
      <c r="HE9" s="47"/>
      <c r="HF9" s="47"/>
      <c r="HG9" s="47"/>
      <c r="HH9" s="47"/>
      <c r="HI9" s="47"/>
      <c r="HJ9" s="47"/>
      <c r="HK9" s="47"/>
      <c r="HL9" s="47"/>
      <c r="HM9" s="47"/>
      <c r="HN9" s="47"/>
      <c r="HO9" s="47"/>
      <c r="HP9" s="47"/>
      <c r="HQ9" s="47"/>
      <c r="HR9" s="47"/>
      <c r="HS9" s="47"/>
      <c r="HT9" s="47"/>
      <c r="HU9" s="47"/>
      <c r="HV9" s="47"/>
      <c r="HW9" s="47"/>
      <c r="HX9" s="47"/>
      <c r="HY9" s="47"/>
      <c r="HZ9" s="47"/>
    </row>
    <row r="10" spans="1:234" ht="42">
      <c r="A10" s="46" t="s">
        <v>930</v>
      </c>
      <c r="B10" s="47" t="str">
        <f ca="1">IFERROR(__xludf.DUMMYFUNCTION("TRANSPOSE(
  FILTER(
    IF(
      'ALL PPR Drafts'!C$2:C1000 = """",
      'ALL PPR Drafts'!D$2:D1000 &amp; "" ("" &amp; 'ALL PPR Drafts'!F$2:F1000 &amp; "", "" &amp; 'ALL PPR Drafts'!H$2:H1000 &amp; "", "" &amp; 'ALL PPR Drafts'!I$2:I1000 &amp; "")"",
      """"
    ),
    VALUE('"&amp;"ALL PPR Drafts'!G$2:G1000) &gt;= 71,
    VALUE('ALL PPR Drafts'!G$2:G1000) &lt;= 80.99
  )
)
"),"Caleb Williams (QB, 11.3, 3)")</f>
        <v>Caleb Williams (QB, 11.3, 3)</v>
      </c>
      <c r="C10" s="47" t="str">
        <f ca="1">IFERROR(__xludf.DUMMYFUNCTION("""COMPUTED_VALUE"""),"Jaylen Warren (RB, 7.6, 4)")</f>
        <v>Jaylen Warren (RB, 7.6, 4)</v>
      </c>
      <c r="D10" s="47" t="str">
        <f ca="1">IFERROR(__xludf.DUMMYFUNCTION("""COMPUTED_VALUE"""),"Courtland Sutton (WR, 10.4, 3)")</f>
        <v>Courtland Sutton (WR, 10.4, 3)</v>
      </c>
      <c r="E10" s="47" t="str">
        <f ca="1">IFERROR(__xludf.DUMMYFUNCTION("""COMPUTED_VALUE"""),"Harold Fannin Jr. (TE, 7.3, 4)")</f>
        <v>Harold Fannin Jr. (TE, 7.3, 4)</v>
      </c>
      <c r="F10" s="47" t="str">
        <f ca="1">IFERROR(__xludf.DUMMYFUNCTION("""COMPUTED_VALUE"""),"#N/A")</f>
        <v>#N/A</v>
      </c>
      <c r="G10" s="47" t="str">
        <f ca="1">IFERROR(__xludf.DUMMYFUNCTION("""COMPUTED_VALUE"""),"Justin Herbert (QB, 13.5, 3)")</f>
        <v>Justin Herbert (QB, 13.5, 3)</v>
      </c>
      <c r="H10" s="47" t="str">
        <f ca="1">IFERROR(__xludf.DUMMYFUNCTION("""COMPUTED_VALUE"""),"Kyle Monangai (RB, 7.1, 4)")</f>
        <v>Kyle Monangai (RB, 7.1, 4)</v>
      </c>
      <c r="I10" s="47" t="str">
        <f ca="1">IFERROR(__xludf.DUMMYFUNCTION("""COMPUTED_VALUE"""),"Blake Corum (RB, 9.2, 3)")</f>
        <v>Blake Corum (RB, 9.2, 3)</v>
      </c>
      <c r="J10" s="48"/>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7"/>
      <c r="BD10" s="47"/>
      <c r="BE10" s="47"/>
      <c r="BF10" s="47"/>
      <c r="BG10" s="47"/>
      <c r="BH10" s="47"/>
      <c r="BI10" s="47"/>
      <c r="BJ10" s="47"/>
      <c r="BK10" s="47"/>
      <c r="BL10" s="47"/>
      <c r="BM10" s="47"/>
      <c r="BN10" s="47"/>
      <c r="BO10" s="47"/>
      <c r="BP10" s="47"/>
      <c r="BQ10" s="47"/>
      <c r="BR10" s="47"/>
      <c r="BS10" s="47"/>
      <c r="BT10" s="47"/>
      <c r="BU10" s="47"/>
      <c r="BV10" s="47"/>
      <c r="BW10" s="47"/>
      <c r="BX10" s="47"/>
      <c r="BY10" s="47"/>
      <c r="BZ10" s="47"/>
      <c r="CA10" s="47"/>
      <c r="CB10" s="47"/>
      <c r="CC10" s="47"/>
      <c r="CD10" s="47"/>
      <c r="CE10" s="47"/>
      <c r="CF10" s="47"/>
      <c r="CG10" s="47"/>
      <c r="CH10" s="47"/>
      <c r="CI10" s="47"/>
      <c r="CJ10" s="47"/>
      <c r="CK10" s="47"/>
      <c r="CL10" s="47"/>
      <c r="CM10" s="47"/>
      <c r="CN10" s="47"/>
      <c r="CO10" s="47"/>
      <c r="CP10" s="47"/>
      <c r="CQ10" s="47"/>
      <c r="CR10" s="47"/>
      <c r="CS10" s="47"/>
      <c r="CT10" s="47"/>
      <c r="CU10" s="47"/>
      <c r="CV10" s="47"/>
      <c r="CW10" s="47"/>
      <c r="CX10" s="47"/>
      <c r="CY10" s="47"/>
      <c r="CZ10" s="47"/>
      <c r="DA10" s="47"/>
      <c r="DB10" s="47"/>
      <c r="DC10" s="47"/>
      <c r="DD10" s="47"/>
      <c r="DE10" s="47"/>
      <c r="DF10" s="47"/>
      <c r="DG10" s="47"/>
      <c r="DH10" s="47"/>
      <c r="DI10" s="47"/>
      <c r="DJ10" s="47"/>
      <c r="DK10" s="47"/>
      <c r="DL10" s="47"/>
      <c r="DM10" s="47"/>
      <c r="DN10" s="47"/>
      <c r="DO10" s="47"/>
      <c r="DP10" s="47"/>
      <c r="DQ10" s="47"/>
      <c r="DR10" s="47"/>
      <c r="DS10" s="47"/>
      <c r="DT10" s="47"/>
      <c r="DU10" s="47"/>
      <c r="DV10" s="47"/>
      <c r="DW10" s="47"/>
      <c r="DX10" s="47"/>
      <c r="DY10" s="47"/>
      <c r="DZ10" s="47"/>
      <c r="EA10" s="47"/>
      <c r="EB10" s="47"/>
      <c r="EC10" s="47"/>
      <c r="ED10" s="47"/>
      <c r="EE10" s="47"/>
      <c r="EF10" s="47"/>
      <c r="EG10" s="47"/>
      <c r="EH10" s="47"/>
      <c r="EI10" s="47"/>
      <c r="EJ10" s="47"/>
      <c r="EK10" s="47"/>
      <c r="EL10" s="47"/>
      <c r="EM10" s="47"/>
      <c r="EN10" s="47"/>
      <c r="EO10" s="47"/>
      <c r="EP10" s="47"/>
      <c r="EQ10" s="47"/>
      <c r="ER10" s="47"/>
      <c r="ES10" s="47"/>
      <c r="ET10" s="47"/>
      <c r="EU10" s="47"/>
      <c r="EV10" s="47"/>
      <c r="EW10" s="47"/>
      <c r="EX10" s="47"/>
      <c r="EY10" s="47"/>
      <c r="EZ10" s="47"/>
      <c r="FA10" s="47"/>
      <c r="FB10" s="47"/>
      <c r="FC10" s="47"/>
      <c r="FD10" s="47"/>
      <c r="FE10" s="47"/>
      <c r="FF10" s="47"/>
      <c r="FG10" s="47"/>
      <c r="FH10" s="47"/>
      <c r="FI10" s="47"/>
      <c r="FJ10" s="47"/>
      <c r="FK10" s="47"/>
      <c r="FL10" s="47"/>
      <c r="FM10" s="47"/>
      <c r="FN10" s="47"/>
      <c r="FO10" s="47"/>
      <c r="FP10" s="47"/>
      <c r="FQ10" s="47"/>
      <c r="FR10" s="47"/>
      <c r="FS10" s="47"/>
      <c r="FT10" s="47"/>
      <c r="FU10" s="47"/>
      <c r="FV10" s="47"/>
      <c r="FW10" s="47"/>
      <c r="FX10" s="47"/>
      <c r="FY10" s="47"/>
      <c r="FZ10" s="47"/>
      <c r="GA10" s="47"/>
      <c r="GB10" s="47"/>
      <c r="GC10" s="47"/>
      <c r="GD10" s="47"/>
      <c r="GE10" s="47"/>
      <c r="GF10" s="47"/>
      <c r="GG10" s="47"/>
      <c r="GH10" s="47"/>
      <c r="GI10" s="47"/>
      <c r="GJ10" s="47"/>
      <c r="GK10" s="47"/>
      <c r="GL10" s="47"/>
      <c r="GM10" s="47"/>
      <c r="GN10" s="47"/>
      <c r="GO10" s="47"/>
      <c r="GP10" s="47"/>
      <c r="GQ10" s="47"/>
      <c r="GR10" s="47"/>
      <c r="GS10" s="47"/>
      <c r="GT10" s="47"/>
      <c r="GU10" s="47"/>
      <c r="GV10" s="47"/>
      <c r="GW10" s="47"/>
      <c r="GX10" s="47"/>
      <c r="GY10" s="47"/>
      <c r="GZ10" s="47"/>
      <c r="HA10" s="47"/>
      <c r="HB10" s="47"/>
      <c r="HC10" s="47"/>
      <c r="HD10" s="47"/>
      <c r="HE10" s="47"/>
      <c r="HF10" s="47"/>
      <c r="HG10" s="47"/>
      <c r="HH10" s="47"/>
      <c r="HI10" s="47"/>
      <c r="HJ10" s="47"/>
      <c r="HK10" s="47"/>
      <c r="HL10" s="47"/>
      <c r="HM10" s="47"/>
      <c r="HN10" s="47"/>
      <c r="HO10" s="47"/>
      <c r="HP10" s="47"/>
      <c r="HQ10" s="47"/>
      <c r="HR10" s="47"/>
      <c r="HS10" s="47"/>
      <c r="HT10" s="47"/>
      <c r="HU10" s="47"/>
      <c r="HV10" s="47"/>
      <c r="HW10" s="47"/>
      <c r="HX10" s="47"/>
      <c r="HY10" s="47"/>
      <c r="HZ10" s="47"/>
    </row>
    <row r="11" spans="1:234" ht="42">
      <c r="A11" s="46" t="s">
        <v>931</v>
      </c>
      <c r="B11" s="47" t="str">
        <f ca="1">IFERROR(__xludf.DUMMYFUNCTION("TRANSPOSE(
  FILTER(
    IF(
      'ALL PPR Drafts'!C$2:C1000 = """",
      'ALL PPR Drafts'!D$2:D1000 &amp; "" ("" &amp; 'ALL PPR Drafts'!F$2:F1000 &amp; "", "" &amp; 'ALL PPR Drafts'!H$2:H1000 &amp; "", "" &amp; 'ALL PPR Drafts'!I$2:I1000 &amp; "")"",
      """"
    ),
    VALUE('"&amp;"ALL PPR Drafts'!G$2:G1000) &gt;= 81,
    VALUE('ALL PPR Drafts'!G$2:G1000) &lt;= 90.99
  )
)
"),"Rico Dowdle (RB, 8, 4)")</f>
        <v>Rico Dowdle (RB, 8, 4)</v>
      </c>
      <c r="C11" s="47" t="str">
        <f ca="1">IFERROR(__xludf.DUMMYFUNCTION("""COMPUTED_VALUE"""),"Marvin Harrison Jr. (WR, 9.3, 4)")</f>
        <v>Marvin Harrison Jr. (WR, 9.3, 4)</v>
      </c>
      <c r="D11" s="47" t="str">
        <f ca="1">IFERROR(__xludf.DUMMYFUNCTION("""COMPUTED_VALUE"""),"Rhamondre Stevenson (RB, 9.9, 1)")</f>
        <v>Rhamondre Stevenson (RB, 9.9, 1)</v>
      </c>
      <c r="E11" s="48" t="str">
        <f ca="1">IFERROR(__xludf.DUMMYFUNCTION("""COMPUTED_VALUE"""),"Sam LaPorta (TE, 2, 4)")</f>
        <v>Sam LaPorta (TE, 2, 4)</v>
      </c>
      <c r="F11" s="47" t="str">
        <f ca="1">IFERROR(__xludf.DUMMYFUNCTION("""COMPUTED_VALUE"""),"Trevor Lawrence (QB, 12.2, 2)")</f>
        <v>Trevor Lawrence (QB, 12.2, 2)</v>
      </c>
      <c r="G11" s="48" t="str">
        <f ca="1">IFERROR(__xludf.DUMMYFUNCTION("""COMPUTED_VALUE"""),"Kyle Pitts Sr. (TE, 4.2, 4)")</f>
        <v>Kyle Pitts Sr. (TE, 4.2, 4)</v>
      </c>
      <c r="H11" s="47" t="str">
        <f ca="1">IFERROR(__xludf.DUMMYFUNCTION("""COMPUTED_VALUE"""),"Dak Prescott (QB, 11.8, 4)")</f>
        <v>Dak Prescott (QB, 11.8, 4)</v>
      </c>
      <c r="I11" s="47" t="str">
        <f ca="1">IFERROR(__xludf.DUMMYFUNCTION("""COMPUTED_VALUE"""),"Tyler Allgeier (RB, 13.7, 3)")</f>
        <v>Tyler Allgeier (RB, 13.7, 3)</v>
      </c>
      <c r="J11" s="47" t="str">
        <f ca="1">IFERROR(__xludf.DUMMYFUNCTION("""COMPUTED_VALUE"""),"Tony Pollard (RB, 12.9, 4)")</f>
        <v>Tony Pollard (RB, 12.9, 4)</v>
      </c>
      <c r="K11" s="47" t="str">
        <f ca="1">IFERROR(__xludf.DUMMYFUNCTION("""COMPUTED_VALUE"""),"#N/A")</f>
        <v>#N/A</v>
      </c>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7"/>
      <c r="BD11" s="47"/>
      <c r="BE11" s="47"/>
      <c r="BF11" s="47"/>
      <c r="BG11" s="47"/>
      <c r="BH11" s="47"/>
      <c r="BI11" s="47"/>
      <c r="BJ11" s="47"/>
      <c r="BK11" s="47"/>
      <c r="BL11" s="47"/>
      <c r="BM11" s="47"/>
      <c r="BN11" s="47"/>
      <c r="BO11" s="47"/>
      <c r="BP11" s="47"/>
      <c r="BQ11" s="47"/>
      <c r="BR11" s="47"/>
      <c r="BS11" s="47"/>
      <c r="BT11" s="47"/>
      <c r="BU11" s="47"/>
      <c r="BV11" s="47"/>
      <c r="BW11" s="47"/>
      <c r="BX11" s="47"/>
      <c r="BY11" s="47"/>
      <c r="BZ11" s="47"/>
      <c r="CA11" s="47"/>
      <c r="CB11" s="47"/>
      <c r="CC11" s="47"/>
      <c r="CD11" s="47"/>
      <c r="CE11" s="47"/>
      <c r="CF11" s="47"/>
      <c r="CG11" s="47"/>
      <c r="CH11" s="47"/>
      <c r="CI11" s="47"/>
      <c r="CJ11" s="47"/>
      <c r="CK11" s="47"/>
      <c r="CL11" s="47"/>
      <c r="CM11" s="47"/>
      <c r="CN11" s="47"/>
      <c r="CO11" s="47"/>
      <c r="CP11" s="47"/>
      <c r="CQ11" s="47"/>
      <c r="CR11" s="47"/>
      <c r="CS11" s="47"/>
      <c r="CT11" s="47"/>
      <c r="CU11" s="47"/>
      <c r="CV11" s="47"/>
      <c r="CW11" s="47"/>
      <c r="CX11" s="47"/>
      <c r="CY11" s="47"/>
      <c r="CZ11" s="47"/>
      <c r="DA11" s="47"/>
      <c r="DB11" s="47"/>
      <c r="DC11" s="47"/>
      <c r="DD11" s="47"/>
      <c r="DE11" s="47"/>
      <c r="DF11" s="47"/>
      <c r="DG11" s="47"/>
      <c r="DH11" s="47"/>
      <c r="DI11" s="47"/>
      <c r="DJ11" s="47"/>
      <c r="DK11" s="47"/>
      <c r="DL11" s="47"/>
      <c r="DM11" s="47"/>
      <c r="DN11" s="47"/>
      <c r="DO11" s="47"/>
      <c r="DP11" s="47"/>
      <c r="DQ11" s="47"/>
      <c r="DR11" s="47"/>
      <c r="DS11" s="47"/>
      <c r="DT11" s="47"/>
      <c r="DU11" s="47"/>
      <c r="DV11" s="47"/>
      <c r="DW11" s="47"/>
      <c r="DX11" s="47"/>
      <c r="DY11" s="47"/>
      <c r="DZ11" s="47"/>
      <c r="EA11" s="47"/>
      <c r="EB11" s="47"/>
      <c r="EC11" s="47"/>
      <c r="ED11" s="47"/>
      <c r="EE11" s="47"/>
      <c r="EF11" s="47"/>
      <c r="EG11" s="47"/>
      <c r="EH11" s="47"/>
      <c r="EI11" s="47"/>
      <c r="EJ11" s="47"/>
      <c r="EK11" s="47"/>
      <c r="EL11" s="47"/>
      <c r="EM11" s="47"/>
      <c r="EN11" s="47"/>
      <c r="EO11" s="47"/>
      <c r="EP11" s="47"/>
      <c r="EQ11" s="47"/>
      <c r="ER11" s="47"/>
      <c r="ES11" s="47"/>
      <c r="ET11" s="47"/>
      <c r="EU11" s="47"/>
      <c r="EV11" s="47"/>
      <c r="EW11" s="47"/>
      <c r="EX11" s="47"/>
      <c r="EY11" s="47"/>
      <c r="EZ11" s="47"/>
      <c r="FA11" s="47"/>
      <c r="FB11" s="47"/>
      <c r="FC11" s="47"/>
      <c r="FD11" s="47"/>
      <c r="FE11" s="47"/>
      <c r="FF11" s="47"/>
      <c r="FG11" s="47"/>
      <c r="FH11" s="47"/>
      <c r="FI11" s="47"/>
      <c r="FJ11" s="47"/>
      <c r="FK11" s="47"/>
      <c r="FL11" s="47"/>
      <c r="FM11" s="47"/>
      <c r="FN11" s="47"/>
      <c r="FO11" s="47"/>
      <c r="FP11" s="47"/>
      <c r="FQ11" s="47"/>
      <c r="FR11" s="47"/>
      <c r="FS11" s="47"/>
      <c r="FT11" s="47"/>
      <c r="FU11" s="47"/>
      <c r="FV11" s="47"/>
      <c r="FW11" s="47"/>
      <c r="FX11" s="47"/>
      <c r="FY11" s="47"/>
      <c r="FZ11" s="47"/>
      <c r="GA11" s="47"/>
      <c r="GB11" s="47"/>
      <c r="GC11" s="47"/>
      <c r="GD11" s="47"/>
      <c r="GE11" s="47"/>
      <c r="GF11" s="47"/>
      <c r="GG11" s="47"/>
      <c r="GH11" s="47"/>
      <c r="GI11" s="47"/>
      <c r="GJ11" s="47"/>
      <c r="GK11" s="47"/>
      <c r="GL11" s="47"/>
      <c r="GM11" s="47"/>
      <c r="GN11" s="47"/>
      <c r="GO11" s="47"/>
      <c r="GP11" s="47"/>
      <c r="GQ11" s="47"/>
      <c r="GR11" s="47"/>
      <c r="GS11" s="47"/>
      <c r="GT11" s="47"/>
      <c r="GU11" s="47"/>
      <c r="GV11" s="47"/>
      <c r="GW11" s="47"/>
      <c r="GX11" s="47"/>
      <c r="GY11" s="47"/>
      <c r="GZ11" s="47"/>
      <c r="HA11" s="47"/>
      <c r="HB11" s="47"/>
      <c r="HC11" s="47"/>
      <c r="HD11" s="47"/>
      <c r="HE11" s="47"/>
      <c r="HF11" s="47"/>
      <c r="HG11" s="47"/>
      <c r="HH11" s="47"/>
      <c r="HI11" s="47"/>
      <c r="HJ11" s="47"/>
      <c r="HK11" s="47"/>
      <c r="HL11" s="47"/>
      <c r="HM11" s="47"/>
      <c r="HN11" s="47"/>
      <c r="HO11" s="47"/>
      <c r="HP11" s="47"/>
      <c r="HQ11" s="47"/>
      <c r="HR11" s="47"/>
      <c r="HS11" s="47"/>
      <c r="HT11" s="47"/>
      <c r="HU11" s="47"/>
      <c r="HV11" s="47"/>
      <c r="HW11" s="47"/>
      <c r="HX11" s="47"/>
      <c r="HY11" s="47"/>
      <c r="HZ11" s="47"/>
    </row>
    <row r="12" spans="1:234" ht="42">
      <c r="A12" s="46" t="s">
        <v>932</v>
      </c>
      <c r="B12" s="47" t="str">
        <f ca="1">IFERROR(__xludf.DUMMYFUNCTION("TRANSPOSE(
  FILTER(
    IF(
      'ALL PPR Drafts'!C$2:C1000 = """",
      'ALL PPR Drafts'!D$2:D1000 &amp; "" ("" &amp; 'ALL PPR Drafts'!F$2:F1000 &amp; "", "" &amp; 'ALL PPR Drafts'!H$2:H1000 &amp; "", "" &amp; 'ALL PPR Drafts'!I$2:I1000 &amp; "")"",
      """"
    ),
    VALUE('"&amp;"ALL PPR Drafts'!G$2:G1000) &gt;= 91,
    VALUE('ALL PPR Drafts'!G$2:G1000) &lt;= 100.99
  )
)
"),"Patrick Mahomes II (QB, 11.3, 4)")</f>
        <v>Patrick Mahomes II (QB, 11.3, 4)</v>
      </c>
      <c r="C12" s="47" t="str">
        <f ca="1">IFERROR(__xludf.DUMMYFUNCTION("""COMPUTED_VALUE"""),"Chuba Hubbard (RB, 15.1, 4)")</f>
        <v>Chuba Hubbard (RB, 15.1, 4)</v>
      </c>
      <c r="D12" s="47" t="str">
        <f ca="1">IFERROR(__xludf.DUMMYFUNCTION("""COMPUTED_VALUE"""),"Michael Wilson (WR, 13.1, 4)")</f>
        <v>Michael Wilson (WR, 13.1, 4)</v>
      </c>
      <c r="E12" s="48" t="str">
        <f ca="1">IFERROR(__xludf.DUMMYFUNCTION("""COMPUTED_VALUE"""),"Jordan Addison (WR, 8.7, 4)")</f>
        <v>Jordan Addison (WR, 8.7, 4)</v>
      </c>
      <c r="F12" s="47" t="str">
        <f ca="1">IFERROR(__xludf.DUMMYFUNCTION("""COMPUTED_VALUE"""),"Zach Charbonnet (RB, 20.9, 4)")</f>
        <v>Zach Charbonnet (RB, 20.9, 4)</v>
      </c>
      <c r="G12" s="47" t="str">
        <f ca="1">IFERROR(__xludf.DUMMYFUNCTION("""COMPUTED_VALUE"""),"Chris Godwin Jr. (WR, 10.6, 4)")</f>
        <v>Chris Godwin Jr. (WR, 10.6, 4)</v>
      </c>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7"/>
      <c r="BD12" s="47"/>
      <c r="BE12" s="47"/>
      <c r="BF12" s="47"/>
      <c r="BG12" s="47"/>
      <c r="BH12" s="47"/>
      <c r="BI12" s="47"/>
      <c r="BJ12" s="47"/>
      <c r="BK12" s="47"/>
      <c r="BL12" s="47"/>
      <c r="BM12" s="47"/>
      <c r="BN12" s="47"/>
      <c r="BO12" s="47"/>
      <c r="BP12" s="47"/>
      <c r="BQ12" s="47"/>
      <c r="BR12" s="47"/>
      <c r="BS12" s="47"/>
      <c r="BT12" s="47"/>
      <c r="BU12" s="47"/>
      <c r="BV12" s="47"/>
      <c r="BW12" s="47"/>
      <c r="BX12" s="47"/>
      <c r="BY12" s="47"/>
      <c r="BZ12" s="47"/>
      <c r="CA12" s="47"/>
      <c r="CB12" s="47"/>
      <c r="CC12" s="47"/>
      <c r="CD12" s="47"/>
      <c r="CE12" s="47"/>
      <c r="CF12" s="47"/>
      <c r="CG12" s="47"/>
      <c r="CH12" s="47"/>
      <c r="CI12" s="47"/>
      <c r="CJ12" s="47"/>
      <c r="CK12" s="47"/>
      <c r="CL12" s="47"/>
      <c r="CM12" s="47"/>
      <c r="CN12" s="47"/>
      <c r="CO12" s="47"/>
      <c r="CP12" s="47"/>
      <c r="CQ12" s="47"/>
      <c r="CR12" s="47"/>
      <c r="CS12" s="47"/>
      <c r="CT12" s="47"/>
      <c r="CU12" s="47"/>
      <c r="CV12" s="47"/>
      <c r="CW12" s="47"/>
      <c r="CX12" s="47"/>
      <c r="CY12" s="47"/>
      <c r="CZ12" s="47"/>
      <c r="DA12" s="47"/>
      <c r="DB12" s="47"/>
      <c r="DC12" s="47"/>
      <c r="DD12" s="47"/>
      <c r="DE12" s="47"/>
      <c r="DF12" s="47"/>
      <c r="DG12" s="47"/>
      <c r="DH12" s="47"/>
      <c r="DI12" s="47"/>
      <c r="DJ12" s="47"/>
      <c r="DK12" s="47"/>
      <c r="DL12" s="47"/>
      <c r="DM12" s="47"/>
      <c r="DN12" s="47"/>
      <c r="DO12" s="47"/>
      <c r="DP12" s="47"/>
      <c r="DQ12" s="47"/>
      <c r="DR12" s="47"/>
      <c r="DS12" s="47"/>
      <c r="DT12" s="47"/>
      <c r="DU12" s="47"/>
      <c r="DV12" s="47"/>
      <c r="DW12" s="47"/>
      <c r="DX12" s="47"/>
      <c r="DY12" s="47"/>
      <c r="DZ12" s="47"/>
      <c r="EA12" s="47"/>
      <c r="EB12" s="47"/>
      <c r="EC12" s="47"/>
      <c r="ED12" s="47"/>
      <c r="EE12" s="47"/>
      <c r="EF12" s="47"/>
      <c r="EG12" s="47"/>
      <c r="EH12" s="47"/>
      <c r="EI12" s="47"/>
      <c r="EJ12" s="47"/>
      <c r="EK12" s="47"/>
      <c r="EL12" s="47"/>
      <c r="EM12" s="47"/>
      <c r="EN12" s="47"/>
      <c r="EO12" s="47"/>
      <c r="EP12" s="47"/>
      <c r="EQ12" s="47"/>
      <c r="ER12" s="47"/>
      <c r="ES12" s="47"/>
      <c r="ET12" s="47"/>
      <c r="EU12" s="47"/>
      <c r="EV12" s="47"/>
      <c r="EW12" s="47"/>
      <c r="EX12" s="47"/>
      <c r="EY12" s="47"/>
      <c r="EZ12" s="47"/>
      <c r="FA12" s="47"/>
      <c r="FB12" s="47"/>
      <c r="FC12" s="47"/>
      <c r="FD12" s="47"/>
      <c r="FE12" s="47"/>
      <c r="FF12" s="47"/>
      <c r="FG12" s="47"/>
      <c r="FH12" s="47"/>
      <c r="FI12" s="47"/>
      <c r="FJ12" s="47"/>
      <c r="FK12" s="47"/>
      <c r="FL12" s="47"/>
      <c r="FM12" s="47"/>
      <c r="FN12" s="47"/>
      <c r="FO12" s="47"/>
      <c r="FP12" s="47"/>
      <c r="FQ12" s="47"/>
      <c r="FR12" s="47"/>
      <c r="FS12" s="47"/>
      <c r="FT12" s="47"/>
      <c r="FU12" s="47"/>
      <c r="FV12" s="47"/>
      <c r="FW12" s="47"/>
      <c r="FX12" s="47"/>
      <c r="FY12" s="47"/>
      <c r="FZ12" s="47"/>
      <c r="GA12" s="47"/>
      <c r="GB12" s="47"/>
      <c r="GC12" s="47"/>
      <c r="GD12" s="47"/>
      <c r="GE12" s="47"/>
      <c r="GF12" s="47"/>
      <c r="GG12" s="47"/>
      <c r="GH12" s="47"/>
      <c r="GI12" s="47"/>
      <c r="GJ12" s="47"/>
      <c r="GK12" s="47"/>
      <c r="GL12" s="47"/>
      <c r="GM12" s="47"/>
      <c r="GN12" s="47"/>
      <c r="GO12" s="47"/>
      <c r="GP12" s="47"/>
      <c r="GQ12" s="47"/>
      <c r="GR12" s="47"/>
      <c r="GS12" s="47"/>
      <c r="GT12" s="47"/>
      <c r="GU12" s="47"/>
      <c r="GV12" s="47"/>
      <c r="GW12" s="47"/>
      <c r="GX12" s="47"/>
      <c r="GY12" s="47"/>
      <c r="GZ12" s="47"/>
      <c r="HA12" s="47"/>
      <c r="HB12" s="47"/>
      <c r="HC12" s="47"/>
      <c r="HD12" s="47"/>
      <c r="HE12" s="47"/>
      <c r="HF12" s="47"/>
      <c r="HG12" s="47"/>
      <c r="HH12" s="47"/>
      <c r="HI12" s="47"/>
      <c r="HJ12" s="47"/>
      <c r="HK12" s="47"/>
      <c r="HL12" s="47"/>
      <c r="HM12" s="47"/>
      <c r="HN12" s="47"/>
      <c r="HO12" s="47"/>
      <c r="HP12" s="47"/>
      <c r="HQ12" s="47"/>
      <c r="HR12" s="47"/>
      <c r="HS12" s="47"/>
      <c r="HT12" s="47"/>
      <c r="HU12" s="47"/>
      <c r="HV12" s="47"/>
      <c r="HW12" s="47"/>
      <c r="HX12" s="47"/>
      <c r="HY12" s="47"/>
      <c r="HZ12" s="47"/>
    </row>
    <row r="13" spans="1:234" ht="42">
      <c r="A13" s="46" t="s">
        <v>933</v>
      </c>
      <c r="B13" s="48" t="str">
        <f ca="1">IFERROR(__xludf.DUMMYFUNCTION("TRANSPOSE(
  FILTER(
    IF(
      'ALL PPR Drafts'!C$2:C1000 = """",
      'ALL PPR Drafts'!D$2:D1000 &amp; "" ("" &amp; 'ALL PPR Drafts'!F$2:F1000 &amp; "", "" &amp; 'ALL PPR Drafts'!H$2:H1000 &amp; "", "" &amp; 'ALL PPR Drafts'!I$2:I1000 &amp; "")"",
      """"
    ),
    VALUE('"&amp;"ALL PPR Drafts'!G$2:G1000) &gt;= 101,
    VALUE('ALL PPR Drafts'!G$2:G1000) &lt;= 110.99
  )
)
"),"J.K. Dobbins (RB, 22.4, 4)")</f>
        <v>J.K. Dobbins (RB, 22.4, 4)</v>
      </c>
      <c r="C13" s="47" t="str">
        <f ca="1">IFERROR(__xludf.DUMMYFUNCTION("""COMPUTED_VALUE"""),"Dalton Kincaid (TE, 12.9, 4)")</f>
        <v>Dalton Kincaid (TE, 12.9, 4)</v>
      </c>
      <c r="D13" s="47" t="str">
        <f ca="1">IFERROR(__xludf.DUMMYFUNCTION("""COMPUTED_VALUE"""),"Jacory Croskey-Merritt (RB, 10.3, 2)")</f>
        <v>Jacory Croskey-Merritt (RB, 10.3, 2)</v>
      </c>
      <c r="E13" s="47" t="str">
        <f ca="1">IFERROR(__xludf.DUMMYFUNCTION("""COMPUTED_VALUE"""),"Bo Nix (QB, 4.3, 3)")</f>
        <v>Bo Nix (QB, 4.3, 3)</v>
      </c>
      <c r="F13" s="47" t="str">
        <f ca="1">IFERROR(__xludf.DUMMYFUNCTION("""COMPUTED_VALUE"""),"Matthew Stafford (QB, 5.6, 3)")</f>
        <v>Matthew Stafford (QB, 5.6, 3)</v>
      </c>
      <c r="G13" s="47" t="str">
        <f ca="1">IFERROR(__xludf.DUMMYFUNCTION("""COMPUTED_VALUE"""),"Ricky Pearsall (WR, 7.9, 4)")</f>
        <v>Ricky Pearsall (WR, 7.9, 4)</v>
      </c>
      <c r="H13" s="47" t="str">
        <f ca="1">IFERROR(__xludf.DUMMYFUNCTION("""COMPUTED_VALUE"""),"Parker Washington (WR, 16.9, 4)")</f>
        <v>Parker Washington (WR, 16.9, 4)</v>
      </c>
      <c r="I13" s="47" t="str">
        <f ca="1">IFERROR(__xludf.DUMMYFUNCTION("""COMPUTED_VALUE"""),"Quentin Johnston (WR, 11.5, 4)")</f>
        <v>Quentin Johnston (WR, 11.5, 4)</v>
      </c>
      <c r="J13" s="47" t="str">
        <f ca="1">IFERROR(__xludf.DUMMYFUNCTION("""COMPUTED_VALUE"""),"Oronde Gadsden II (TE, 12, 4)")</f>
        <v>Oronde Gadsden II (TE, 12, 4)</v>
      </c>
      <c r="K13" s="47" t="str">
        <f ca="1">IFERROR(__xludf.DUMMYFUNCTION("""COMPUTED_VALUE"""),"Michael Pittman Jr. (WR, 11.9, 4)")</f>
        <v>Michael Pittman Jr. (WR, 11.9, 4)</v>
      </c>
      <c r="L13" s="47" t="str">
        <f ca="1">IFERROR(__xludf.DUMMYFUNCTION("""COMPUTED_VALUE"""),"Woody Marks (RB, 22.3, 4)")</f>
        <v>Woody Marks (RB, 22.3, 4)</v>
      </c>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c r="HT13" s="47"/>
      <c r="HU13" s="47"/>
      <c r="HV13" s="47"/>
      <c r="HW13" s="47"/>
      <c r="HX13" s="47"/>
      <c r="HY13" s="47"/>
      <c r="HZ13" s="47"/>
    </row>
    <row r="14" spans="1:234" ht="51">
      <c r="A14" s="46" t="s">
        <v>934</v>
      </c>
      <c r="B14" s="47" t="str">
        <f ca="1">IFERROR(__xludf.DUMMYFUNCTION("TRANSPOSE(
  FILTER(
    IF(
      'ALL PPR Drafts'!C$2:C1000 = """",
      'ALL PPR Drafts'!D$2:D1000 &amp; "" ("" &amp; 'ALL PPR Drafts'!F$2:F1000 &amp; "", "" &amp; 'ALL PPR Drafts'!H$2:H1000 &amp; "", "" &amp; 'ALL PPR Drafts'!I$2:I1000 &amp; "")"",
      """"
    ),
    VALUE('"&amp;"ALL PPR Drafts'!G$2:G1000) &gt;= 111,
    VALUE('ALL PPR Drafts'!G$2:G1000) &lt;= 120.99
  )
)
"),"#N/A")</f>
        <v>#N/A</v>
      </c>
      <c r="C14" s="47" t="str">
        <f ca="1">IFERROR(__xludf.DUMMYFUNCTION("""COMPUTED_VALUE"""),"Brandon Aiyuk (WR, 32.5, 3)")</f>
        <v>Brandon Aiyuk (WR, 32.5, 3)</v>
      </c>
      <c r="D14" s="47" t="str">
        <f ca="1">IFERROR(__xludf.DUMMYFUNCTION("""COMPUTED_VALUE"""),"Jakobi Meyers (WR, 4.5, 3)")</f>
        <v>Jakobi Meyers (WR, 4.5, 3)</v>
      </c>
      <c r="E14" s="47" t="str">
        <f ca="1">IFERROR(__xludf.DUMMYFUNCTION("""COMPUTED_VALUE"""),"Jared Goff (QB, 6.8, 3)")</f>
        <v>Jared Goff (QB, 6.8, 3)</v>
      </c>
      <c r="F14" s="47" t="str">
        <f ca="1">IFERROR(__xludf.DUMMYFUNCTION("""COMPUTED_VALUE"""),"Aaron Jones Sr. (RB, 5.3, 4)")</f>
        <v>Aaron Jones Sr. (RB, 5.3, 4)</v>
      </c>
      <c r="G14" s="47" t="str">
        <f ca="1">IFERROR(__xludf.DUMMYFUNCTION("""COMPUTED_VALUE"""),"Jake Ferguson (TE, 14.3, 4)")</f>
        <v>Jake Ferguson (TE, 14.3, 4)</v>
      </c>
      <c r="H14" s="47" t="str">
        <f ca="1">IFERROR(__xludf.DUMMYFUNCTION("""COMPUTED_VALUE"""),"#N/A")</f>
        <v>#N/A</v>
      </c>
      <c r="I14" s="49" t="str">
        <f ca="1">IFERROR(__xludf.DUMMYFUNCTION("""COMPUTED_VALUE"""),"Denzel Boston (WR, 32.2, 4)")</f>
        <v>Denzel Boston (WR, 32.2, 4)</v>
      </c>
      <c r="J14" s="47" t="str">
        <f ca="1">IFERROR(__xludf.DUMMYFUNCTION("""COMPUTED_VALUE"""),"Jordan Mason (RB, 10.2, 4)")</f>
        <v>Jordan Mason (RB, 10.2, 4)</v>
      </c>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c r="HT14" s="47"/>
      <c r="HU14" s="47"/>
      <c r="HV14" s="47"/>
      <c r="HW14" s="47"/>
      <c r="HX14" s="47"/>
      <c r="HY14" s="47"/>
      <c r="HZ14" s="47"/>
    </row>
    <row r="15" spans="1:234" ht="42">
      <c r="A15" s="46" t="s">
        <v>935</v>
      </c>
      <c r="B15" s="47" t="str">
        <f ca="1">IFERROR(__xludf.DUMMYFUNCTION("TRANSPOSE(
  FILTER(
    IF(
      'ALL PPR Drafts'!C$2:C1000 = """",
      'ALL PPR Drafts'!D$2:D1000 &amp; "" ("" &amp; 'ALL PPR Drafts'!F$2:F1000 &amp; "", "" &amp; 'ALL PPR Drafts'!H$2:H1000 &amp; "", "" &amp; 'ALL PPR Drafts'!I$2:I1000 &amp; "")"",
      """"
    ),
    VALUE('"&amp;"ALL PPR Drafts'!G$2:G1000) &gt;= 121,
    VALUE('ALL PPR Drafts'!G$2:G1000) &lt;= 130.99
  )
)
"),"Juwan Johnson (TE, 15.4, 4)")</f>
        <v>Juwan Johnson (TE, 15.4, 4)</v>
      </c>
      <c r="C15" s="48" t="str">
        <f ca="1">IFERROR(__xludf.DUMMYFUNCTION("""COMPUTED_VALUE"""),"James Conner (RB, 16.1, 4)")</f>
        <v>James Conner (RB, 16.1, 4)</v>
      </c>
      <c r="D15" s="47" t="str">
        <f ca="1">IFERROR(__xludf.DUMMYFUNCTION("""COMPUTED_VALUE"""),"Jayden Higgins (WR, 9, 4)")</f>
        <v>Jayden Higgins (WR, 9, 4)</v>
      </c>
      <c r="E15" s="47" t="str">
        <f ca="1">IFERROR(__xludf.DUMMYFUNCTION("""COMPUTED_VALUE"""),"#N/A")</f>
        <v>#N/A</v>
      </c>
      <c r="F15" s="47" t="str">
        <f ca="1">IFERROR(__xludf.DUMMYFUNCTION("""COMPUTED_VALUE"""),"Malik Willis (QB, 24.7, 4)")</f>
        <v>Malik Willis (QB, 24.7, 4)</v>
      </c>
      <c r="G15" s="47" t="str">
        <f ca="1">IFERROR(__xludf.DUMMYFUNCTION("""COMPUTED_VALUE"""),"Brenton Strange (TE, 17, 4)")</f>
        <v>Brenton Strange (TE, 17, 4)</v>
      </c>
      <c r="H15" s="47" t="str">
        <f ca="1">IFERROR(__xludf.DUMMYFUNCTION("""COMPUTED_VALUE"""),"#N/A")</f>
        <v>#N/A</v>
      </c>
      <c r="I15" s="48" t="str">
        <f ca="1">IFERROR(__xludf.DUMMYFUNCTION("""COMPUTED_VALUE"""),"Kyler Murray (QB, 16.5, 3)")</f>
        <v>Kyler Murray (QB, 16.5, 3)</v>
      </c>
      <c r="J15" s="47" t="str">
        <f ca="1">IFERROR(__xludf.DUMMYFUNCTION("""COMPUTED_VALUE"""),"#N/A")</f>
        <v>#N/A</v>
      </c>
      <c r="K15" s="47" t="str">
        <f ca="1">IFERROR(__xludf.DUMMYFUNCTION("""COMPUTED_VALUE"""),"Travis Kelce (TE, 29.9, 4)")</f>
        <v>Travis Kelce (TE, 29.9, 4)</v>
      </c>
      <c r="L15" s="47" t="str">
        <f ca="1">IFERROR(__xludf.DUMMYFUNCTION("""COMPUTED_VALUE"""),"#N/A")</f>
        <v>#N/A</v>
      </c>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c r="HT15" s="47"/>
      <c r="HU15" s="47"/>
      <c r="HV15" s="47"/>
      <c r="HW15" s="47"/>
      <c r="HX15" s="47"/>
      <c r="HY15" s="47"/>
      <c r="HZ15" s="47"/>
    </row>
    <row r="16" spans="1:234" ht="28">
      <c r="A16" s="47" t="s">
        <v>936</v>
      </c>
      <c r="B16" s="47" t="str">
        <f ca="1">IFERROR(__xludf.DUMMYFUNCTION("TRANSPOSE(
  FILTER(
    IF(
      'ALL PPR Drafts'!C$2:C1000 = """",
      'ALL PPR Drafts'!D$2:D1000 &amp; "" ("" &amp; 'ALL PPR Drafts'!F$2:F1000 &amp; "", "" &amp; 'ALL PPR Drafts'!H$2:H1000 &amp; "", "" &amp; 'ALL PPR Drafts'!I$2:I1000 &amp; "")"",
      """"
    ),
    VALUE('"&amp;"ALL PPR Drafts'!G$2:G1000) &gt;= 131,
    VALUE('ALL PPR Drafts'!G$2:G1000) &lt;= 140.99
  )
)
"),"#N/A")</f>
        <v>#N/A</v>
      </c>
      <c r="C16" s="47" t="str">
        <f ca="1">IFERROR(__xludf.DUMMYFUNCTION("""COMPUTED_VALUE"""),"Jadarian Price (RB, 52.3, 4)")</f>
        <v>Jadarian Price (RB, 52.3, 4)</v>
      </c>
      <c r="D16" s="47" t="str">
        <f ca="1">IFERROR(__xludf.DUMMYFUNCTION("""COMPUTED_VALUE"""),"Braelon Allen (RB, 18.4, 4)")</f>
        <v>Braelon Allen (RB, 18.4, 4)</v>
      </c>
      <c r="E16" s="47" t="str">
        <f ca="1">IFERROR(__xludf.DUMMYFUNCTION("""COMPUTED_VALUE"""),"Jayden Reed (WR, 9.7, 4)")</f>
        <v>Jayden Reed (WR, 9.7, 4)</v>
      </c>
      <c r="F16" s="47" t="str">
        <f ca="1">IFERROR(__xludf.DUMMYFUNCTION("""COMPUTED_VALUE"""),"#N/A")</f>
        <v>#N/A</v>
      </c>
      <c r="G16" s="47" t="str">
        <f ca="1">IFERROR(__xludf.DUMMYFUNCTION("""COMPUTED_VALUE"""),"Romeo Doubs (WR, 33.5, 4)")</f>
        <v>Romeo Doubs (WR, 33.5, 4)</v>
      </c>
      <c r="H16" s="47" t="str">
        <f ca="1">IFERROR(__xludf.DUMMYFUNCTION("""COMPUTED_VALUE"""),"#N/A")</f>
        <v>#N/A</v>
      </c>
      <c r="I16" s="47" t="str">
        <f ca="1">IFERROR(__xludf.DUMMYFUNCTION("""COMPUTED_VALUE"""),"George Kittle (TE, 32.5, 4)")</f>
        <v>George Kittle (TE, 32.5, 4)</v>
      </c>
      <c r="J16" s="48" t="str">
        <f ca="1">IFERROR(__xludf.DUMMYFUNCTION("""COMPUTED_VALUE"""),"Hunter Henry (TE, 11.5, 3)")</f>
        <v>Hunter Henry (TE, 11.5, 3)</v>
      </c>
      <c r="K16" s="47" t="str">
        <f ca="1">IFERROR(__xludf.DUMMYFUNCTION("""COMPUTED_VALUE"""),"Xavier Worthy (WR, 7.6, 3)")</f>
        <v>Xavier Worthy (WR, 7.6, 3)</v>
      </c>
      <c r="L16" s="47" t="str">
        <f ca="1">IFERROR(__xludf.DUMMYFUNCTION("""COMPUTED_VALUE"""),"Khalil Shakir (WR, 8.4, 4)")</f>
        <v>Khalil Shakir (WR, 8.4, 4)</v>
      </c>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c r="HT16" s="47"/>
      <c r="HU16" s="47"/>
      <c r="HV16" s="47"/>
      <c r="HW16" s="47"/>
      <c r="HX16" s="47"/>
      <c r="HY16" s="47"/>
      <c r="HZ16" s="47"/>
    </row>
    <row r="17" spans="1:234" ht="42">
      <c r="A17" s="47" t="s">
        <v>937</v>
      </c>
      <c r="B17" s="47" t="str">
        <f ca="1">IFERROR(__xludf.DUMMYFUNCTION("TRANSPOSE(
  FILTER(
    IF(
      'ALL PPR Drafts'!C$2:C1000 = """",
      'ALL PPR Drafts'!D$2:D1000 &amp; "" ("" &amp; 'ALL PPR Drafts'!F$2:F1000 &amp; "", "" &amp; 'ALL PPR Drafts'!H$2:H1000 &amp; "", "" &amp; 'ALL PPR Drafts'!I$2:I1000 &amp; "")"",
      """"
    ),
    VALUE('"&amp;"ALL PPR Drafts'!G$2:G1000) &gt;= 141,
    VALUE('ALL PPR Drafts'!G$2:G1000) &lt;= 150.99
  )
)
"),"C.J. Stroud (QB, 10.9, 4)")</f>
        <v>C.J. Stroud (QB, 10.9, 4)</v>
      </c>
      <c r="C17" s="47" t="str">
        <f ca="1">IFERROR(__xludf.DUMMYFUNCTION("""COMPUTED_VALUE"""),"#N/A")</f>
        <v>#N/A</v>
      </c>
      <c r="D17" s="47" t="str">
        <f ca="1">IFERROR(__xludf.DUMMYFUNCTION("""COMPUTED_VALUE"""),"Emmett Johnson (RB, 42.5, 4)")</f>
        <v>Emmett Johnson (RB, 42.5, 4)</v>
      </c>
      <c r="E17" s="47" t="str">
        <f ca="1">IFERROR(__xludf.DUMMYFUNCTION("""COMPUTED_VALUE"""),"#N/A")</f>
        <v>#N/A</v>
      </c>
      <c r="F17" s="47" t="str">
        <f ca="1">IFERROR(__xludf.DUMMYFUNCTION("""COMPUTED_VALUE"""),"Stefon Diggs (WR, 49, 4)")</f>
        <v>Stefon Diggs (WR, 49, 4)</v>
      </c>
      <c r="G17" s="47" t="str">
        <f ca="1">IFERROR(__xludf.DUMMYFUNCTION("""COMPUTED_VALUE"""),"Alvin Kamara (RB, 21.6, 4)")</f>
        <v>Alvin Kamara (RB, 21.6, 4)</v>
      </c>
      <c r="H17" s="47" t="str">
        <f ca="1">IFERROR(__xludf.DUMMYFUNCTION("""COMPUTED_VALUE"""),"#N/A")</f>
        <v>#N/A</v>
      </c>
      <c r="I17" s="47" t="str">
        <f ca="1">IFERROR(__xludf.DUMMYFUNCTION("""COMPUTED_VALUE"""),"#N/A")</f>
        <v>#N/A</v>
      </c>
      <c r="J17" s="47" t="str">
        <f ca="1">IFERROR(__xludf.DUMMYFUNCTION("""COMPUTED_VALUE"""),"Houston Texans (DS, 0, 4)")</f>
        <v>Houston Texans (DS, 0, 4)</v>
      </c>
      <c r="K17" s="47" t="str">
        <f ca="1">IFERROR(__xludf.DUMMYFUNCTION("""COMPUTED_VALUE"""),"Jonathon Brooks (RB, 26.3, 4)")</f>
        <v>Jonathon Brooks (RB, 26.3, 4)</v>
      </c>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c r="HT17" s="47"/>
      <c r="HU17" s="47"/>
      <c r="HV17" s="47"/>
      <c r="HW17" s="47"/>
      <c r="HX17" s="47"/>
      <c r="HY17" s="47"/>
      <c r="HZ17" s="47"/>
    </row>
  </sheetData>
  <conditionalFormatting sqref="A3:HZ17">
    <cfRule type="endsWith" dxfId="26" priority="1" operator="endsWith" text="1)">
      <formula>RIGHT((A3),LEN("1)"))=("1)")</formula>
    </cfRule>
    <cfRule type="endsWith" dxfId="25" priority="2" operator="endsWith" text="2)">
      <formula>RIGHT((A3),LEN("2)"))=("2)")</formula>
    </cfRule>
    <cfRule type="endsWith" dxfId="24" priority="3" operator="endsWith" text="3)">
      <formula>RIGHT((A3),LEN("3)"))=("3)")</formula>
    </cfRule>
    <cfRule type="endsWith" dxfId="23" priority="4" operator="endsWith" text="4)">
      <formula>RIGHT((A3),LEN("4)"))=("4)")</formula>
    </cfRule>
    <cfRule type="endsWith" dxfId="22" priority="5" operator="endsWith" text="5)">
      <formula>RIGHT((A3),LEN("5)"))=("5)")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outlinePr summaryBelow="0" summaryRight="0"/>
  </sheetPr>
  <dimension ref="A1:I996"/>
  <sheetViews>
    <sheetView workbookViewId="0">
      <pane ySplit="1" topLeftCell="A2" activePane="bottomLeft" state="frozen"/>
      <selection pane="bottomLeft" activeCell="B3" sqref="B3"/>
    </sheetView>
  </sheetViews>
  <sheetFormatPr baseColWidth="10" defaultColWidth="12.5" defaultRowHeight="15.75" customHeight="1"/>
  <cols>
    <col min="1" max="1" width="17.33203125" customWidth="1"/>
    <col min="2" max="2" width="6.6640625" customWidth="1"/>
    <col min="3" max="3" width="23.1640625" customWidth="1"/>
    <col min="4" max="4" width="19.83203125" customWidth="1"/>
    <col min="5" max="5" width="9.5" customWidth="1"/>
    <col min="6" max="6" width="13.83203125" customWidth="1"/>
    <col min="7" max="7" width="13.5" customWidth="1"/>
    <col min="8" max="8" width="11.5" customWidth="1"/>
  </cols>
  <sheetData>
    <row r="1" spans="1:9" ht="15.75" customHeight="1">
      <c r="A1" s="26"/>
      <c r="B1" s="26" t="s">
        <v>938</v>
      </c>
      <c r="C1" s="26" t="s">
        <v>939</v>
      </c>
      <c r="D1" s="37" t="s">
        <v>116</v>
      </c>
      <c r="E1" s="37" t="s">
        <v>117</v>
      </c>
      <c r="F1" s="26" t="s">
        <v>118</v>
      </c>
      <c r="G1" s="37" t="s">
        <v>121</v>
      </c>
      <c r="H1" s="37" t="s">
        <v>122</v>
      </c>
      <c r="I1" s="50"/>
    </row>
    <row r="2" spans="1:9" ht="15.75" customHeight="1">
      <c r="C2" t="str">
        <f>IF(COUNTIF(Keeper!B:B,D2)&gt;0,"x","")</f>
        <v>x</v>
      </c>
      <c r="D2" s="40" t="str">
        <f>Fantasypro!C2</f>
        <v>Bijan Robinson</v>
      </c>
      <c r="E2" s="40" t="str">
        <f>Fantasypro!D2</f>
        <v>ATL</v>
      </c>
      <c r="F2" t="str">
        <f>Fantasypro!K2</f>
        <v>RB</v>
      </c>
      <c r="G2" s="39">
        <f>Fantasypro!H2</f>
        <v>1.3</v>
      </c>
      <c r="H2" s="39">
        <f>Fantasypro!I2</f>
        <v>1</v>
      </c>
      <c r="I2" s="51" t="e">
        <f t="shared" ref="I2:I26" ca="1" si="0">_xludf.IFS(
  F3 = "RB", _xludf.IFS(
    AND(H3 &gt;= 0, H3 &lt; 2.55), 1,
    AND(H3 &gt;= 2.55, H3 &lt; 4.7), 2,
    AND(H3 &gt;= 4.7, H3 &lt; 8.4), 3,
    AND(H3 &gt;= 8.4, H3 &lt;= 36), 4
  ),
  F3 = "WR", _xludf.IFS(
    AND(H3 &gt;= 0, H3 &lt; 2.55), 1,
    AND(H3 &gt;= 2.55, H3 &lt; 4.2), 2,
    AND(H3 &gt;= 4.2, H3 &lt; 8.55), 3,
    AND(H3 &gt;= 8.55, H3 &lt;= 24.4), 4
  ),
  F3 = "QB", _xludf.IFS(
    AND(H3 &gt;= 0, H3 &lt; 2.95), 1,
    AND(H3 &gt;= 2.95, H3 &lt; 5.4), 2,
    AND(H3 &gt;= 5.4, H3 &lt; 7.2), 3,
    AND(H3 &gt;= 7.2, H3 &lt;= 12.3), 4
  ),
  F3 = "TE", _xludf.IFS(
    AND(H3 &gt;= 0, H3 &lt; 3), 1,
    AND(H3 &gt;= 3, H3 &lt; 4.8), 2,
    AND(H3 &gt;= 4.8, H3 &lt; 8.525), 3,
    AND(H3 &gt;= 8.525, H3 &lt;= 24.6), 4
  )
)</f>
        <v>#NAME?</v>
      </c>
    </row>
    <row r="3" spans="1:9" ht="15.75" customHeight="1">
      <c r="C3" t="str">
        <f>IF(COUNTIF(Keeper!B:B,D3)&gt;0,"x","")</f>
        <v>x</v>
      </c>
      <c r="D3" s="40" t="str">
        <f>Fantasypro!C3</f>
        <v>Puka Nacua</v>
      </c>
      <c r="E3" s="40" t="str">
        <f>Fantasypro!D3</f>
        <v>LAR</v>
      </c>
      <c r="F3" t="str">
        <f>Fantasypro!K3</f>
        <v>WR</v>
      </c>
      <c r="G3" s="39">
        <f>Fantasypro!H3</f>
        <v>2.2000000000000002</v>
      </c>
      <c r="H3" s="39">
        <f>Fantasypro!I3</f>
        <v>0.5</v>
      </c>
      <c r="I3" s="51" t="e">
        <f t="shared" ca="1" si="0"/>
        <v>#NAME?</v>
      </c>
    </row>
    <row r="4" spans="1:9" ht="15.75" customHeight="1">
      <c r="C4" t="str">
        <f>IF(COUNTIF(Keeper!B:B,D4)&gt;0,"x","")</f>
        <v>x</v>
      </c>
      <c r="D4" s="40" t="str">
        <f>Fantasypro!C4</f>
        <v>Jahmyr Gibbs</v>
      </c>
      <c r="E4" s="40" t="str">
        <f>Fantasypro!D4</f>
        <v>DET</v>
      </c>
      <c r="F4" t="str">
        <f>Fantasypro!K4</f>
        <v>RB</v>
      </c>
      <c r="G4" s="39">
        <f>Fantasypro!H4</f>
        <v>3.2</v>
      </c>
      <c r="H4" s="39">
        <f>Fantasypro!I4</f>
        <v>1</v>
      </c>
      <c r="I4" s="51" t="e">
        <f t="shared" ca="1" si="0"/>
        <v>#NAME?</v>
      </c>
    </row>
    <row r="5" spans="1:9" ht="15.75" customHeight="1">
      <c r="C5" t="str">
        <f>IF(COUNTIF(Keeper!B:B,D5)&gt;0,"x","")</f>
        <v>x</v>
      </c>
      <c r="D5" s="40" t="str">
        <f>Fantasypro!C5</f>
        <v>Ja'Marr Chase</v>
      </c>
      <c r="E5" s="40" t="str">
        <f>Fantasypro!D5</f>
        <v>CIN</v>
      </c>
      <c r="F5" t="str">
        <f>Fantasypro!K5</f>
        <v>WR</v>
      </c>
      <c r="G5" s="39">
        <f>Fantasypro!H5</f>
        <v>4.5999999999999996</v>
      </c>
      <c r="H5" s="39">
        <f>Fantasypro!I5</f>
        <v>0.9</v>
      </c>
      <c r="I5" s="51" t="e">
        <f t="shared" ca="1" si="0"/>
        <v>#NAME?</v>
      </c>
    </row>
    <row r="6" spans="1:9" ht="15.75" customHeight="1">
      <c r="C6" t="str">
        <f>IF(COUNTIF(Keeper!B:B,D6)&gt;0,"x","")</f>
        <v>x</v>
      </c>
      <c r="D6" s="40" t="str">
        <f>Fantasypro!C6</f>
        <v>Jaxon Smith-Njigba</v>
      </c>
      <c r="E6" s="40" t="str">
        <f>Fantasypro!D6</f>
        <v>SEA</v>
      </c>
      <c r="F6" t="str">
        <f>Fantasypro!K6</f>
        <v>WR</v>
      </c>
      <c r="G6" s="39">
        <f>Fantasypro!H6</f>
        <v>5.3</v>
      </c>
      <c r="H6" s="39">
        <f>Fantasypro!I6</f>
        <v>1</v>
      </c>
      <c r="I6" s="51" t="e">
        <f t="shared" ca="1" si="0"/>
        <v>#NAME?</v>
      </c>
    </row>
    <row r="7" spans="1:9" ht="15.75" customHeight="1">
      <c r="C7" t="str">
        <f>IF(COUNTIF(Keeper!B:B,D7)&gt;0,"x","")</f>
        <v>x</v>
      </c>
      <c r="D7" s="40" t="str">
        <f>Fantasypro!C7</f>
        <v>Jonathan Taylor</v>
      </c>
      <c r="E7" s="40" t="str">
        <f>Fantasypro!D7</f>
        <v>IND</v>
      </c>
      <c r="F7" t="str">
        <f>Fantasypro!K7</f>
        <v>RB</v>
      </c>
      <c r="G7" s="39">
        <f>Fantasypro!H7</f>
        <v>5.8</v>
      </c>
      <c r="H7" s="39">
        <f>Fantasypro!I7</f>
        <v>1.9</v>
      </c>
      <c r="I7" s="51" t="e">
        <f t="shared" ca="1" si="0"/>
        <v>#NAME?</v>
      </c>
    </row>
    <row r="8" spans="1:9" ht="15.75" customHeight="1">
      <c r="C8" t="str">
        <f>IF(COUNTIF(Keeper!B:B,D8)&gt;0,"x","")</f>
        <v>x</v>
      </c>
      <c r="D8" s="40" t="str">
        <f>Fantasypro!C8</f>
        <v>CeeDee Lamb</v>
      </c>
      <c r="E8" s="40" t="str">
        <f>Fantasypro!D8</f>
        <v>DAL</v>
      </c>
      <c r="F8" t="str">
        <f>Fantasypro!K8</f>
        <v>WR</v>
      </c>
      <c r="G8" s="39">
        <f>Fantasypro!H8</f>
        <v>8.1</v>
      </c>
      <c r="H8" s="39">
        <f>Fantasypro!I8</f>
        <v>1.8</v>
      </c>
      <c r="I8" s="51" t="e">
        <f t="shared" ca="1" si="0"/>
        <v>#NAME?</v>
      </c>
    </row>
    <row r="9" spans="1:9" ht="15.75" customHeight="1">
      <c r="C9" t="str">
        <f>IF(COUNTIF(Keeper!B:B,D9)&gt;0,"x","")</f>
        <v>x</v>
      </c>
      <c r="D9" s="40" t="str">
        <f>Fantasypro!C9</f>
        <v>Amon-Ra St. Brown</v>
      </c>
      <c r="E9" s="40" t="str">
        <f>Fantasypro!D9</f>
        <v>DET</v>
      </c>
      <c r="F9" t="str">
        <f>Fantasypro!K9</f>
        <v>WR</v>
      </c>
      <c r="G9" s="39">
        <f>Fantasypro!H9</f>
        <v>8.4</v>
      </c>
      <c r="H9" s="39">
        <f>Fantasypro!I9</f>
        <v>0.9</v>
      </c>
      <c r="I9" s="51" t="e">
        <f t="shared" ca="1" si="0"/>
        <v>#NAME?</v>
      </c>
    </row>
    <row r="10" spans="1:9" ht="15.75" customHeight="1">
      <c r="C10" t="str">
        <f>IF(COUNTIF(Keeper!B:B,D10)&gt;0,"x","")</f>
        <v>x</v>
      </c>
      <c r="D10" s="40" t="str">
        <f>Fantasypro!C10</f>
        <v>Christian McCaffrey</v>
      </c>
      <c r="E10" s="40" t="str">
        <f>Fantasypro!D10</f>
        <v>SF</v>
      </c>
      <c r="F10" t="str">
        <f>Fantasypro!K10</f>
        <v>RB</v>
      </c>
      <c r="G10" s="39">
        <f>Fantasypro!H10</f>
        <v>9.3000000000000007</v>
      </c>
      <c r="H10" s="39">
        <f>Fantasypro!I10</f>
        <v>2.7</v>
      </c>
      <c r="I10" s="51" t="e">
        <f t="shared" ca="1" si="0"/>
        <v>#NAME?</v>
      </c>
    </row>
    <row r="11" spans="1:9" ht="15.75" customHeight="1">
      <c r="C11" t="str">
        <f>IF(COUNTIF(Keeper!B:B,D11)&gt;0,"x","")</f>
        <v>x</v>
      </c>
      <c r="D11" s="40" t="str">
        <f>Fantasypro!C11</f>
        <v>James Cook III</v>
      </c>
      <c r="E11" s="40" t="str">
        <f>Fantasypro!D11</f>
        <v>BUF</v>
      </c>
      <c r="F11" t="str">
        <f>Fantasypro!K11</f>
        <v>RB</v>
      </c>
      <c r="G11" s="39">
        <f>Fantasypro!H11</f>
        <v>10.8</v>
      </c>
      <c r="H11" s="39">
        <f>Fantasypro!I11</f>
        <v>3.3</v>
      </c>
      <c r="I11" s="51" t="e">
        <f t="shared" ca="1" si="0"/>
        <v>#NAME?</v>
      </c>
    </row>
    <row r="12" spans="1:9" ht="15.75" customHeight="1">
      <c r="C12" t="str">
        <f>IF(COUNTIF(Keeper!B:B,D12)&gt;0,"x","")</f>
        <v>x</v>
      </c>
      <c r="D12" s="40" t="str">
        <f>Fantasypro!C12</f>
        <v>Malik Nabers</v>
      </c>
      <c r="E12" s="40" t="str">
        <f>Fantasypro!D12</f>
        <v>NYG</v>
      </c>
      <c r="F12" t="str">
        <f>Fantasypro!K12</f>
        <v>WR</v>
      </c>
      <c r="G12" s="39">
        <f>Fantasypro!H12</f>
        <v>12.1</v>
      </c>
      <c r="H12" s="39">
        <f>Fantasypro!I12</f>
        <v>2.7</v>
      </c>
      <c r="I12" s="51" t="e">
        <f t="shared" ca="1" si="0"/>
        <v>#NAME?</v>
      </c>
    </row>
    <row r="13" spans="1:9" ht="15.75" customHeight="1">
      <c r="C13" t="str">
        <f>IF(COUNTIF(Keeper!B:B,D13)&gt;0,"x","")</f>
        <v>x</v>
      </c>
      <c r="D13" s="40" t="str">
        <f>Fantasypro!C13</f>
        <v>Justin Jefferson</v>
      </c>
      <c r="E13" s="40" t="str">
        <f>Fantasypro!D13</f>
        <v>MIN</v>
      </c>
      <c r="F13" t="str">
        <f>Fantasypro!K13</f>
        <v>WR</v>
      </c>
      <c r="G13" s="39">
        <f>Fantasypro!H13</f>
        <v>13.3</v>
      </c>
      <c r="H13" s="39">
        <f>Fantasypro!I13</f>
        <v>4.0999999999999996</v>
      </c>
      <c r="I13" s="51" t="e">
        <f t="shared" ca="1" si="0"/>
        <v>#NAME?</v>
      </c>
    </row>
    <row r="14" spans="1:9" ht="15.75" customHeight="1">
      <c r="C14" t="str">
        <f>IF(COUNTIF(Keeper!B:B,D14)&gt;0,"x","")</f>
        <v>x</v>
      </c>
      <c r="D14" s="40" t="str">
        <f>Fantasypro!C14</f>
        <v>Drake London</v>
      </c>
      <c r="E14" s="40" t="str">
        <f>Fantasypro!D14</f>
        <v>ATL</v>
      </c>
      <c r="F14" t="str">
        <f>Fantasypro!K14</f>
        <v>WR</v>
      </c>
      <c r="G14" s="39">
        <f>Fantasypro!H14</f>
        <v>14.2</v>
      </c>
      <c r="H14" s="39">
        <f>Fantasypro!I14</f>
        <v>4.3</v>
      </c>
      <c r="I14" s="51" t="e">
        <f t="shared" ca="1" si="0"/>
        <v>#NAME?</v>
      </c>
    </row>
    <row r="15" spans="1:9" ht="15.75" customHeight="1">
      <c r="C15" t="str">
        <f>IF(COUNTIF(Keeper!B:B,D15)&gt;0,"x","")</f>
        <v>x</v>
      </c>
      <c r="D15" s="40" t="str">
        <f>Fantasypro!C15</f>
        <v>Nico Collins</v>
      </c>
      <c r="E15" s="40" t="str">
        <f>Fantasypro!D15</f>
        <v>HOU</v>
      </c>
      <c r="F15" t="str">
        <f>Fantasypro!K15</f>
        <v>WR</v>
      </c>
      <c r="G15" s="39">
        <f>Fantasypro!H15</f>
        <v>15.7</v>
      </c>
      <c r="H15" s="39">
        <f>Fantasypro!I15</f>
        <v>3</v>
      </c>
      <c r="I15" s="51" t="e">
        <f t="shared" ca="1" si="0"/>
        <v>#NAME?</v>
      </c>
    </row>
    <row r="16" spans="1:9" ht="15.75" customHeight="1">
      <c r="C16" t="str">
        <f>IF(COUNTIF(Keeper!B:B,D16)&gt;0,"x","")</f>
        <v>x</v>
      </c>
      <c r="D16" s="40" t="str">
        <f>Fantasypro!C16</f>
        <v>De'Von Achane</v>
      </c>
      <c r="E16" s="40" t="str">
        <f>Fantasypro!D16</f>
        <v>MIA</v>
      </c>
      <c r="F16" t="str">
        <f>Fantasypro!K16</f>
        <v>RB</v>
      </c>
      <c r="G16" s="39">
        <f>Fantasypro!H16</f>
        <v>17.7</v>
      </c>
      <c r="H16" s="39">
        <f>Fantasypro!I16</f>
        <v>6.4</v>
      </c>
      <c r="I16" s="51" t="e">
        <f t="shared" ca="1" si="0"/>
        <v>#NAME?</v>
      </c>
    </row>
    <row r="17" spans="1:9" ht="15.75" customHeight="1">
      <c r="A17" s="26"/>
      <c r="C17" t="str">
        <f>IF(COUNTIF(Keeper!B:B,D17)&gt;0,"x","")</f>
        <v>x</v>
      </c>
      <c r="D17" s="40" t="str">
        <f>Fantasypro!C17</f>
        <v>Ashton Jeanty</v>
      </c>
      <c r="E17" s="40" t="str">
        <f>Fantasypro!D17</f>
        <v>LV</v>
      </c>
      <c r="F17" t="str">
        <f>Fantasypro!K17</f>
        <v>RB</v>
      </c>
      <c r="G17" s="39">
        <f>Fantasypro!H17</f>
        <v>18.600000000000001</v>
      </c>
      <c r="H17" s="39">
        <f>Fantasypro!I17</f>
        <v>8.3000000000000007</v>
      </c>
      <c r="I17" s="51" t="e">
        <f t="shared" ca="1" si="0"/>
        <v>#NAME?</v>
      </c>
    </row>
    <row r="18" spans="1:9" ht="15.75" customHeight="1">
      <c r="C18" t="str">
        <f>IF(COUNTIF(Keeper!B:B,D18)&gt;0,"x","")</f>
        <v>x</v>
      </c>
      <c r="D18" s="40" t="str">
        <f>Fantasypro!C18</f>
        <v>George Pickens</v>
      </c>
      <c r="E18" s="40" t="str">
        <f>Fantasypro!D18</f>
        <v>DAL</v>
      </c>
      <c r="F18" t="str">
        <f>Fantasypro!K18</f>
        <v>WR</v>
      </c>
      <c r="G18" s="39">
        <f>Fantasypro!H18</f>
        <v>19.399999999999999</v>
      </c>
      <c r="H18" s="39">
        <f>Fantasypro!I18</f>
        <v>3</v>
      </c>
      <c r="I18" s="51" t="e">
        <f t="shared" ca="1" si="0"/>
        <v>#NAME?</v>
      </c>
    </row>
    <row r="19" spans="1:9" ht="15.75" customHeight="1">
      <c r="C19" t="str">
        <f>IF(COUNTIF(Keeper!B:B,D19)&gt;0,"x","")</f>
        <v/>
      </c>
      <c r="D19" s="40" t="str">
        <f>Fantasypro!C19</f>
        <v>Jeremiyah Love</v>
      </c>
      <c r="E19" s="40" t="str">
        <f>Fantasypro!D19</f>
        <v>FA</v>
      </c>
      <c r="F19" t="str">
        <f>Fantasypro!K19</f>
        <v>RB</v>
      </c>
      <c r="G19" s="39">
        <f>Fantasypro!H19</f>
        <v>20.100000000000001</v>
      </c>
      <c r="H19" s="39">
        <f>Fantasypro!I19</f>
        <v>4.2</v>
      </c>
      <c r="I19" s="51" t="e">
        <f t="shared" ca="1" si="0"/>
        <v>#NAME?</v>
      </c>
    </row>
    <row r="20" spans="1:9" ht="15.75" customHeight="1">
      <c r="C20" t="str">
        <f>IF(COUNTIF(Keeper!B:B,D20)&gt;0,"x","")</f>
        <v>x</v>
      </c>
      <c r="D20" s="40" t="str">
        <f>Fantasypro!C20</f>
        <v>Brock Bowers</v>
      </c>
      <c r="E20" s="40" t="str">
        <f>Fantasypro!D20</f>
        <v>LV</v>
      </c>
      <c r="F20" t="str">
        <f>Fantasypro!K20</f>
        <v>TE</v>
      </c>
      <c r="G20" s="39">
        <f>Fantasypro!H20</f>
        <v>20.100000000000001</v>
      </c>
      <c r="H20" s="39">
        <f>Fantasypro!I20</f>
        <v>5.9</v>
      </c>
      <c r="I20" s="51" t="e">
        <f t="shared" ca="1" si="0"/>
        <v>#NAME?</v>
      </c>
    </row>
    <row r="21" spans="1:9" ht="15.75" customHeight="1">
      <c r="C21" t="str">
        <f>IF(COUNTIF(Keeper!B:B,D21)&gt;0,"x","")</f>
        <v>x</v>
      </c>
      <c r="D21" s="40" t="str">
        <f>Fantasypro!C21</f>
        <v>Trey McBride</v>
      </c>
      <c r="E21" s="40" t="str">
        <f>Fantasypro!D21</f>
        <v>ARI</v>
      </c>
      <c r="F21" t="str">
        <f>Fantasypro!K21</f>
        <v>TE</v>
      </c>
      <c r="G21" s="39">
        <f>Fantasypro!H21</f>
        <v>20.9</v>
      </c>
      <c r="H21" s="39">
        <f>Fantasypro!I21</f>
        <v>5.7</v>
      </c>
      <c r="I21" s="51" t="e">
        <f t="shared" ca="1" si="0"/>
        <v>#NAME?</v>
      </c>
    </row>
    <row r="22" spans="1:9" ht="15.75" customHeight="1">
      <c r="C22" t="str">
        <f>IF(COUNTIF(Keeper!B:B,D22)&gt;0,"x","")</f>
        <v>x</v>
      </c>
      <c r="D22" s="40" t="str">
        <f>Fantasypro!C22</f>
        <v>Saquon Barkley</v>
      </c>
      <c r="E22" s="40" t="str">
        <f>Fantasypro!D22</f>
        <v>PHI</v>
      </c>
      <c r="F22" t="str">
        <f>Fantasypro!K22</f>
        <v>RB</v>
      </c>
      <c r="G22" s="39">
        <f>Fantasypro!H22</f>
        <v>22.3</v>
      </c>
      <c r="H22" s="39">
        <f>Fantasypro!I22</f>
        <v>6.2</v>
      </c>
      <c r="I22" s="51" t="e">
        <f t="shared" ca="1" si="0"/>
        <v>#NAME?</v>
      </c>
    </row>
    <row r="23" spans="1:9" ht="15.75" customHeight="1">
      <c r="C23" t="str">
        <f>IF(COUNTIF(Keeper!B:B,D23)&gt;0,"x","")</f>
        <v>x</v>
      </c>
      <c r="D23" s="40" t="str">
        <f>Fantasypro!C23</f>
        <v>Chris Olave</v>
      </c>
      <c r="E23" s="40" t="str">
        <f>Fantasypro!D23</f>
        <v>NO</v>
      </c>
      <c r="F23" t="str">
        <f>Fantasypro!K23</f>
        <v>WR</v>
      </c>
      <c r="G23" s="39">
        <f>Fantasypro!H23</f>
        <v>23.5</v>
      </c>
      <c r="H23" s="39">
        <f>Fantasypro!I23</f>
        <v>2.9</v>
      </c>
      <c r="I23" s="51" t="e">
        <f t="shared" ca="1" si="0"/>
        <v>#NAME?</v>
      </c>
    </row>
    <row r="24" spans="1:9" ht="15.75" customHeight="1">
      <c r="C24" t="str">
        <f>IF(COUNTIF(Keeper!B:B,D24)&gt;0,"x","")</f>
        <v>x</v>
      </c>
      <c r="D24" s="40" t="str">
        <f>Fantasypro!C24</f>
        <v>Omarion Hampton</v>
      </c>
      <c r="E24" s="40" t="str">
        <f>Fantasypro!D24</f>
        <v>LAC</v>
      </c>
      <c r="F24" t="str">
        <f>Fantasypro!K24</f>
        <v>RB</v>
      </c>
      <c r="G24" s="39">
        <f>Fantasypro!H24</f>
        <v>23.8</v>
      </c>
      <c r="H24" s="39">
        <f>Fantasypro!I24</f>
        <v>8.1</v>
      </c>
      <c r="I24" s="51" t="e">
        <f t="shared" ca="1" si="0"/>
        <v>#NAME?</v>
      </c>
    </row>
    <row r="25" spans="1:9" ht="15.75" customHeight="1">
      <c r="C25" t="str">
        <f>IF(COUNTIF(Keeper!B:B,D25)&gt;0,"x","")</f>
        <v/>
      </c>
      <c r="D25" s="40" t="str">
        <f>Fantasypro!C25</f>
        <v>Derrick Henry</v>
      </c>
      <c r="E25" s="40" t="str">
        <f>Fantasypro!D25</f>
        <v>BAL</v>
      </c>
      <c r="F25" t="str">
        <f>Fantasypro!K25</f>
        <v>RB</v>
      </c>
      <c r="G25" s="39">
        <f>Fantasypro!H25</f>
        <v>24.8</v>
      </c>
      <c r="H25" s="39">
        <f>Fantasypro!I25</f>
        <v>4.8</v>
      </c>
      <c r="I25" s="51" t="e">
        <f t="shared" ca="1" si="0"/>
        <v>#NAME?</v>
      </c>
    </row>
    <row r="26" spans="1:9" ht="15.75" customHeight="1">
      <c r="A26" s="26"/>
      <c r="C26" s="26" t="s">
        <v>938</v>
      </c>
      <c r="D26" s="40" t="str">
        <f>Fantasypro!C26</f>
        <v>Josh Allen</v>
      </c>
      <c r="E26" s="40" t="str">
        <f>Fantasypro!D26</f>
        <v>BUF</v>
      </c>
      <c r="F26" t="str">
        <f>Fantasypro!K26</f>
        <v>QB</v>
      </c>
      <c r="G26" s="39">
        <f>Fantasypro!H26</f>
        <v>25.3</v>
      </c>
      <c r="H26" s="39">
        <f>Fantasypro!I26</f>
        <v>0.7</v>
      </c>
      <c r="I26" s="51" t="e">
        <f t="shared" ca="1" si="0"/>
        <v>#NAME?</v>
      </c>
    </row>
    <row r="27" spans="1:9" ht="15.75" customHeight="1">
      <c r="C27" t="str">
        <f>IF(COUNTIF(Keeper!B:B,D27)&gt;0,"x","")</f>
        <v>x</v>
      </c>
      <c r="D27" s="40" t="str">
        <f>Fantasypro!C27</f>
        <v>Rashee Rice</v>
      </c>
      <c r="E27" s="40" t="str">
        <f>Fantasypro!D27</f>
        <v>KC</v>
      </c>
      <c r="F27" t="str">
        <f>Fantasypro!K27</f>
        <v>WR</v>
      </c>
      <c r="G27" s="39">
        <f>Fantasypro!H27</f>
        <v>27.7</v>
      </c>
      <c r="H27" s="39">
        <f>Fantasypro!I27</f>
        <v>11.5</v>
      </c>
      <c r="I27" s="51">
        <v>2</v>
      </c>
    </row>
    <row r="28" spans="1:9" ht="13">
      <c r="C28" t="str">
        <f>IF(COUNTIF(Keeper!B:B,D28)&gt;0,"x","")</f>
        <v/>
      </c>
      <c r="D28" s="40" t="e">
        <f t="shared" ref="D28:H28" si="1">#REF!</f>
        <v>#REF!</v>
      </c>
      <c r="E28" s="40" t="e">
        <f t="shared" si="1"/>
        <v>#REF!</v>
      </c>
      <c r="F28" t="e">
        <f t="shared" si="1"/>
        <v>#REF!</v>
      </c>
      <c r="G28" s="39" t="e">
        <f t="shared" si="1"/>
        <v>#REF!</v>
      </c>
      <c r="H28" s="39" t="e">
        <f t="shared" si="1"/>
        <v>#REF!</v>
      </c>
      <c r="I28" s="51" t="e">
        <f t="shared" ref="I28:I90" ca="1" si="2">_xludf.IFS(
  F29 = "RB", _xludf.IFS(
    AND(H29 &gt;= 0, H29 &lt; 2.55), 1,
    AND(H29 &gt;= 2.55, H29 &lt; 4.7), 2,
    AND(H29 &gt;= 4.7, H29 &lt; 8.4), 3,
    AND(H29 &gt;= 8.4, H29 &lt;= 36), 4
  ),
  F29 = "WR", _xludf.IFS(
    AND(H29 &gt;= 0, H29 &lt; 2.55), 1,
    AND(H29 &gt;= 2.55, H29 &lt; 4.2), 2,
    AND(H29 &gt;= 4.2, H29 &lt; 8.55), 3,
    AND(H29 &gt;= 8.55, H29 &lt;= 24.4), 4
  ),
  F29 = "QB", _xludf.IFS(
    AND(H29 &gt;= 0, H29 &lt; 2.95), 1,
    AND(H29 &gt;= 2.95, H29 &lt; 5.4), 2,
    AND(H29 &gt;= 5.4, H29 &lt; 7.2), 3,
    AND(H29 &gt;= 7.2, H29 &lt;= 12.3), 4
  ),
  F29 = "TE", _xludf.IFS(
    AND(H29 &gt;= 0, H29 &lt; 3), 1,
    AND(H29 &gt;= 3, H29 &lt; 4.8), 2,
    AND(H29 &gt;= 4.8, H29 &lt; 8.525), 3,
    AND(H29 &gt;= 8.525, H29 &lt;= 24.6), 4
  )
)</f>
        <v>#NAME?</v>
      </c>
    </row>
    <row r="29" spans="1:9" ht="13">
      <c r="C29" t="str">
        <f>IF(COUNTIF(Keeper!B:B,D29)&gt;0,"x","")</f>
        <v/>
      </c>
      <c r="D29" s="40" t="e">
        <f t="shared" ref="D29:H29" si="3">#REF!</f>
        <v>#REF!</v>
      </c>
      <c r="E29" s="40" t="e">
        <f t="shared" si="3"/>
        <v>#REF!</v>
      </c>
      <c r="F29" t="e">
        <f t="shared" si="3"/>
        <v>#REF!</v>
      </c>
      <c r="G29" s="39" t="e">
        <f t="shared" si="3"/>
        <v>#REF!</v>
      </c>
      <c r="H29" s="39" t="e">
        <f t="shared" si="3"/>
        <v>#REF!</v>
      </c>
      <c r="I29" s="51" t="e">
        <f t="shared" ca="1" si="2"/>
        <v>#NAME?</v>
      </c>
    </row>
    <row r="30" spans="1:9" ht="13">
      <c r="A30" s="26"/>
      <c r="C30" t="str">
        <f>IF(COUNTIF(Keeper!B:B,D30)&gt;0,"x","")</f>
        <v/>
      </c>
      <c r="D30" s="40" t="e">
        <f t="shared" ref="D30:H30" si="4">#REF!</f>
        <v>#REF!</v>
      </c>
      <c r="E30" s="40" t="e">
        <f t="shared" si="4"/>
        <v>#REF!</v>
      </c>
      <c r="F30" t="e">
        <f t="shared" si="4"/>
        <v>#REF!</v>
      </c>
      <c r="G30" s="39" t="e">
        <f t="shared" si="4"/>
        <v>#REF!</v>
      </c>
      <c r="H30" s="39" t="e">
        <f t="shared" si="4"/>
        <v>#REF!</v>
      </c>
      <c r="I30" s="51" t="e">
        <f t="shared" ca="1" si="2"/>
        <v>#NAME?</v>
      </c>
    </row>
    <row r="31" spans="1:9" ht="13">
      <c r="C31" t="str">
        <f>IF(COUNTIF(Keeper!B:B,D31)&gt;0,"x","")</f>
        <v>x</v>
      </c>
      <c r="D31" s="40" t="str">
        <f>Fantasypro!C28</f>
        <v>Lamar Jackson</v>
      </c>
      <c r="E31" s="40" t="str">
        <f>Fantasypro!D28</f>
        <v>BAL</v>
      </c>
      <c r="F31" t="str">
        <f>Fantasypro!K28</f>
        <v>QB</v>
      </c>
      <c r="G31" s="39">
        <f>Fantasypro!H28</f>
        <v>27.8</v>
      </c>
      <c r="H31" s="39">
        <f>Fantasypro!I28</f>
        <v>1.2</v>
      </c>
      <c r="I31" s="51" t="e">
        <f t="shared" ca="1" si="2"/>
        <v>#NAME?</v>
      </c>
    </row>
    <row r="32" spans="1:9" ht="13">
      <c r="C32" t="str">
        <f>IF(COUNTIF(Keeper!B:B,D32)&gt;0,"x","")</f>
        <v/>
      </c>
      <c r="D32" s="40" t="str">
        <f>Fantasypro!C29</f>
        <v>Tee Higgins</v>
      </c>
      <c r="E32" s="40" t="str">
        <f>Fantasypro!D29</f>
        <v>CIN</v>
      </c>
      <c r="F32" t="str">
        <f>Fantasypro!K29</f>
        <v>WR</v>
      </c>
      <c r="G32" s="39">
        <f>Fantasypro!H29</f>
        <v>27.8</v>
      </c>
      <c r="H32" s="39">
        <f>Fantasypro!I29</f>
        <v>5.3</v>
      </c>
      <c r="I32" s="51" t="e">
        <f t="shared" ca="1" si="2"/>
        <v>#NAME?</v>
      </c>
    </row>
    <row r="33" spans="3:9" ht="13">
      <c r="C33" t="str">
        <f>IF(COUNTIF(Keeper!B:B,D33)&gt;0,"x","")</f>
        <v/>
      </c>
      <c r="D33" s="40" t="str">
        <f>Fantasypro!C30</f>
        <v>Kenneth Walker III</v>
      </c>
      <c r="E33" s="40" t="str">
        <f>Fantasypro!D30</f>
        <v>KC</v>
      </c>
      <c r="F33" t="str">
        <f>Fantasypro!K30</f>
        <v>RB</v>
      </c>
      <c r="G33" s="39">
        <f>Fantasypro!H30</f>
        <v>28.5</v>
      </c>
      <c r="H33" s="39">
        <f>Fantasypro!I30</f>
        <v>8.3000000000000007</v>
      </c>
      <c r="I33" s="51" t="e">
        <f t="shared" ca="1" si="2"/>
        <v>#NAME?</v>
      </c>
    </row>
    <row r="34" spans="3:9" ht="13">
      <c r="C34" t="str">
        <f>IF(COUNTIF(Keeper!B:B,D34)&gt;0,"x","")</f>
        <v>x</v>
      </c>
      <c r="D34" s="40" t="str">
        <f>Fantasypro!C31</f>
        <v>A.J. Brown</v>
      </c>
      <c r="E34" s="40" t="str">
        <f>Fantasypro!D31</f>
        <v>PHI</v>
      </c>
      <c r="F34" t="str">
        <f>Fantasypro!K31</f>
        <v>WR</v>
      </c>
      <c r="G34" s="39">
        <f>Fantasypro!H31</f>
        <v>30.3</v>
      </c>
      <c r="H34" s="39">
        <f>Fantasypro!I31</f>
        <v>5.3</v>
      </c>
      <c r="I34" s="51" t="e">
        <f t="shared" ca="1" si="2"/>
        <v>#NAME?</v>
      </c>
    </row>
    <row r="35" spans="3:9" ht="13">
      <c r="C35" t="str">
        <f>IF(COUNTIF(Keeper!B:B,D35)&gt;0,"x","")</f>
        <v>x</v>
      </c>
      <c r="D35" s="40" t="str">
        <f>Fantasypro!C32</f>
        <v>Tetairoa McMillan</v>
      </c>
      <c r="E35" s="40" t="str">
        <f>Fantasypro!D32</f>
        <v>CAR</v>
      </c>
      <c r="F35" t="str">
        <f>Fantasypro!K32</f>
        <v>WR</v>
      </c>
      <c r="G35" s="39">
        <f>Fantasypro!H32</f>
        <v>30.6</v>
      </c>
      <c r="H35" s="39">
        <f>Fantasypro!I32</f>
        <v>5.4</v>
      </c>
      <c r="I35" s="51" t="e">
        <f t="shared" ca="1" si="2"/>
        <v>#NAME?</v>
      </c>
    </row>
    <row r="36" spans="3:9" ht="13">
      <c r="D36" s="40" t="str">
        <f>Fantasypro!C33</f>
        <v>Josh Jacobs</v>
      </c>
      <c r="E36" s="40" t="str">
        <f>Fantasypro!D33</f>
        <v>GB</v>
      </c>
      <c r="F36" t="str">
        <f>Fantasypro!K33</f>
        <v>RB</v>
      </c>
      <c r="G36" s="39">
        <f>Fantasypro!H33</f>
        <v>31.9</v>
      </c>
      <c r="H36" s="39">
        <f>Fantasypro!I33</f>
        <v>7.7</v>
      </c>
      <c r="I36" s="51" t="e">
        <f t="shared" ca="1" si="2"/>
        <v>#NAME?</v>
      </c>
    </row>
    <row r="37" spans="3:9" ht="13">
      <c r="C37" t="str">
        <f>IF(COUNTIF(Keeper!B:B,D37)&gt;0,"x","")</f>
        <v/>
      </c>
      <c r="D37" s="40" t="str">
        <f>Fantasypro!C34</f>
        <v>Drake Maye</v>
      </c>
      <c r="E37" s="40" t="str">
        <f>Fantasypro!D34</f>
        <v>NE</v>
      </c>
      <c r="F37" t="str">
        <f>Fantasypro!K34</f>
        <v>QB</v>
      </c>
      <c r="G37" s="39">
        <f>Fantasypro!H34</f>
        <v>32.299999999999997</v>
      </c>
      <c r="H37" s="39">
        <f>Fantasypro!I34</f>
        <v>8.3000000000000007</v>
      </c>
      <c r="I37" s="51" t="e">
        <f t="shared" ca="1" si="2"/>
        <v>#NAME?</v>
      </c>
    </row>
    <row r="38" spans="3:9" ht="13">
      <c r="C38" t="str">
        <f>IF(COUNTIF(Keeper!B:B,D38)&gt;0,"x","")</f>
        <v/>
      </c>
      <c r="D38" s="40" t="str">
        <f>Fantasypro!C35</f>
        <v>Chase Brown</v>
      </c>
      <c r="E38" s="40" t="str">
        <f>Fantasypro!D35</f>
        <v>CIN</v>
      </c>
      <c r="F38" t="str">
        <f>Fantasypro!K35</f>
        <v>RB</v>
      </c>
      <c r="G38" s="39">
        <f>Fantasypro!H35</f>
        <v>32.799999999999997</v>
      </c>
      <c r="H38" s="39">
        <f>Fantasypro!I35</f>
        <v>8</v>
      </c>
      <c r="I38" s="51" t="e">
        <f t="shared" ca="1" si="2"/>
        <v>#NAME?</v>
      </c>
    </row>
    <row r="39" spans="3:9" ht="13">
      <c r="C39" t="str">
        <f>IF(COUNTIF(Keeper!B:B,D39)&gt;0,"x","")</f>
        <v/>
      </c>
      <c r="D39" s="40" t="str">
        <f>Fantasypro!C36</f>
        <v>Davante Adams</v>
      </c>
      <c r="E39" s="40" t="str">
        <f>Fantasypro!D36</f>
        <v>LAR</v>
      </c>
      <c r="F39" t="str">
        <f>Fantasypro!K36</f>
        <v>WR</v>
      </c>
      <c r="G39" s="39">
        <f>Fantasypro!H36</f>
        <v>36.200000000000003</v>
      </c>
      <c r="H39" s="39">
        <f>Fantasypro!I36</f>
        <v>5</v>
      </c>
      <c r="I39" s="51" t="e">
        <f t="shared" ca="1" si="2"/>
        <v>#NAME?</v>
      </c>
    </row>
    <row r="40" spans="3:9" ht="13">
      <c r="C40" t="str">
        <f>IF(COUNTIF(Keeper!B:B,D40)&gt;0,"x","")</f>
        <v>x</v>
      </c>
      <c r="D40" s="40" t="str">
        <f>Fantasypro!C37</f>
        <v>Garrett Wilson</v>
      </c>
      <c r="E40" s="40" t="str">
        <f>Fantasypro!D37</f>
        <v>NYJ</v>
      </c>
      <c r="F40" t="str">
        <f>Fantasypro!K37</f>
        <v>WR</v>
      </c>
      <c r="G40" s="39">
        <f>Fantasypro!H37</f>
        <v>40.299999999999997</v>
      </c>
      <c r="H40" s="39">
        <f>Fantasypro!I37</f>
        <v>5.4</v>
      </c>
      <c r="I40" s="51" t="e">
        <f t="shared" ca="1" si="2"/>
        <v>#NAME?</v>
      </c>
    </row>
    <row r="41" spans="3:9" ht="13">
      <c r="D41" s="40" t="str">
        <f>Fantasypro!C38</f>
        <v>Breece Hall</v>
      </c>
      <c r="E41" s="40" t="str">
        <f>Fantasypro!D38</f>
        <v>NYJ</v>
      </c>
      <c r="F41" t="str">
        <f>Fantasypro!K38</f>
        <v>RB</v>
      </c>
      <c r="G41" s="39">
        <f>Fantasypro!H38</f>
        <v>42.1</v>
      </c>
      <c r="H41" s="39">
        <f>Fantasypro!I38</f>
        <v>5.8</v>
      </c>
      <c r="I41" s="51" t="e">
        <f t="shared" ca="1" si="2"/>
        <v>#NAME?</v>
      </c>
    </row>
    <row r="42" spans="3:9" ht="13">
      <c r="C42" t="str">
        <f>IF(COUNTIF(Keeper!B:B,D42)&gt;0,"x","")</f>
        <v/>
      </c>
      <c r="D42" s="40" t="str">
        <f>Fantasypro!C39</f>
        <v>Tucker Kraft</v>
      </c>
      <c r="E42" s="40" t="str">
        <f>Fantasypro!D39</f>
        <v>GB</v>
      </c>
      <c r="F42" t="str">
        <f>Fantasypro!K39</f>
        <v>TE</v>
      </c>
      <c r="G42" s="39">
        <f>Fantasypro!H39</f>
        <v>42.3</v>
      </c>
      <c r="H42" s="39">
        <f>Fantasypro!I39</f>
        <v>20.399999999999999</v>
      </c>
      <c r="I42" s="51" t="e">
        <f t="shared" ca="1" si="2"/>
        <v>#NAME?</v>
      </c>
    </row>
    <row r="43" spans="3:9" ht="13">
      <c r="C43" t="str">
        <f>IF(COUNTIF(Keeper!B:B,D43)&gt;0,"x","")</f>
        <v>x</v>
      </c>
      <c r="D43" s="40" t="str">
        <f>Fantasypro!C40</f>
        <v>Kyren Williams</v>
      </c>
      <c r="E43" s="40" t="str">
        <f>Fantasypro!D40</f>
        <v>LAR</v>
      </c>
      <c r="F43" t="str">
        <f>Fantasypro!K40</f>
        <v>RB</v>
      </c>
      <c r="G43" s="39">
        <f>Fantasypro!H40</f>
        <v>42.3</v>
      </c>
      <c r="H43" s="39">
        <f>Fantasypro!I40</f>
        <v>4.5</v>
      </c>
      <c r="I43" s="51" t="e">
        <f t="shared" ca="1" si="2"/>
        <v>#NAME?</v>
      </c>
    </row>
    <row r="44" spans="3:9" ht="13">
      <c r="C44" t="str">
        <f>IF(COUNTIF(Keeper!B:B,D44)&gt;0,"x","")</f>
        <v/>
      </c>
      <c r="D44" s="40" t="str">
        <f>Fantasypro!C41</f>
        <v>Zay Flowers</v>
      </c>
      <c r="E44" s="40" t="str">
        <f>Fantasypro!D41</f>
        <v>BAL</v>
      </c>
      <c r="F44" t="str">
        <f>Fantasypro!K41</f>
        <v>WR</v>
      </c>
      <c r="G44" s="39">
        <f>Fantasypro!H41</f>
        <v>43.5</v>
      </c>
      <c r="H44" s="39">
        <f>Fantasypro!I41</f>
        <v>8.4</v>
      </c>
      <c r="I44" s="51" t="e">
        <f t="shared" ca="1" si="2"/>
        <v>#NAME?</v>
      </c>
    </row>
    <row r="45" spans="3:9" ht="13">
      <c r="C45" t="str">
        <f>IF(COUNTIF(Keeper!B:B,D45)&gt;0,"x","")</f>
        <v/>
      </c>
      <c r="D45" s="40" t="str">
        <f>Fantasypro!C42</f>
        <v>Joe Burrow</v>
      </c>
      <c r="E45" s="40" t="str">
        <f>Fantasypro!D42</f>
        <v>CIN</v>
      </c>
      <c r="F45" t="str">
        <f>Fantasypro!K42</f>
        <v>QB</v>
      </c>
      <c r="G45" s="39">
        <f>Fantasypro!H42</f>
        <v>44.6</v>
      </c>
      <c r="H45" s="39">
        <f>Fantasypro!I42</f>
        <v>10.7</v>
      </c>
      <c r="I45" s="51" t="e">
        <f t="shared" ca="1" si="2"/>
        <v>#NAME?</v>
      </c>
    </row>
    <row r="46" spans="3:9" ht="13">
      <c r="C46" t="str">
        <f>IF(COUNTIF(Keeper!B:B,D46)&gt;0,"x","")</f>
        <v/>
      </c>
      <c r="D46" s="40" t="str">
        <f>Fantasypro!C43</f>
        <v>Javonte Williams</v>
      </c>
      <c r="E46" s="40" t="str">
        <f>Fantasypro!D43</f>
        <v>DAL</v>
      </c>
      <c r="F46" t="str">
        <f>Fantasypro!K43</f>
        <v>RB</v>
      </c>
      <c r="G46" s="39">
        <f>Fantasypro!H43</f>
        <v>44.6</v>
      </c>
      <c r="H46" s="39">
        <f>Fantasypro!I43</f>
        <v>7.9</v>
      </c>
      <c r="I46" s="51" t="e">
        <f t="shared" ca="1" si="2"/>
        <v>#NAME?</v>
      </c>
    </row>
    <row r="47" spans="3:9" ht="13">
      <c r="C47" t="str">
        <f>IF(COUNTIF(Keeper!B:B,D47)&gt;0,"x","")</f>
        <v/>
      </c>
      <c r="D47" s="40" t="str">
        <f>Fantasypro!C44</f>
        <v>Travis Etienne Jr.</v>
      </c>
      <c r="E47" s="40" t="str">
        <f>Fantasypro!D44</f>
        <v>NO</v>
      </c>
      <c r="F47" t="str">
        <f>Fantasypro!K44</f>
        <v>RB</v>
      </c>
      <c r="G47" s="39">
        <f>Fantasypro!H44</f>
        <v>45</v>
      </c>
      <c r="H47" s="39">
        <f>Fantasypro!I44</f>
        <v>5.7</v>
      </c>
      <c r="I47" s="51" t="e">
        <f t="shared" ca="1" si="2"/>
        <v>#NAME?</v>
      </c>
    </row>
    <row r="48" spans="3:9" ht="13">
      <c r="C48" t="str">
        <f>IF(COUNTIF(Keeper!B:B,D48)&gt;0,"x","")</f>
        <v/>
      </c>
      <c r="D48" s="40" t="str">
        <f>Fantasypro!C45</f>
        <v>Jameson Williams</v>
      </c>
      <c r="E48" s="40" t="str">
        <f>Fantasypro!D45</f>
        <v>DET</v>
      </c>
      <c r="F48" t="str">
        <f>Fantasypro!K45</f>
        <v>WR</v>
      </c>
      <c r="G48" s="39">
        <f>Fantasypro!H45</f>
        <v>45.6</v>
      </c>
      <c r="H48" s="39">
        <f>Fantasypro!I45</f>
        <v>7.7</v>
      </c>
      <c r="I48" s="51" t="e">
        <f t="shared" ca="1" si="2"/>
        <v>#NAME?</v>
      </c>
    </row>
    <row r="49" spans="1:9" ht="13">
      <c r="C49" t="str">
        <f>IF(COUNTIF(Keeper!B:B,D49)&gt;0,"x","")</f>
        <v/>
      </c>
      <c r="D49" s="40" t="str">
        <f>Fantasypro!C46</f>
        <v>Jayden Daniels</v>
      </c>
      <c r="E49" s="40" t="str">
        <f>Fantasypro!D46</f>
        <v>WAS</v>
      </c>
      <c r="F49" t="str">
        <f>Fantasypro!K46</f>
        <v>QB</v>
      </c>
      <c r="G49" s="39">
        <f>Fantasypro!H46</f>
        <v>47.8</v>
      </c>
      <c r="H49" s="39">
        <f>Fantasypro!I46</f>
        <v>11.3</v>
      </c>
      <c r="I49" s="51" t="e">
        <f t="shared" ca="1" si="2"/>
        <v>#NAME?</v>
      </c>
    </row>
    <row r="50" spans="1:9" ht="13">
      <c r="C50" t="str">
        <f>IF(COUNTIF(Keeper!B:B,D50)&gt;0,"x","")</f>
        <v/>
      </c>
      <c r="D50" s="40" t="str">
        <f>Fantasypro!C47</f>
        <v>Carnell Tate</v>
      </c>
      <c r="E50" s="40" t="str">
        <f>Fantasypro!D47</f>
        <v>FA</v>
      </c>
      <c r="F50" t="str">
        <f>Fantasypro!K47</f>
        <v>WR</v>
      </c>
      <c r="G50" s="39">
        <f>Fantasypro!H47</f>
        <v>48.8</v>
      </c>
      <c r="H50" s="39">
        <f>Fantasypro!I47</f>
        <v>13.9</v>
      </c>
      <c r="I50" s="51" t="e">
        <f t="shared" ca="1" si="2"/>
        <v>#NAME?</v>
      </c>
    </row>
    <row r="51" spans="1:9" ht="13">
      <c r="C51" t="str">
        <f>IF(COUNTIF(Keeper!B:B,D51)&gt;0,"x","")</f>
        <v/>
      </c>
      <c r="D51" s="40" t="str">
        <f>Fantasypro!C48</f>
        <v>Bucky Irving</v>
      </c>
      <c r="E51" s="40" t="str">
        <f>Fantasypro!D48</f>
        <v>TB</v>
      </c>
      <c r="F51" t="str">
        <f>Fantasypro!K48</f>
        <v>RB</v>
      </c>
      <c r="G51" s="39">
        <f>Fantasypro!H48</f>
        <v>48.9</v>
      </c>
      <c r="H51" s="39">
        <f>Fantasypro!I48</f>
        <v>4.7</v>
      </c>
      <c r="I51" s="51" t="e">
        <f t="shared" ca="1" si="2"/>
        <v>#NAME?</v>
      </c>
    </row>
    <row r="52" spans="1:9" ht="13">
      <c r="C52" t="str">
        <f>IF(COUNTIF(Keeper!B:B,D52)&gt;0,"x","")</f>
        <v/>
      </c>
      <c r="D52" s="40" t="str">
        <f>Fantasypro!C49</f>
        <v>Ladd McConkey</v>
      </c>
      <c r="E52" s="40" t="str">
        <f>Fantasypro!D49</f>
        <v>LAC</v>
      </c>
      <c r="F52" t="str">
        <f>Fantasypro!K49</f>
        <v>WR</v>
      </c>
      <c r="G52" s="39">
        <f>Fantasypro!H49</f>
        <v>48.9</v>
      </c>
      <c r="H52" s="39">
        <f>Fantasypro!I49</f>
        <v>6.1</v>
      </c>
      <c r="I52" s="51" t="e">
        <f t="shared" ca="1" si="2"/>
        <v>#NAME?</v>
      </c>
    </row>
    <row r="53" spans="1:9" ht="13">
      <c r="C53" t="str">
        <f>IF(COUNTIF(Keeper!B:B,D53)&gt;0,"x","")</f>
        <v/>
      </c>
      <c r="D53" s="40" t="str">
        <f>Fantasypro!C50</f>
        <v>Terry McLaurin</v>
      </c>
      <c r="E53" s="40" t="str">
        <f>Fantasypro!D50</f>
        <v>WAS</v>
      </c>
      <c r="F53" t="str">
        <f>Fantasypro!K50</f>
        <v>WR</v>
      </c>
      <c r="G53" s="39">
        <f>Fantasypro!H50</f>
        <v>49</v>
      </c>
      <c r="H53" s="39">
        <f>Fantasypro!I50</f>
        <v>6.9</v>
      </c>
      <c r="I53" s="51" t="e">
        <f t="shared" ca="1" si="2"/>
        <v>#NAME?</v>
      </c>
    </row>
    <row r="54" spans="1:9" ht="13">
      <c r="A54" s="26" t="s">
        <v>495</v>
      </c>
      <c r="C54" t="str">
        <f>IF(COUNTIF(Keeper!B:B,D54)&gt;0,"x","")</f>
        <v>x</v>
      </c>
      <c r="D54" s="40" t="str">
        <f>Fantasypro!C51</f>
        <v>Colston Loveland</v>
      </c>
      <c r="E54" s="40" t="str">
        <f>Fantasypro!D51</f>
        <v>CHI</v>
      </c>
      <c r="F54" t="str">
        <f>Fantasypro!K51</f>
        <v>TE</v>
      </c>
      <c r="G54" s="39">
        <f>Fantasypro!H51</f>
        <v>49.8</v>
      </c>
      <c r="H54" s="39">
        <f>Fantasypro!I51</f>
        <v>11</v>
      </c>
      <c r="I54" s="51" t="e">
        <f t="shared" ca="1" si="2"/>
        <v>#NAME?</v>
      </c>
    </row>
    <row r="55" spans="1:9" ht="13">
      <c r="C55" t="str">
        <f>IF(COUNTIF(Keeper!B:B,D55)&gt;0,"x","")</f>
        <v/>
      </c>
      <c r="D55" s="40" t="str">
        <f>Fantasypro!C52</f>
        <v>Jaylen Waddle</v>
      </c>
      <c r="E55" s="40" t="str">
        <f>Fantasypro!D52</f>
        <v>DEN</v>
      </c>
      <c r="F55" t="str">
        <f>Fantasypro!K52</f>
        <v>WR</v>
      </c>
      <c r="G55" s="39">
        <f>Fantasypro!H52</f>
        <v>51</v>
      </c>
      <c r="H55" s="39">
        <f>Fantasypro!I52</f>
        <v>10.6</v>
      </c>
      <c r="I55" s="51" t="e">
        <f t="shared" ca="1" si="2"/>
        <v>#NAME?</v>
      </c>
    </row>
    <row r="56" spans="1:9" ht="13">
      <c r="C56" t="str">
        <f>IF(COUNTIF(Keeper!B:B,D56)&gt;0,"x","")</f>
        <v/>
      </c>
      <c r="D56" s="40" t="str">
        <f>Fantasypro!C53</f>
        <v>Christian Watson</v>
      </c>
      <c r="E56" s="40" t="str">
        <f>Fantasypro!D53</f>
        <v>GB</v>
      </c>
      <c r="F56" t="str">
        <f>Fantasypro!K53</f>
        <v>WR</v>
      </c>
      <c r="G56" s="39">
        <f>Fantasypro!H53</f>
        <v>51.8</v>
      </c>
      <c r="H56" s="39">
        <f>Fantasypro!I53</f>
        <v>8.4</v>
      </c>
      <c r="I56" s="51" t="e">
        <f t="shared" ca="1" si="2"/>
        <v>#NAME?</v>
      </c>
    </row>
    <row r="57" spans="1:9" ht="13">
      <c r="A57" s="26"/>
      <c r="C57" t="str">
        <f>IF(COUNTIF(Keeper!B:B,D57)&gt;0,"x","")</f>
        <v/>
      </c>
      <c r="D57" s="40" t="str">
        <f>Fantasypro!C54</f>
        <v>TreVeyon Henderson</v>
      </c>
      <c r="E57" s="40" t="str">
        <f>Fantasypro!D54</f>
        <v>NE</v>
      </c>
      <c r="F57" t="str">
        <f>Fantasypro!K54</f>
        <v>RB</v>
      </c>
      <c r="G57" s="39">
        <f>Fantasypro!H54</f>
        <v>53.6</v>
      </c>
      <c r="H57" s="39">
        <f>Fantasypro!I54</f>
        <v>7.7</v>
      </c>
      <c r="I57" s="51" t="e">
        <f t="shared" ca="1" si="2"/>
        <v>#NAME?</v>
      </c>
    </row>
    <row r="58" spans="1:9" ht="13">
      <c r="C58" t="str">
        <f>IF(COUNTIF(Keeper!B:B,D58)&gt;0,"x","")</f>
        <v/>
      </c>
      <c r="D58" s="40" t="str">
        <f>Fantasypro!C55</f>
        <v>Jalen Hurts</v>
      </c>
      <c r="E58" s="40" t="str">
        <f>Fantasypro!D55</f>
        <v>PHI</v>
      </c>
      <c r="F58" t="str">
        <f>Fantasypro!K55</f>
        <v>QB</v>
      </c>
      <c r="G58" s="39">
        <f>Fantasypro!H55</f>
        <v>53.7</v>
      </c>
      <c r="H58" s="39">
        <f>Fantasypro!I55</f>
        <v>10.7</v>
      </c>
      <c r="I58" s="51" t="e">
        <f t="shared" ca="1" si="2"/>
        <v>#NAME?</v>
      </c>
    </row>
    <row r="59" spans="1:9" ht="13">
      <c r="C59" t="str">
        <f>IF(COUNTIF(Keeper!B:B,D59)&gt;0,"x","")</f>
        <v/>
      </c>
      <c r="D59" s="40" t="str">
        <f>Fantasypro!C56</f>
        <v>Luther Burden III</v>
      </c>
      <c r="E59" s="40" t="str">
        <f>Fantasypro!D56</f>
        <v>CHI</v>
      </c>
      <c r="F59" t="str">
        <f>Fantasypro!K56</f>
        <v>WR</v>
      </c>
      <c r="G59" s="39">
        <f>Fantasypro!H56</f>
        <v>55.6</v>
      </c>
      <c r="H59" s="39">
        <f>Fantasypro!I56</f>
        <v>9.3000000000000007</v>
      </c>
      <c r="I59" s="51" t="e">
        <f t="shared" ca="1" si="2"/>
        <v>#NAME?</v>
      </c>
    </row>
    <row r="60" spans="1:9" ht="13">
      <c r="C60" t="str">
        <f>IF(COUNTIF(Keeper!B:B,D60)&gt;0,"x","")</f>
        <v/>
      </c>
      <c r="D60" s="40" t="str">
        <f>Fantasypro!C57</f>
        <v>Emeka Egbuka</v>
      </c>
      <c r="E60" s="40" t="str">
        <f>Fantasypro!D57</f>
        <v>TB</v>
      </c>
      <c r="F60" t="str">
        <f>Fantasypro!K57</f>
        <v>WR</v>
      </c>
      <c r="G60" s="39">
        <f>Fantasypro!H57</f>
        <v>56.7</v>
      </c>
      <c r="H60" s="39">
        <f>Fantasypro!I57</f>
        <v>8.8000000000000007</v>
      </c>
      <c r="I60" s="51" t="e">
        <f t="shared" ca="1" si="2"/>
        <v>#NAME?</v>
      </c>
    </row>
    <row r="61" spans="1:9" ht="13">
      <c r="A61" s="26" t="s">
        <v>349</v>
      </c>
      <c r="C61" t="str">
        <f>IF(COUNTIF(Keeper!B:B,D61)&gt;0,"x","")</f>
        <v/>
      </c>
      <c r="D61" s="40" t="str">
        <f>Fantasypro!C58</f>
        <v>Mike Evans</v>
      </c>
      <c r="E61" s="40" t="str">
        <f>Fantasypro!D58</f>
        <v>SF</v>
      </c>
      <c r="F61" t="str">
        <f>Fantasypro!K58</f>
        <v>WR</v>
      </c>
      <c r="G61" s="39">
        <f>Fantasypro!H58</f>
        <v>58.1</v>
      </c>
      <c r="H61" s="39">
        <f>Fantasypro!I58</f>
        <v>11.9</v>
      </c>
      <c r="I61" s="51" t="e">
        <f t="shared" ca="1" si="2"/>
        <v>#NAME?</v>
      </c>
    </row>
    <row r="62" spans="1:9" ht="13">
      <c r="C62" t="str">
        <f>IF(COUNTIF(Keeper!B:B,D62)&gt;0,"x","")</f>
        <v/>
      </c>
      <c r="D62" s="40" t="str">
        <f>Fantasypro!C59</f>
        <v>DeVonta Smith</v>
      </c>
      <c r="E62" s="40" t="str">
        <f>Fantasypro!D59</f>
        <v>PHI</v>
      </c>
      <c r="F62" t="str">
        <f>Fantasypro!K59</f>
        <v>WR</v>
      </c>
      <c r="G62" s="39">
        <f>Fantasypro!H59</f>
        <v>58.8</v>
      </c>
      <c r="H62" s="39">
        <f>Fantasypro!I59</f>
        <v>9.6</v>
      </c>
      <c r="I62" s="51" t="e">
        <f t="shared" ca="1" si="2"/>
        <v>#NAME?</v>
      </c>
    </row>
    <row r="63" spans="1:9" ht="13">
      <c r="C63" t="str">
        <f>IF(COUNTIF(Keeper!B:B,D63)&gt;0,"x","")</f>
        <v/>
      </c>
      <c r="D63" s="40" t="str">
        <f>Fantasypro!C60</f>
        <v>D'Andre Swift</v>
      </c>
      <c r="E63" s="40" t="str">
        <f>Fantasypro!D60</f>
        <v>CHI</v>
      </c>
      <c r="F63" t="str">
        <f>Fantasypro!K60</f>
        <v>RB</v>
      </c>
      <c r="G63" s="39">
        <f>Fantasypro!H60</f>
        <v>59.4</v>
      </c>
      <c r="H63" s="39">
        <f>Fantasypro!I60</f>
        <v>4.5</v>
      </c>
      <c r="I63" s="51" t="e">
        <f t="shared" ca="1" si="2"/>
        <v>#NAME?</v>
      </c>
    </row>
    <row r="64" spans="1:9" ht="13">
      <c r="C64" t="str">
        <f>IF(COUNTIF(Keeper!B:B,D64)&gt;0,"x","")</f>
        <v/>
      </c>
      <c r="D64" s="40" t="str">
        <f>Fantasypro!C61</f>
        <v>Cam Skattebo</v>
      </c>
      <c r="E64" s="40" t="str">
        <f>Fantasypro!D61</f>
        <v>NYG</v>
      </c>
      <c r="F64" t="str">
        <f>Fantasypro!K61</f>
        <v>RB</v>
      </c>
      <c r="G64" s="39">
        <f>Fantasypro!H61</f>
        <v>60.9</v>
      </c>
      <c r="H64" s="39">
        <f>Fantasypro!I61</f>
        <v>9.6999999999999993</v>
      </c>
      <c r="I64" s="51" t="e">
        <f t="shared" ca="1" si="2"/>
        <v>#NAME?</v>
      </c>
    </row>
    <row r="65" spans="1:9" ht="13">
      <c r="A65" s="26"/>
      <c r="C65" t="str">
        <f>IF(COUNTIF(Keeper!B:B,D65)&gt;0,"x","")</f>
        <v/>
      </c>
      <c r="D65" s="40" t="str">
        <f>Fantasypro!C62</f>
        <v>Quinshon Judkins</v>
      </c>
      <c r="E65" s="40" t="str">
        <f>Fantasypro!D62</f>
        <v>CLE</v>
      </c>
      <c r="F65" t="str">
        <f>Fantasypro!K62</f>
        <v>RB</v>
      </c>
      <c r="G65" s="39">
        <f>Fantasypro!H62</f>
        <v>61.4</v>
      </c>
      <c r="H65" s="39">
        <f>Fantasypro!I62</f>
        <v>3.7</v>
      </c>
      <c r="I65" s="51" t="e">
        <f t="shared" ca="1" si="2"/>
        <v>#NAME?</v>
      </c>
    </row>
    <row r="66" spans="1:9" ht="13">
      <c r="C66" t="str">
        <f>IF(COUNTIF(Keeper!B:B,D66)&gt;0,"x","")</f>
        <v/>
      </c>
      <c r="D66" s="40" t="str">
        <f>Fantasypro!C63</f>
        <v>Makai Lemon</v>
      </c>
      <c r="E66" s="40" t="str">
        <f>Fantasypro!D63</f>
        <v>FA</v>
      </c>
      <c r="F66" t="str">
        <f>Fantasypro!K63</f>
        <v>WR</v>
      </c>
      <c r="G66" s="39">
        <f>Fantasypro!H63</f>
        <v>61.5</v>
      </c>
      <c r="H66" s="39">
        <f>Fantasypro!I63</f>
        <v>19</v>
      </c>
      <c r="I66" s="51" t="e">
        <f t="shared" ca="1" si="2"/>
        <v>#NAME?</v>
      </c>
    </row>
    <row r="67" spans="1:9" ht="13">
      <c r="C67" t="str">
        <f>IF(COUNTIF(Keeper!B:B,D67)&gt;0,"x","")</f>
        <v/>
      </c>
      <c r="D67" s="40" t="str">
        <f>Fantasypro!C64</f>
        <v>David Montgomery</v>
      </c>
      <c r="E67" s="40" t="str">
        <f>Fantasypro!D64</f>
        <v>HOU</v>
      </c>
      <c r="F67" t="str">
        <f>Fantasypro!K64</f>
        <v>RB</v>
      </c>
      <c r="G67" s="39">
        <f>Fantasypro!H64</f>
        <v>62</v>
      </c>
      <c r="H67" s="39">
        <f>Fantasypro!I64</f>
        <v>12.5</v>
      </c>
      <c r="I67" s="51" t="e">
        <f t="shared" ca="1" si="2"/>
        <v>#NAME?</v>
      </c>
    </row>
    <row r="68" spans="1:9" ht="13">
      <c r="C68" t="str">
        <f>IF(COUNTIF(Keeper!B:B,D68)&gt;0,"x","")</f>
        <v/>
      </c>
      <c r="D68" s="40" t="str">
        <f>Fantasypro!C65</f>
        <v>DJ Moore</v>
      </c>
      <c r="E68" s="40" t="str">
        <f>Fantasypro!D65</f>
        <v>BUF</v>
      </c>
      <c r="F68" t="str">
        <f>Fantasypro!K65</f>
        <v>WR</v>
      </c>
      <c r="G68" s="39">
        <f>Fantasypro!H65</f>
        <v>62.3</v>
      </c>
      <c r="H68" s="39">
        <f>Fantasypro!I65</f>
        <v>17.899999999999999</v>
      </c>
      <c r="I68" s="51" t="e">
        <f t="shared" ca="1" si="2"/>
        <v>#NAME?</v>
      </c>
    </row>
    <row r="69" spans="1:9" ht="13">
      <c r="C69" t="str">
        <f>IF(COUNTIF(Keeper!B:B,D69)&gt;0,"x","")</f>
        <v/>
      </c>
      <c r="D69" s="40" t="str">
        <f>Fantasypro!C66</f>
        <v>Bhayshul Tuten</v>
      </c>
      <c r="E69" s="40" t="str">
        <f>Fantasypro!D66</f>
        <v>JAC</v>
      </c>
      <c r="F69" t="str">
        <f>Fantasypro!K66</f>
        <v>RB</v>
      </c>
      <c r="G69" s="39">
        <f>Fantasypro!H66</f>
        <v>63.4</v>
      </c>
      <c r="H69" s="39">
        <f>Fantasypro!I66</f>
        <v>10.4</v>
      </c>
      <c r="I69" s="51" t="e">
        <f t="shared" ca="1" si="2"/>
        <v>#NAME?</v>
      </c>
    </row>
    <row r="70" spans="1:9" ht="13">
      <c r="A70" s="26" t="s">
        <v>387</v>
      </c>
      <c r="C70" t="str">
        <f>IF(COUNTIF(Keeper!B:B,D70)&gt;0,"x","")</f>
        <v/>
      </c>
      <c r="D70" s="40" t="str">
        <f>Fantasypro!C67</f>
        <v>Jordyn Tyson</v>
      </c>
      <c r="E70" s="40" t="str">
        <f>Fantasypro!D67</f>
        <v>FA</v>
      </c>
      <c r="F70" t="str">
        <f>Fantasypro!K67</f>
        <v>WR</v>
      </c>
      <c r="G70" s="39">
        <f>Fantasypro!H67</f>
        <v>64.2</v>
      </c>
      <c r="H70" s="39">
        <f>Fantasypro!I67</f>
        <v>18.8</v>
      </c>
      <c r="I70" s="51" t="e">
        <f t="shared" ca="1" si="2"/>
        <v>#NAME?</v>
      </c>
    </row>
    <row r="71" spans="1:9" ht="13">
      <c r="C71" t="str">
        <f>IF(COUNTIF(Keeper!B:B,D71)&gt;0,"x","")</f>
        <v/>
      </c>
      <c r="D71" s="40" t="str">
        <f>Fantasypro!C68</f>
        <v>Rome Odunze</v>
      </c>
      <c r="E71" s="40" t="str">
        <f>Fantasypro!D68</f>
        <v>CHI</v>
      </c>
      <c r="F71" t="str">
        <f>Fantasypro!K68</f>
        <v>WR</v>
      </c>
      <c r="G71" s="39">
        <f>Fantasypro!H68</f>
        <v>67.3</v>
      </c>
      <c r="H71" s="39">
        <f>Fantasypro!I68</f>
        <v>13.2</v>
      </c>
      <c r="I71" s="51" t="e">
        <f t="shared" ca="1" si="2"/>
        <v>#NAME?</v>
      </c>
    </row>
    <row r="72" spans="1:9" ht="13">
      <c r="C72" t="str">
        <f>IF(COUNTIF(Keeper!B:B,D72)&gt;0,"x","")</f>
        <v/>
      </c>
      <c r="D72" s="40" t="str">
        <f>Fantasypro!C69</f>
        <v>RJ Harvey</v>
      </c>
      <c r="E72" s="40" t="str">
        <f>Fantasypro!D69</f>
        <v>DEN</v>
      </c>
      <c r="F72" t="str">
        <f>Fantasypro!K69</f>
        <v>RB</v>
      </c>
      <c r="G72" s="39">
        <f>Fantasypro!H69</f>
        <v>68.400000000000006</v>
      </c>
      <c r="H72" s="39">
        <f>Fantasypro!I69</f>
        <v>12.1</v>
      </c>
      <c r="I72" s="51" t="e">
        <f t="shared" ca="1" si="2"/>
        <v>#NAME?</v>
      </c>
    </row>
    <row r="73" spans="1:9" ht="13">
      <c r="A73" s="26" t="s">
        <v>318</v>
      </c>
      <c r="C73" t="str">
        <f>IF(COUNTIF(Keeper!B:B,D73)&gt;0,"x","")</f>
        <v/>
      </c>
      <c r="D73" s="40" t="str">
        <f>Fantasypro!C70</f>
        <v>Tyler Warren</v>
      </c>
      <c r="E73" s="40" t="str">
        <f>Fantasypro!D70</f>
        <v>IND</v>
      </c>
      <c r="F73" t="str">
        <f>Fantasypro!K70</f>
        <v>TE</v>
      </c>
      <c r="G73" s="39">
        <f>Fantasypro!H70</f>
        <v>69.099999999999994</v>
      </c>
      <c r="H73" s="39">
        <f>Fantasypro!I70</f>
        <v>5.3</v>
      </c>
      <c r="I73" s="51" t="e">
        <f t="shared" ca="1" si="2"/>
        <v>#NAME?</v>
      </c>
    </row>
    <row r="74" spans="1:9" ht="13">
      <c r="C74" t="str">
        <f>IF(COUNTIF(Keeper!B:B,D74)&gt;0,"x","")</f>
        <v/>
      </c>
      <c r="D74" s="40" t="str">
        <f>Fantasypro!C71</f>
        <v>Alec Pierce</v>
      </c>
      <c r="E74" s="40" t="str">
        <f>Fantasypro!D71</f>
        <v>IND</v>
      </c>
      <c r="F74" t="str">
        <f>Fantasypro!K71</f>
        <v>WR</v>
      </c>
      <c r="G74" s="39">
        <f>Fantasypro!H71</f>
        <v>69.8</v>
      </c>
      <c r="H74" s="39">
        <f>Fantasypro!I71</f>
        <v>11.6</v>
      </c>
      <c r="I74" s="51" t="e">
        <f t="shared" ca="1" si="2"/>
        <v>#NAME?</v>
      </c>
    </row>
    <row r="75" spans="1:9" ht="13">
      <c r="A75" s="26" t="s">
        <v>479</v>
      </c>
      <c r="C75" t="str">
        <f>IF(COUNTIF(Keeper!B:B,D75)&gt;0,"x","")</f>
        <v/>
      </c>
      <c r="D75" s="40" t="str">
        <f>Fantasypro!C72</f>
        <v>Jaxson Dart</v>
      </c>
      <c r="E75" s="40" t="str">
        <f>Fantasypro!D72</f>
        <v>NYG</v>
      </c>
      <c r="F75" t="str">
        <f>Fantasypro!K72</f>
        <v>QB</v>
      </c>
      <c r="G75" s="39">
        <f>Fantasypro!H72</f>
        <v>69.900000000000006</v>
      </c>
      <c r="H75" s="39">
        <f>Fantasypro!I72</f>
        <v>10.3</v>
      </c>
      <c r="I75" s="51" t="e">
        <f t="shared" ca="1" si="2"/>
        <v>#NAME?</v>
      </c>
    </row>
    <row r="76" spans="1:9" ht="13">
      <c r="C76" t="str">
        <f>IF(COUNTIF(Keeper!B:B,D76)&gt;0,"x","")</f>
        <v/>
      </c>
      <c r="D76" s="40" t="str">
        <f>Fantasypro!C73</f>
        <v>Caleb Williams</v>
      </c>
      <c r="E76" s="40" t="str">
        <f>Fantasypro!D73</f>
        <v>CHI</v>
      </c>
      <c r="F76" t="str">
        <f>Fantasypro!K73</f>
        <v>QB</v>
      </c>
      <c r="G76" s="39">
        <f>Fantasypro!H73</f>
        <v>71.3</v>
      </c>
      <c r="H76" s="39">
        <f>Fantasypro!I73</f>
        <v>11.3</v>
      </c>
      <c r="I76" s="51" t="e">
        <f t="shared" ca="1" si="2"/>
        <v>#NAME?</v>
      </c>
    </row>
    <row r="77" spans="1:9" ht="13">
      <c r="C77" t="str">
        <f>IF(COUNTIF(Keeper!B:B,D77)&gt;0,"x","")</f>
        <v/>
      </c>
      <c r="D77" s="40" t="str">
        <f>Fantasypro!C74</f>
        <v>Jaylen Warren</v>
      </c>
      <c r="E77" s="40" t="str">
        <f>Fantasypro!D74</f>
        <v>PIT</v>
      </c>
      <c r="F77" t="str">
        <f>Fantasypro!K74</f>
        <v>RB</v>
      </c>
      <c r="G77" s="39">
        <f>Fantasypro!H74</f>
        <v>72.8</v>
      </c>
      <c r="H77" s="39">
        <f>Fantasypro!I74</f>
        <v>7.6</v>
      </c>
      <c r="I77" s="51" t="e">
        <f t="shared" ca="1" si="2"/>
        <v>#NAME?</v>
      </c>
    </row>
    <row r="78" spans="1:9" ht="13">
      <c r="C78" t="str">
        <f>IF(COUNTIF(Keeper!B:B,D78)&gt;0,"x","")</f>
        <v/>
      </c>
      <c r="D78" s="40" t="str">
        <f>Fantasypro!C75</f>
        <v>Courtland Sutton</v>
      </c>
      <c r="E78" s="40" t="str">
        <f>Fantasypro!D75</f>
        <v>DEN</v>
      </c>
      <c r="F78" t="str">
        <f>Fantasypro!K75</f>
        <v>WR</v>
      </c>
      <c r="G78" s="39">
        <f>Fantasypro!H75</f>
        <v>73.900000000000006</v>
      </c>
      <c r="H78" s="39">
        <f>Fantasypro!I75</f>
        <v>10.4</v>
      </c>
      <c r="I78" s="51" t="e">
        <f t="shared" ca="1" si="2"/>
        <v>#NAME?</v>
      </c>
    </row>
    <row r="79" spans="1:9" ht="13">
      <c r="A79" s="26" t="s">
        <v>940</v>
      </c>
      <c r="C79" t="str">
        <f>IF(COUNTIF(Keeper!B:B,D79)&gt;0,"x","")</f>
        <v/>
      </c>
      <c r="D79" s="40" t="str">
        <f>Fantasypro!C76</f>
        <v>Harold Fannin Jr.</v>
      </c>
      <c r="E79" s="40" t="str">
        <f>Fantasypro!D76</f>
        <v>CLE</v>
      </c>
      <c r="F79" t="str">
        <f>Fantasypro!K76</f>
        <v>TE</v>
      </c>
      <c r="G79" s="39">
        <f>Fantasypro!H76</f>
        <v>74</v>
      </c>
      <c r="H79" s="39">
        <f>Fantasypro!I76</f>
        <v>7.3</v>
      </c>
      <c r="I79" s="51" t="e">
        <f t="shared" ca="1" si="2"/>
        <v>#NAME?</v>
      </c>
    </row>
    <row r="80" spans="1:9" ht="13">
      <c r="C80" t="str">
        <f>IF(COUNTIF(Keeper!B:B,D80)&gt;0,"x","")</f>
        <v/>
      </c>
      <c r="D80" s="40" t="str">
        <f>Fantasypro!C77</f>
        <v>DK Metcalf</v>
      </c>
      <c r="E80" s="40" t="str">
        <f>Fantasypro!D77</f>
        <v>PIT</v>
      </c>
      <c r="F80" t="str">
        <f>Fantasypro!K77</f>
        <v>WR</v>
      </c>
      <c r="G80" s="39">
        <f>Fantasypro!H77</f>
        <v>75.5</v>
      </c>
      <c r="H80" s="39">
        <f>Fantasypro!I77</f>
        <v>8.6</v>
      </c>
      <c r="I80" s="51" t="e">
        <f t="shared" ca="1" si="2"/>
        <v>#NAME?</v>
      </c>
    </row>
    <row r="81" spans="1:9" ht="13">
      <c r="C81" t="str">
        <f>IF(COUNTIF(Keeper!B:B,D81)&gt;0,"x","")</f>
        <v/>
      </c>
      <c r="D81" s="40" t="str">
        <f>Fantasypro!C78</f>
        <v>Justin Herbert</v>
      </c>
      <c r="E81" s="40" t="str">
        <f>Fantasypro!D78</f>
        <v>LAC</v>
      </c>
      <c r="F81" t="str">
        <f>Fantasypro!K78</f>
        <v>QB</v>
      </c>
      <c r="G81" s="39">
        <f>Fantasypro!H78</f>
        <v>75.900000000000006</v>
      </c>
      <c r="H81" s="39">
        <f>Fantasypro!I78</f>
        <v>13.5</v>
      </c>
      <c r="I81" s="51" t="e">
        <f t="shared" ca="1" si="2"/>
        <v>#NAME?</v>
      </c>
    </row>
    <row r="82" spans="1:9" ht="13">
      <c r="C82" t="str">
        <f>IF(COUNTIF(Keeper!B:B,D82)&gt;0,"x","")</f>
        <v/>
      </c>
      <c r="D82" s="40" t="str">
        <f>Fantasypro!C79</f>
        <v>Kyle Monangai</v>
      </c>
      <c r="E82" s="40" t="str">
        <f>Fantasypro!D79</f>
        <v>CHI</v>
      </c>
      <c r="F82" t="str">
        <f>Fantasypro!K79</f>
        <v>RB</v>
      </c>
      <c r="G82" s="39">
        <f>Fantasypro!H79</f>
        <v>76.3</v>
      </c>
      <c r="H82" s="39">
        <f>Fantasypro!I79</f>
        <v>7.1</v>
      </c>
      <c r="I82" s="51" t="e">
        <f t="shared" ca="1" si="2"/>
        <v>#NAME?</v>
      </c>
    </row>
    <row r="83" spans="1:9" ht="13">
      <c r="C83" t="str">
        <f>IF(COUNTIF(Keeper!B:B,D83)&gt;0,"x","")</f>
        <v/>
      </c>
      <c r="D83" s="40" t="str">
        <f>Fantasypro!C80</f>
        <v>Blake Corum</v>
      </c>
      <c r="E83" s="40" t="str">
        <f>Fantasypro!D80</f>
        <v>LAR</v>
      </c>
      <c r="F83" t="str">
        <f>Fantasypro!K80</f>
        <v>RB</v>
      </c>
      <c r="G83" s="39">
        <f>Fantasypro!H80</f>
        <v>80.2</v>
      </c>
      <c r="H83" s="39">
        <f>Fantasypro!I80</f>
        <v>9.1999999999999993</v>
      </c>
      <c r="I83" s="51" t="e">
        <f t="shared" ca="1" si="2"/>
        <v>#NAME?</v>
      </c>
    </row>
    <row r="84" spans="1:9" ht="13">
      <c r="C84" t="str">
        <f>IF(COUNTIF(Keeper!B:B,D84)&gt;0,"x","")</f>
        <v/>
      </c>
      <c r="D84" s="40" t="str">
        <f>Fantasypro!C81</f>
        <v>Rico Dowdle</v>
      </c>
      <c r="E84" s="40" t="str">
        <f>Fantasypro!D81</f>
        <v>PIT</v>
      </c>
      <c r="F84" t="str">
        <f>Fantasypro!K81</f>
        <v>RB</v>
      </c>
      <c r="G84" s="39">
        <f>Fantasypro!H81</f>
        <v>81.400000000000006</v>
      </c>
      <c r="H84" s="39">
        <f>Fantasypro!I81</f>
        <v>8</v>
      </c>
      <c r="I84" s="51" t="e">
        <f t="shared" ca="1" si="2"/>
        <v>#NAME?</v>
      </c>
    </row>
    <row r="85" spans="1:9" ht="13">
      <c r="A85" s="26" t="s">
        <v>827</v>
      </c>
      <c r="C85" t="str">
        <f>IF(COUNTIF(Keeper!B:B,D85)&gt;0,"x","")</f>
        <v/>
      </c>
      <c r="D85" s="40" t="str">
        <f>Fantasypro!C82</f>
        <v>Marvin Harrison Jr.</v>
      </c>
      <c r="E85" s="40" t="str">
        <f>Fantasypro!D82</f>
        <v>ARI</v>
      </c>
      <c r="F85" t="str">
        <f>Fantasypro!K82</f>
        <v>WR</v>
      </c>
      <c r="G85" s="39">
        <f>Fantasypro!H82</f>
        <v>82</v>
      </c>
      <c r="H85" s="39">
        <f>Fantasypro!I82</f>
        <v>9.3000000000000007</v>
      </c>
      <c r="I85" s="51" t="e">
        <f t="shared" ca="1" si="2"/>
        <v>#NAME?</v>
      </c>
    </row>
    <row r="86" spans="1:9" ht="13">
      <c r="A86" s="26" t="s">
        <v>299</v>
      </c>
      <c r="C86" t="str">
        <f>IF(COUNTIF(Keeper!B:B,D86)&gt;0,"x","")</f>
        <v/>
      </c>
      <c r="D86" s="40" t="str">
        <f>Fantasypro!C83</f>
        <v>Rhamondre Stevenson</v>
      </c>
      <c r="E86" s="40" t="str">
        <f>Fantasypro!D83</f>
        <v>NE</v>
      </c>
      <c r="F86" t="str">
        <f>Fantasypro!K83</f>
        <v>RB</v>
      </c>
      <c r="G86" s="39">
        <f>Fantasypro!H83</f>
        <v>82.5</v>
      </c>
      <c r="H86" s="39">
        <f>Fantasypro!I83</f>
        <v>9.9</v>
      </c>
      <c r="I86" s="51" t="e">
        <f t="shared" ca="1" si="2"/>
        <v>#NAME?</v>
      </c>
    </row>
    <row r="87" spans="1:9" ht="13">
      <c r="C87" t="str">
        <f>IF(COUNTIF(Keeper!B:B,D87)&gt;0,"x","")</f>
        <v/>
      </c>
      <c r="D87" s="40" t="str">
        <f>Fantasypro!C84</f>
        <v>Sam LaPorta</v>
      </c>
      <c r="E87" s="40" t="str">
        <f>Fantasypro!D84</f>
        <v>DET</v>
      </c>
      <c r="F87" t="str">
        <f>Fantasypro!K84</f>
        <v>TE</v>
      </c>
      <c r="G87" s="39">
        <f>Fantasypro!H84</f>
        <v>83.6</v>
      </c>
      <c r="H87" s="39">
        <f>Fantasypro!I84</f>
        <v>2</v>
      </c>
      <c r="I87" s="51" t="e">
        <f t="shared" ca="1" si="2"/>
        <v>#NAME?</v>
      </c>
    </row>
    <row r="88" spans="1:9" ht="13">
      <c r="C88" t="str">
        <f>IF(COUNTIF(Keeper!B:B,D88)&gt;0,"x","")</f>
        <v/>
      </c>
      <c r="D88" s="40" t="str">
        <f>Fantasypro!C85</f>
        <v>Trevor Lawrence</v>
      </c>
      <c r="E88" s="40" t="str">
        <f>Fantasypro!D85</f>
        <v>JAC</v>
      </c>
      <c r="F88" t="str">
        <f>Fantasypro!K85</f>
        <v>QB</v>
      </c>
      <c r="G88" s="39">
        <f>Fantasypro!H85</f>
        <v>84.1</v>
      </c>
      <c r="H88" s="39">
        <f>Fantasypro!I85</f>
        <v>12.2</v>
      </c>
      <c r="I88" s="51" t="e">
        <f t="shared" ca="1" si="2"/>
        <v>#NAME?</v>
      </c>
    </row>
    <row r="89" spans="1:9" ht="13">
      <c r="A89" s="26" t="s">
        <v>567</v>
      </c>
      <c r="C89" t="str">
        <f>IF(COUNTIF(Keeper!B:B,D89)&gt;0,"x","")</f>
        <v/>
      </c>
      <c r="D89" s="40" t="str">
        <f>Fantasypro!C86</f>
        <v>Kyle Pitts Sr.</v>
      </c>
      <c r="E89" s="40" t="str">
        <f>Fantasypro!D86</f>
        <v>ATL</v>
      </c>
      <c r="F89" t="str">
        <f>Fantasypro!K86</f>
        <v>TE</v>
      </c>
      <c r="G89" s="39">
        <f>Fantasypro!H86</f>
        <v>86.9</v>
      </c>
      <c r="H89" s="39">
        <f>Fantasypro!I86</f>
        <v>4.2</v>
      </c>
      <c r="I89" s="51" t="e">
        <f t="shared" ca="1" si="2"/>
        <v>#NAME?</v>
      </c>
    </row>
    <row r="90" spans="1:9" ht="13">
      <c r="C90" t="str">
        <f>IF(COUNTIF(Keeper!B:B,D90)&gt;0,"x","")</f>
        <v/>
      </c>
      <c r="D90" s="40" t="str">
        <f>Fantasypro!C87</f>
        <v>Dak Prescott</v>
      </c>
      <c r="E90" s="40" t="str">
        <f>Fantasypro!D87</f>
        <v>DAL</v>
      </c>
      <c r="F90" t="str">
        <f>Fantasypro!K87</f>
        <v>QB</v>
      </c>
      <c r="G90" s="39">
        <f>Fantasypro!H87</f>
        <v>88.1</v>
      </c>
      <c r="H90" s="39">
        <f>Fantasypro!I87</f>
        <v>11.8</v>
      </c>
      <c r="I90" s="51" t="e">
        <f t="shared" ca="1" si="2"/>
        <v>#NAME?</v>
      </c>
    </row>
    <row r="91" spans="1:9" ht="13">
      <c r="C91" t="str">
        <f>IF(COUNTIF(Keeper!B:B,D91)&gt;0,"x","")</f>
        <v/>
      </c>
      <c r="D91" s="40" t="str">
        <f>Fantasypro!C88</f>
        <v>Tyler Allgeier</v>
      </c>
      <c r="E91" s="40" t="str">
        <f>Fantasypro!D88</f>
        <v>ARI</v>
      </c>
      <c r="F91" t="str">
        <f>Fantasypro!K88</f>
        <v>RB</v>
      </c>
      <c r="G91" s="39">
        <f>Fantasypro!H88</f>
        <v>89.9</v>
      </c>
      <c r="H91" s="39">
        <f>Fantasypro!I88</f>
        <v>13.7</v>
      </c>
      <c r="I91" s="51">
        <v>3</v>
      </c>
    </row>
    <row r="92" spans="1:9" ht="13">
      <c r="C92" t="str">
        <f>IF(COUNTIF(Keeper!B:B,D92)&gt;0,"x","")</f>
        <v/>
      </c>
      <c r="D92" s="40" t="str">
        <f>Fantasypro!C90</f>
        <v>Tony Pollard</v>
      </c>
      <c r="E92" s="40" t="str">
        <f>Fantasypro!D90</f>
        <v>TEN</v>
      </c>
      <c r="F92" t="str">
        <f>Fantasypro!K90</f>
        <v>RB</v>
      </c>
      <c r="G92" s="39">
        <f>Fantasypro!H90</f>
        <v>90.2</v>
      </c>
      <c r="H92" s="39">
        <f>Fantasypro!I90</f>
        <v>12.9</v>
      </c>
      <c r="I92" s="51" t="e">
        <f t="shared" ref="I92:I151" ca="1" si="5">_xludf.IFS(
  F93 = "RB", _xludf.IFS(
    AND(H93 &gt;= 0, H93 &lt; 2.55), 1,
    AND(H93 &gt;= 2.55, H93 &lt; 4.7), 2,
    AND(H93 &gt;= 4.7, H93 &lt; 8.4), 3,
    AND(H93 &gt;= 8.4, H93 &lt;= 36), 4
  ),
  F93 = "WR", _xludf.IFS(
    AND(H93 &gt;= 0, H93 &lt; 2.55), 1,
    AND(H93 &gt;= 2.55, H93 &lt; 4.2), 2,
    AND(H93 &gt;= 4.2, H93 &lt; 8.55), 3,
    AND(H93 &gt;= 8.55, H93 &lt;= 24.4), 4
  ),
  F93 = "QB", _xludf.IFS(
    AND(H93 &gt;= 0, H93 &lt; 2.95), 1,
    AND(H93 &gt;= 2.95, H93 &lt; 5.4), 2,
    AND(H93 &gt;= 5.4, H93 &lt; 7.2), 3,
    AND(H93 &gt;= 7.2, H93 &lt;= 12.3), 4
  ),
  F93 = "TE", _xludf.IFS(
    AND(H93 &gt;= 0, H93 &lt; 3), 1,
    AND(H93 &gt;= 3, H93 &lt; 4.8), 2,
    AND(H93 &gt;= 4.8, H93 &lt; 8.525), 3,
    AND(H93 &gt;= 8.525, H93 &lt;= 24.6), 4
  )
)</f>
        <v>#NAME?</v>
      </c>
    </row>
    <row r="93" spans="1:9" ht="13">
      <c r="A93" s="26"/>
      <c r="C93" t="str">
        <f>IF(COUNTIF(Keeper!B:B,D93)&gt;0,"x","")</f>
        <v/>
      </c>
      <c r="D93" s="40" t="str">
        <f>Fantasypro!C91</f>
        <v>Brock Purdy</v>
      </c>
      <c r="E93" s="40" t="str">
        <f>Fantasypro!D91</f>
        <v>SF</v>
      </c>
      <c r="F93" t="str">
        <f>Fantasypro!K91</f>
        <v>QB</v>
      </c>
      <c r="G93" s="39">
        <f>Fantasypro!H91</f>
        <v>90.7</v>
      </c>
      <c r="H93" s="39">
        <f>Fantasypro!I91</f>
        <v>10.199999999999999</v>
      </c>
      <c r="I93" s="51" t="e">
        <f t="shared" ca="1" si="5"/>
        <v>#NAME?</v>
      </c>
    </row>
    <row r="94" spans="1:9" ht="13">
      <c r="C94" t="str">
        <f>IF(COUNTIF(Keeper!B:B,D94)&gt;0,"x","")</f>
        <v/>
      </c>
      <c r="D94" s="40">
        <f>Fantasypro!C92</f>
        <v>0</v>
      </c>
      <c r="E94" s="40">
        <f>Fantasypro!D92</f>
        <v>0</v>
      </c>
      <c r="F94" t="str">
        <f>Fantasypro!K92</f>
        <v/>
      </c>
      <c r="G94" s="39">
        <f>Fantasypro!H92</f>
        <v>0</v>
      </c>
      <c r="H94" s="39">
        <f>Fantasypro!I92</f>
        <v>0</v>
      </c>
      <c r="I94" s="51" t="e">
        <f t="shared" ca="1" si="5"/>
        <v>#NAME?</v>
      </c>
    </row>
    <row r="95" spans="1:9" ht="13">
      <c r="A95" s="26"/>
      <c r="C95" t="str">
        <f>IF(COUNTIF(Keeper!B:B,D95)&gt;0,"x","")</f>
        <v/>
      </c>
      <c r="D95" s="40" t="str">
        <f>Fantasypro!C93</f>
        <v>Patrick Mahomes II</v>
      </c>
      <c r="E95" s="40" t="str">
        <f>Fantasypro!D93</f>
        <v>KC</v>
      </c>
      <c r="F95" t="str">
        <f>Fantasypro!K93</f>
        <v>QB</v>
      </c>
      <c r="G95" s="39">
        <f>Fantasypro!H93</f>
        <v>92.1</v>
      </c>
      <c r="H95" s="39">
        <f>Fantasypro!I93</f>
        <v>11.3</v>
      </c>
      <c r="I95" s="51" t="e">
        <f t="shared" ca="1" si="5"/>
        <v>#NAME?</v>
      </c>
    </row>
    <row r="96" spans="1:9" ht="13">
      <c r="C96" t="str">
        <f>IF(COUNTIF(Keeper!B:B,D96)&gt;0,"x","")</f>
        <v/>
      </c>
      <c r="D96" s="40" t="str">
        <f>Fantasypro!C94</f>
        <v>Chuba Hubbard</v>
      </c>
      <c r="E96" s="40" t="str">
        <f>Fantasypro!D94</f>
        <v>CAR</v>
      </c>
      <c r="F96" t="str">
        <f>Fantasypro!K94</f>
        <v>RB</v>
      </c>
      <c r="G96" s="39">
        <f>Fantasypro!H94</f>
        <v>92.3</v>
      </c>
      <c r="H96" s="39">
        <f>Fantasypro!I94</f>
        <v>15.1</v>
      </c>
      <c r="I96" s="51" t="e">
        <f t="shared" ca="1" si="5"/>
        <v>#NAME?</v>
      </c>
    </row>
    <row r="97" spans="1:9" ht="13">
      <c r="C97" t="str">
        <f>IF(COUNTIF(Keeper!B:B,D97)&gt;0,"x","")</f>
        <v/>
      </c>
      <c r="D97" s="40" t="str">
        <f>Fantasypro!C95</f>
        <v>Michael Wilson</v>
      </c>
      <c r="E97" s="40" t="str">
        <f>Fantasypro!D95</f>
        <v>ARI</v>
      </c>
      <c r="F97" t="str">
        <f>Fantasypro!K95</f>
        <v>WR</v>
      </c>
      <c r="G97" s="39">
        <f>Fantasypro!H95</f>
        <v>92.8</v>
      </c>
      <c r="H97" s="39">
        <f>Fantasypro!I95</f>
        <v>13.1</v>
      </c>
      <c r="I97" s="51" t="e">
        <f t="shared" ca="1" si="5"/>
        <v>#NAME?</v>
      </c>
    </row>
    <row r="98" spans="1:9" ht="13">
      <c r="C98" t="str">
        <f>IF(COUNTIF(Keeper!B:B,D98)&gt;0,"x","")</f>
        <v/>
      </c>
      <c r="D98" s="40" t="str">
        <f>Fantasypro!C96</f>
        <v>Jordan Addison</v>
      </c>
      <c r="E98" s="40" t="str">
        <f>Fantasypro!D96</f>
        <v>MIN</v>
      </c>
      <c r="F98" t="str">
        <f>Fantasypro!K96</f>
        <v>WR</v>
      </c>
      <c r="G98" s="39">
        <f>Fantasypro!H96</f>
        <v>94.1</v>
      </c>
      <c r="H98" s="39">
        <f>Fantasypro!I96</f>
        <v>8.6999999999999993</v>
      </c>
      <c r="I98" s="51" t="e">
        <f t="shared" ca="1" si="5"/>
        <v>#NAME?</v>
      </c>
    </row>
    <row r="99" spans="1:9" ht="13">
      <c r="C99" t="str">
        <f>IF(COUNTIF(Keeper!B:B,D99)&gt;0,"x","")</f>
        <v/>
      </c>
      <c r="D99" s="40" t="str">
        <f>Fantasypro!C97</f>
        <v>Zach Charbonnet</v>
      </c>
      <c r="E99" s="40" t="str">
        <f>Fantasypro!D97</f>
        <v>SEA</v>
      </c>
      <c r="F99" t="str">
        <f>Fantasypro!K97</f>
        <v>RB</v>
      </c>
      <c r="G99" s="39">
        <f>Fantasypro!H97</f>
        <v>95.2</v>
      </c>
      <c r="H99" s="39">
        <f>Fantasypro!I97</f>
        <v>20.9</v>
      </c>
      <c r="I99" s="51" t="e">
        <f t="shared" ca="1" si="5"/>
        <v>#NAME?</v>
      </c>
    </row>
    <row r="100" spans="1:9" ht="13">
      <c r="C100" t="str">
        <f>IF(COUNTIF(Keeper!B:B,D100)&gt;0,"x","")</f>
        <v/>
      </c>
      <c r="D100" s="40" t="str">
        <f>Fantasypro!C98</f>
        <v>Chris Godwin Jr.</v>
      </c>
      <c r="E100" s="40" t="str">
        <f>Fantasypro!D98</f>
        <v>TB</v>
      </c>
      <c r="F100" t="str">
        <f>Fantasypro!K98</f>
        <v>WR</v>
      </c>
      <c r="G100" s="39">
        <f>Fantasypro!H98</f>
        <v>96.8</v>
      </c>
      <c r="H100" s="39">
        <f>Fantasypro!I98</f>
        <v>10.6</v>
      </c>
      <c r="I100" s="51" t="e">
        <f t="shared" ca="1" si="5"/>
        <v>#NAME?</v>
      </c>
    </row>
    <row r="101" spans="1:9" ht="13">
      <c r="C101" t="str">
        <f>IF(COUNTIF(Keeper!B:B,D101)&gt;0,"x","")</f>
        <v/>
      </c>
      <c r="D101" s="40" t="str">
        <f>Fantasypro!C99</f>
        <v>J.K. Dobbins</v>
      </c>
      <c r="E101" s="40" t="str">
        <f>Fantasypro!D99</f>
        <v>DEN</v>
      </c>
      <c r="F101" t="str">
        <f>Fantasypro!K99</f>
        <v>RB</v>
      </c>
      <c r="G101" s="39">
        <f>Fantasypro!H99</f>
        <v>101</v>
      </c>
      <c r="H101" s="39">
        <f>Fantasypro!I99</f>
        <v>22.4</v>
      </c>
      <c r="I101" s="51" t="e">
        <f t="shared" ca="1" si="5"/>
        <v>#NAME?</v>
      </c>
    </row>
    <row r="102" spans="1:9" ht="13">
      <c r="C102" t="str">
        <f>IF(COUNTIF(Keeper!B:B,D102)&gt;0,"x","")</f>
        <v/>
      </c>
      <c r="D102" s="40" t="str">
        <f>Fantasypro!C100</f>
        <v>Dalton Kincaid</v>
      </c>
      <c r="E102" s="40" t="str">
        <f>Fantasypro!D100</f>
        <v>BUF</v>
      </c>
      <c r="F102" t="str">
        <f>Fantasypro!K100</f>
        <v>TE</v>
      </c>
      <c r="G102" s="39">
        <f>Fantasypro!H100</f>
        <v>101</v>
      </c>
      <c r="H102" s="39">
        <f>Fantasypro!I100</f>
        <v>12.9</v>
      </c>
      <c r="I102" s="51" t="e">
        <f t="shared" ca="1" si="5"/>
        <v>#NAME?</v>
      </c>
    </row>
    <row r="103" spans="1:9" ht="13">
      <c r="C103" t="str">
        <f>IF(COUNTIF(Keeper!B:B,D103)&gt;0,"x","")</f>
        <v/>
      </c>
      <c r="D103" s="40" t="str">
        <f>Fantasypro!C101</f>
        <v>Jacory Croskey-Merritt</v>
      </c>
      <c r="E103" s="40" t="str">
        <f>Fantasypro!D101</f>
        <v>WAS</v>
      </c>
      <c r="F103" t="str">
        <f>Fantasypro!K101</f>
        <v>RB</v>
      </c>
      <c r="G103" s="39">
        <f>Fantasypro!H101</f>
        <v>104</v>
      </c>
      <c r="H103" s="39">
        <f>Fantasypro!I101</f>
        <v>10.3</v>
      </c>
      <c r="I103" s="51" t="e">
        <f t="shared" ca="1" si="5"/>
        <v>#NAME?</v>
      </c>
    </row>
    <row r="104" spans="1:9" ht="13">
      <c r="C104" t="str">
        <f>IF(COUNTIF(Keeper!B:B,D104)&gt;0,"x","")</f>
        <v/>
      </c>
      <c r="D104" s="40" t="str">
        <f>Fantasypro!C102</f>
        <v>Bo Nix</v>
      </c>
      <c r="E104" s="40" t="str">
        <f>Fantasypro!D102</f>
        <v>DEN</v>
      </c>
      <c r="F104" t="str">
        <f>Fantasypro!K102</f>
        <v>QB</v>
      </c>
      <c r="G104" s="39">
        <f>Fantasypro!H102</f>
        <v>104</v>
      </c>
      <c r="H104" s="39">
        <f>Fantasypro!I102</f>
        <v>4.3</v>
      </c>
      <c r="I104" s="51" t="e">
        <f t="shared" ca="1" si="5"/>
        <v>#NAME?</v>
      </c>
    </row>
    <row r="105" spans="1:9" ht="13">
      <c r="C105" t="str">
        <f>IF(COUNTIF(Keeper!B:B,D105)&gt;0,"x","")</f>
        <v/>
      </c>
      <c r="D105" s="40" t="str">
        <f>Fantasypro!C103</f>
        <v>Matthew Stafford</v>
      </c>
      <c r="E105" s="40" t="str">
        <f>Fantasypro!D103</f>
        <v>LAR</v>
      </c>
      <c r="F105" t="str">
        <f>Fantasypro!K103</f>
        <v>QB</v>
      </c>
      <c r="G105" s="39">
        <f>Fantasypro!H103</f>
        <v>104</v>
      </c>
      <c r="H105" s="39">
        <f>Fantasypro!I103</f>
        <v>5.6</v>
      </c>
      <c r="I105" s="51" t="e">
        <f t="shared" ca="1" si="5"/>
        <v>#NAME?</v>
      </c>
    </row>
    <row r="106" spans="1:9" ht="13">
      <c r="A106" s="26" t="s">
        <v>941</v>
      </c>
      <c r="C106" t="str">
        <f>IF(COUNTIF(Keeper!B:B,D106)&gt;0,"x","")</f>
        <v/>
      </c>
      <c r="D106" s="40" t="str">
        <f>Fantasypro!C104</f>
        <v>Ricky Pearsall</v>
      </c>
      <c r="E106" s="40" t="str">
        <f>Fantasypro!D104</f>
        <v>SF</v>
      </c>
      <c r="F106" t="str">
        <f>Fantasypro!K104</f>
        <v>WR</v>
      </c>
      <c r="G106" s="39">
        <f>Fantasypro!H104</f>
        <v>104</v>
      </c>
      <c r="H106" s="39">
        <f>Fantasypro!I104</f>
        <v>7.9</v>
      </c>
      <c r="I106" s="51" t="e">
        <f t="shared" ca="1" si="5"/>
        <v>#NAME?</v>
      </c>
    </row>
    <row r="107" spans="1:9" ht="13">
      <c r="C107" t="str">
        <f>IF(COUNTIF(Keeper!B:B,D107)&gt;0,"x","")</f>
        <v/>
      </c>
      <c r="D107" s="40" t="str">
        <f>Fantasypro!C105</f>
        <v>Parker Washington</v>
      </c>
      <c r="E107" s="40" t="str">
        <f>Fantasypro!D105</f>
        <v>JAC</v>
      </c>
      <c r="F107" t="str">
        <f>Fantasypro!K105</f>
        <v>WR</v>
      </c>
      <c r="G107" s="39">
        <f>Fantasypro!H105</f>
        <v>105</v>
      </c>
      <c r="H107" s="39">
        <f>Fantasypro!I105</f>
        <v>16.899999999999999</v>
      </c>
      <c r="I107" s="51" t="e">
        <f t="shared" ca="1" si="5"/>
        <v>#NAME?</v>
      </c>
    </row>
    <row r="108" spans="1:9" ht="13">
      <c r="C108" t="str">
        <f>IF(COUNTIF(Keeper!B:B,D108)&gt;0,"x","")</f>
        <v/>
      </c>
      <c r="D108" s="40" t="str">
        <f>Fantasypro!C106</f>
        <v>Quentin Johnston</v>
      </c>
      <c r="E108" s="40" t="str">
        <f>Fantasypro!D106</f>
        <v>LAC</v>
      </c>
      <c r="F108" t="str">
        <f>Fantasypro!K106</f>
        <v>WR</v>
      </c>
      <c r="G108" s="39">
        <f>Fantasypro!H106</f>
        <v>106</v>
      </c>
      <c r="H108" s="39">
        <f>Fantasypro!I106</f>
        <v>11.5</v>
      </c>
      <c r="I108" s="51" t="e">
        <f t="shared" ca="1" si="5"/>
        <v>#NAME?</v>
      </c>
    </row>
    <row r="109" spans="1:9" ht="13">
      <c r="C109" t="str">
        <f>IF(COUNTIF(Keeper!B:B,D109)&gt;0,"x","")</f>
        <v/>
      </c>
      <c r="D109" s="40" t="str">
        <f>Fantasypro!C107</f>
        <v>Oronde Gadsden II</v>
      </c>
      <c r="E109" s="40" t="str">
        <f>Fantasypro!D107</f>
        <v>LAC</v>
      </c>
      <c r="F109" t="str">
        <f>Fantasypro!K107</f>
        <v>TE</v>
      </c>
      <c r="G109" s="39">
        <f>Fantasypro!H107</f>
        <v>106</v>
      </c>
      <c r="H109" s="39">
        <f>Fantasypro!I107</f>
        <v>12</v>
      </c>
      <c r="I109" s="51" t="e">
        <f t="shared" ca="1" si="5"/>
        <v>#NAME?</v>
      </c>
    </row>
    <row r="110" spans="1:9" ht="13">
      <c r="C110" t="str">
        <f>IF(COUNTIF(Keeper!B:B,D110)&gt;0,"x","")</f>
        <v/>
      </c>
      <c r="D110" s="40" t="str">
        <f>Fantasypro!C108</f>
        <v>Michael Pittman Jr.</v>
      </c>
      <c r="E110" s="40" t="str">
        <f>Fantasypro!D108</f>
        <v>PIT</v>
      </c>
      <c r="F110" t="str">
        <f>Fantasypro!K108</f>
        <v>WR</v>
      </c>
      <c r="G110" s="39">
        <f>Fantasypro!H108</f>
        <v>107</v>
      </c>
      <c r="H110" s="39">
        <f>Fantasypro!I108</f>
        <v>11.9</v>
      </c>
      <c r="I110" s="51" t="e">
        <f t="shared" ca="1" si="5"/>
        <v>#NAME?</v>
      </c>
    </row>
    <row r="111" spans="1:9" ht="13">
      <c r="C111" t="str">
        <f>IF(COUNTIF(Keeper!B:B,D111)&gt;0,"x","")</f>
        <v/>
      </c>
      <c r="D111" s="40" t="str">
        <f>Fantasypro!C109</f>
        <v>Woody Marks</v>
      </c>
      <c r="E111" s="40" t="str">
        <f>Fantasypro!D109</f>
        <v>HOU</v>
      </c>
      <c r="F111" t="str">
        <f>Fantasypro!K109</f>
        <v>RB</v>
      </c>
      <c r="G111" s="39">
        <f>Fantasypro!H109</f>
        <v>109</v>
      </c>
      <c r="H111" s="39">
        <f>Fantasypro!I109</f>
        <v>22.3</v>
      </c>
      <c r="I111" s="51" t="e">
        <f t="shared" ca="1" si="5"/>
        <v>#NAME?</v>
      </c>
    </row>
    <row r="112" spans="1:9" ht="13">
      <c r="C112" t="str">
        <f>IF(COUNTIF(Keeper!B:B,D112)&gt;0,"x","")</f>
        <v/>
      </c>
      <c r="D112" s="40" t="str">
        <f>Fantasypro!C110</f>
        <v>Jordan Love</v>
      </c>
      <c r="E112" s="40" t="str">
        <f>Fantasypro!D110</f>
        <v>GB</v>
      </c>
      <c r="F112" t="str">
        <f>Fantasypro!K110</f>
        <v>QB</v>
      </c>
      <c r="G112" s="39">
        <f>Fantasypro!H110</f>
        <v>113</v>
      </c>
      <c r="H112" s="39">
        <f>Fantasypro!I110</f>
        <v>8.1</v>
      </c>
      <c r="I112" s="51" t="e">
        <f t="shared" ca="1" si="5"/>
        <v>#NAME?</v>
      </c>
    </row>
    <row r="113" spans="1:9" ht="13">
      <c r="C113" t="str">
        <f>IF(COUNTIF(Keeper!B:B,D113)&gt;0,"x","")</f>
        <v/>
      </c>
      <c r="D113" s="40" t="str">
        <f>Fantasypro!C111</f>
        <v>Brandon Aiyuk</v>
      </c>
      <c r="E113" s="40" t="str">
        <f>Fantasypro!D111</f>
        <v>SF</v>
      </c>
      <c r="F113" t="str">
        <f>Fantasypro!K111</f>
        <v>WR</v>
      </c>
      <c r="G113" s="39">
        <f>Fantasypro!H111</f>
        <v>113</v>
      </c>
      <c r="H113" s="39">
        <f>Fantasypro!I111</f>
        <v>32.5</v>
      </c>
      <c r="I113" s="51" t="e">
        <f t="shared" ca="1" si="5"/>
        <v>#NAME?</v>
      </c>
    </row>
    <row r="114" spans="1:9" ht="13">
      <c r="C114" t="str">
        <f>IF(COUNTIF(Keeper!B:B,D114)&gt;0,"x","")</f>
        <v/>
      </c>
      <c r="D114" s="40" t="str">
        <f>Fantasypro!C112</f>
        <v>Jakobi Meyers</v>
      </c>
      <c r="E114" s="40" t="str">
        <f>Fantasypro!D112</f>
        <v>JAC</v>
      </c>
      <c r="F114" t="str">
        <f>Fantasypro!K112</f>
        <v>WR</v>
      </c>
      <c r="G114" s="39">
        <f>Fantasypro!H112</f>
        <v>113</v>
      </c>
      <c r="H114" s="39">
        <f>Fantasypro!I112</f>
        <v>4.5</v>
      </c>
      <c r="I114" s="51" t="e">
        <f t="shared" ca="1" si="5"/>
        <v>#NAME?</v>
      </c>
    </row>
    <row r="115" spans="1:9" ht="13">
      <c r="C115" t="str">
        <f>IF(COUNTIF(Keeper!B:B,D115)&gt;0,"x","")</f>
        <v/>
      </c>
      <c r="D115" s="40" t="str">
        <f>Fantasypro!C113</f>
        <v>Jared Goff</v>
      </c>
      <c r="E115" s="40" t="str">
        <f>Fantasypro!D113</f>
        <v>DET</v>
      </c>
      <c r="F115" t="str">
        <f>Fantasypro!K113</f>
        <v>QB</v>
      </c>
      <c r="G115" s="39">
        <f>Fantasypro!H113</f>
        <v>114</v>
      </c>
      <c r="H115" s="39">
        <f>Fantasypro!I113</f>
        <v>6.8</v>
      </c>
      <c r="I115" s="51" t="e">
        <f t="shared" ca="1" si="5"/>
        <v>#NAME?</v>
      </c>
    </row>
    <row r="116" spans="1:9" ht="13">
      <c r="C116" t="str">
        <f>IF(COUNTIF(Keeper!B:B,D116)&gt;0,"x","")</f>
        <v/>
      </c>
      <c r="D116" s="40" t="str">
        <f>Fantasypro!C114</f>
        <v>Aaron Jones Sr.</v>
      </c>
      <c r="E116" s="40" t="str">
        <f>Fantasypro!D114</f>
        <v>MIN</v>
      </c>
      <c r="F116" t="str">
        <f>Fantasypro!K114</f>
        <v>RB</v>
      </c>
      <c r="G116" s="39">
        <f>Fantasypro!H114</f>
        <v>115</v>
      </c>
      <c r="H116" s="39">
        <f>Fantasypro!I114</f>
        <v>5.3</v>
      </c>
      <c r="I116" s="51" t="e">
        <f t="shared" ca="1" si="5"/>
        <v>#NAME?</v>
      </c>
    </row>
    <row r="117" spans="1:9" ht="13">
      <c r="A117" s="26" t="s">
        <v>332</v>
      </c>
      <c r="C117" t="str">
        <f>IF(COUNTIF(Keeper!B:B,D117)&gt;0,"x","")</f>
        <v/>
      </c>
      <c r="D117" s="40" t="str">
        <f>Fantasypro!C115</f>
        <v>Jake Ferguson</v>
      </c>
      <c r="E117" s="40" t="str">
        <f>Fantasypro!D115</f>
        <v>DAL</v>
      </c>
      <c r="F117" t="str">
        <f>Fantasypro!K115</f>
        <v>TE</v>
      </c>
      <c r="G117" s="39">
        <f>Fantasypro!H115</f>
        <v>115</v>
      </c>
      <c r="H117" s="39">
        <f>Fantasypro!I115</f>
        <v>14.3</v>
      </c>
      <c r="I117" s="51" t="e">
        <f t="shared" ca="1" si="5"/>
        <v>#NAME?</v>
      </c>
    </row>
    <row r="118" spans="1:9" ht="13">
      <c r="A118" s="26"/>
      <c r="C118" t="str">
        <f>IF(COUNTIF(Keeper!B:B,D118)&gt;0,"x","")</f>
        <v/>
      </c>
      <c r="D118" s="40" t="str">
        <f>Fantasypro!C116</f>
        <v>Wan'Dale Robinson</v>
      </c>
      <c r="E118" s="40" t="str">
        <f>Fantasypro!D116</f>
        <v>TEN</v>
      </c>
      <c r="F118" t="str">
        <f>Fantasypro!K116</f>
        <v>WR</v>
      </c>
      <c r="G118" s="39">
        <f>Fantasypro!H116</f>
        <v>116</v>
      </c>
      <c r="H118" s="39">
        <f>Fantasypro!I116</f>
        <v>13.9</v>
      </c>
      <c r="I118" s="51" t="e">
        <f t="shared" ca="1" si="5"/>
        <v>#NAME?</v>
      </c>
    </row>
    <row r="119" spans="1:9" ht="13">
      <c r="C119" t="str">
        <f>IF(COUNTIF(Keeper!B:B,D119)&gt;0,"x","")</f>
        <v/>
      </c>
      <c r="D119" s="40" t="str">
        <f>Fantasypro!C117</f>
        <v>Denzel Boston</v>
      </c>
      <c r="E119" s="40" t="str">
        <f>Fantasypro!D117</f>
        <v>FA</v>
      </c>
      <c r="F119" t="str">
        <f>Fantasypro!K117</f>
        <v>WR</v>
      </c>
      <c r="G119" s="39">
        <f>Fantasypro!H117</f>
        <v>117</v>
      </c>
      <c r="H119" s="39">
        <f>Fantasypro!I117</f>
        <v>32.200000000000003</v>
      </c>
      <c r="I119" s="51" t="e">
        <f t="shared" ca="1" si="5"/>
        <v>#NAME?</v>
      </c>
    </row>
    <row r="120" spans="1:9" ht="13">
      <c r="C120" t="str">
        <f>IF(COUNTIF(Keeper!B:B,D120)&gt;0,"x","")</f>
        <v/>
      </c>
      <c r="D120" s="40" t="str">
        <f>Fantasypro!C118</f>
        <v>Jordan Mason</v>
      </c>
      <c r="E120" s="40" t="str">
        <f>Fantasypro!D118</f>
        <v>MIN</v>
      </c>
      <c r="F120" t="str">
        <f>Fantasypro!K118</f>
        <v>RB</v>
      </c>
      <c r="G120" s="39">
        <f>Fantasypro!H118</f>
        <v>120</v>
      </c>
      <c r="H120" s="39">
        <f>Fantasypro!I118</f>
        <v>10.199999999999999</v>
      </c>
      <c r="I120" s="51" t="e">
        <f t="shared" ca="1" si="5"/>
        <v>#NAME?</v>
      </c>
    </row>
    <row r="121" spans="1:9" ht="13">
      <c r="A121" s="26"/>
      <c r="C121" t="str">
        <f>IF(COUNTIF(Keeper!B:B,D121)&gt;0,"x","")</f>
        <v/>
      </c>
      <c r="D121" s="40" t="str">
        <f>Fantasypro!C119</f>
        <v>Juwan Johnson</v>
      </c>
      <c r="E121" s="40" t="str">
        <f>Fantasypro!D119</f>
        <v>NO</v>
      </c>
      <c r="F121" t="str">
        <f>Fantasypro!K119</f>
        <v>TE</v>
      </c>
      <c r="G121" s="39">
        <f>Fantasypro!H119</f>
        <v>121</v>
      </c>
      <c r="H121" s="39">
        <f>Fantasypro!I119</f>
        <v>15.4</v>
      </c>
      <c r="I121" s="51" t="e">
        <f t="shared" ca="1" si="5"/>
        <v>#NAME?</v>
      </c>
    </row>
    <row r="122" spans="1:9" ht="13">
      <c r="C122" t="str">
        <f>IF(COUNTIF(Keeper!B:B,D122)&gt;0,"x","")</f>
        <v/>
      </c>
      <c r="D122" s="40" t="str">
        <f>Fantasypro!C120</f>
        <v>James Conner</v>
      </c>
      <c r="E122" s="40" t="str">
        <f>Fantasypro!D120</f>
        <v>ARI</v>
      </c>
      <c r="F122" t="str">
        <f>Fantasypro!K120</f>
        <v>RB</v>
      </c>
      <c r="G122" s="39">
        <f>Fantasypro!H120</f>
        <v>122</v>
      </c>
      <c r="H122" s="39">
        <f>Fantasypro!I120</f>
        <v>16.100000000000001</v>
      </c>
      <c r="I122" s="51" t="e">
        <f t="shared" ca="1" si="5"/>
        <v>#NAME?</v>
      </c>
    </row>
    <row r="123" spans="1:9" ht="13">
      <c r="C123" t="str">
        <f>IF(COUNTIF(Keeper!B:B,D123)&gt;0,"x","")</f>
        <v/>
      </c>
      <c r="D123" s="40" t="str">
        <f>Fantasypro!C121</f>
        <v>Jayden Higgins</v>
      </c>
      <c r="E123" s="40" t="str">
        <f>Fantasypro!D121</f>
        <v>HOU</v>
      </c>
      <c r="F123" t="str">
        <f>Fantasypro!K121</f>
        <v>WR</v>
      </c>
      <c r="G123" s="39">
        <f>Fantasypro!H121</f>
        <v>122</v>
      </c>
      <c r="H123" s="39">
        <f>Fantasypro!I121</f>
        <v>9</v>
      </c>
      <c r="I123" s="51" t="e">
        <f t="shared" ca="1" si="5"/>
        <v>#NAME?</v>
      </c>
    </row>
    <row r="124" spans="1:9" ht="13">
      <c r="C124" t="str">
        <f>IF(COUNTIF(Keeper!B:B,D124)&gt;0,"x","")</f>
        <v/>
      </c>
      <c r="D124" s="40" t="str">
        <f>Fantasypro!C122</f>
        <v>Jauan Jennings</v>
      </c>
      <c r="E124" s="40" t="str">
        <f>Fantasypro!D122</f>
        <v>FA</v>
      </c>
      <c r="F124" t="str">
        <f>Fantasypro!K122</f>
        <v>WR</v>
      </c>
      <c r="G124" s="39">
        <f>Fantasypro!H122</f>
        <v>124</v>
      </c>
      <c r="H124" s="39">
        <f>Fantasypro!I122</f>
        <v>16.5</v>
      </c>
      <c r="I124" s="51" t="e">
        <f t="shared" ca="1" si="5"/>
        <v>#NAME?</v>
      </c>
    </row>
    <row r="125" spans="1:9" ht="13">
      <c r="C125" t="str">
        <f>IF(COUNTIF(Keeper!B:B,D125)&gt;0,"x","")</f>
        <v/>
      </c>
      <c r="D125" s="40" t="str">
        <f>Fantasypro!C123</f>
        <v>Malik Willis</v>
      </c>
      <c r="E125" s="40" t="str">
        <f>Fantasypro!D123</f>
        <v>MIA</v>
      </c>
      <c r="F125" t="str">
        <f>Fantasypro!K123</f>
        <v>QB</v>
      </c>
      <c r="G125" s="39">
        <f>Fantasypro!H123</f>
        <v>124</v>
      </c>
      <c r="H125" s="39">
        <f>Fantasypro!I123</f>
        <v>24.7</v>
      </c>
      <c r="I125" s="51" t="e">
        <f t="shared" ca="1" si="5"/>
        <v>#NAME?</v>
      </c>
    </row>
    <row r="126" spans="1:9" ht="13">
      <c r="C126" t="str">
        <f>IF(COUNTIF(Keeper!B:B,D126)&gt;0,"x","")</f>
        <v/>
      </c>
      <c r="D126" s="40" t="str">
        <f>Fantasypro!C124</f>
        <v>Brenton Strange</v>
      </c>
      <c r="E126" s="40" t="str">
        <f>Fantasypro!D124</f>
        <v>JAC</v>
      </c>
      <c r="F126" t="str">
        <f>Fantasypro!K124</f>
        <v>TE</v>
      </c>
      <c r="G126" s="39">
        <f>Fantasypro!H124</f>
        <v>125</v>
      </c>
      <c r="H126" s="39">
        <f>Fantasypro!I124</f>
        <v>17</v>
      </c>
      <c r="I126" s="51" t="e">
        <f t="shared" ca="1" si="5"/>
        <v>#NAME?</v>
      </c>
    </row>
    <row r="127" spans="1:9" ht="13">
      <c r="A127" s="26" t="s">
        <v>942</v>
      </c>
      <c r="C127" t="str">
        <f>IF(COUNTIF(Keeper!B:B,D127)&gt;0,"x","")</f>
        <v/>
      </c>
      <c r="D127" s="40" t="str">
        <f>Fantasypro!C125</f>
        <v>Tyler Shough</v>
      </c>
      <c r="E127" s="40" t="str">
        <f>Fantasypro!D125</f>
        <v>NO</v>
      </c>
      <c r="F127" t="str">
        <f>Fantasypro!K125</f>
        <v>QB</v>
      </c>
      <c r="G127" s="39">
        <f>Fantasypro!H125</f>
        <v>125</v>
      </c>
      <c r="H127" s="39">
        <f>Fantasypro!I125</f>
        <v>7.7</v>
      </c>
      <c r="I127" s="51" t="e">
        <f t="shared" ca="1" si="5"/>
        <v>#NAME?</v>
      </c>
    </row>
    <row r="128" spans="1:9" ht="13">
      <c r="C128" t="str">
        <f>IF(COUNTIF(Keeper!B:B,D128)&gt;0,"x","")</f>
        <v/>
      </c>
      <c r="D128" s="40" t="str">
        <f>Fantasypro!C126</f>
        <v>Kyler Murray</v>
      </c>
      <c r="E128" s="40" t="str">
        <f>Fantasypro!D126</f>
        <v>MIN</v>
      </c>
      <c r="F128" t="str">
        <f>Fantasypro!K126</f>
        <v>QB</v>
      </c>
      <c r="G128" s="39">
        <f>Fantasypro!H126</f>
        <v>126</v>
      </c>
      <c r="H128" s="39">
        <f>Fantasypro!I126</f>
        <v>16.5</v>
      </c>
      <c r="I128" s="51" t="e">
        <f t="shared" ca="1" si="5"/>
        <v>#NAME?</v>
      </c>
    </row>
    <row r="129" spans="1:9" ht="13">
      <c r="C129" t="str">
        <f>IF(COUNTIF(Keeper!B:B,D129)&gt;0,"x","")</f>
        <v/>
      </c>
      <c r="D129" s="40" t="str">
        <f>Fantasypro!C127</f>
        <v>Baker Mayfield</v>
      </c>
      <c r="E129" s="40" t="str">
        <f>Fantasypro!D127</f>
        <v>TB</v>
      </c>
      <c r="F129" t="str">
        <f>Fantasypro!K127</f>
        <v>QB</v>
      </c>
      <c r="G129" s="39">
        <f>Fantasypro!H127</f>
        <v>127</v>
      </c>
      <c r="H129" s="39">
        <f>Fantasypro!I127</f>
        <v>5.7</v>
      </c>
      <c r="I129" s="51" t="e">
        <f t="shared" ca="1" si="5"/>
        <v>#NAME?</v>
      </c>
    </row>
    <row r="130" spans="1:9" ht="13">
      <c r="A130" s="26"/>
      <c r="C130" t="str">
        <f>IF(COUNTIF(Keeper!B:B,D130)&gt;0,"x","")</f>
        <v/>
      </c>
      <c r="D130" s="40" t="str">
        <f>Fantasypro!C128</f>
        <v>Travis Kelce</v>
      </c>
      <c r="E130" s="40" t="str">
        <f>Fantasypro!D128</f>
        <v>KC</v>
      </c>
      <c r="F130" t="str">
        <f>Fantasypro!K128</f>
        <v>TE</v>
      </c>
      <c r="G130" s="39">
        <f>Fantasypro!H128</f>
        <v>128</v>
      </c>
      <c r="H130" s="39">
        <f>Fantasypro!I128</f>
        <v>29.9</v>
      </c>
      <c r="I130" s="51" t="e">
        <f t="shared" ca="1" si="5"/>
        <v>#NAME?</v>
      </c>
    </row>
    <row r="131" spans="1:9" ht="13">
      <c r="C131" t="str">
        <f>IF(COUNTIF(Keeper!B:B,D131)&gt;0,"x","")</f>
        <v/>
      </c>
      <c r="D131" s="40" t="str">
        <f>Fantasypro!C129</f>
        <v>Dallas Goedert</v>
      </c>
      <c r="E131" s="40" t="str">
        <f>Fantasypro!D129</f>
        <v>PHI</v>
      </c>
      <c r="F131" t="str">
        <f>Fantasypro!K129</f>
        <v>TE</v>
      </c>
      <c r="G131" s="39">
        <f>Fantasypro!H129</f>
        <v>131</v>
      </c>
      <c r="H131" s="39">
        <f>Fantasypro!I129</f>
        <v>15.7</v>
      </c>
      <c r="I131" s="51" t="e">
        <f t="shared" ca="1" si="5"/>
        <v>#NAME?</v>
      </c>
    </row>
    <row r="132" spans="1:9" ht="13">
      <c r="C132" t="str">
        <f>IF(COUNTIF(Keeper!B:B,D132)&gt;0,"x","")</f>
        <v/>
      </c>
      <c r="D132" s="40" t="str">
        <f>Fantasypro!C130</f>
        <v>Jadarian Price</v>
      </c>
      <c r="E132" s="40" t="str">
        <f>Fantasypro!D130</f>
        <v>FA</v>
      </c>
      <c r="F132" t="str">
        <f>Fantasypro!K130</f>
        <v>RB</v>
      </c>
      <c r="G132" s="39">
        <f>Fantasypro!H130</f>
        <v>133</v>
      </c>
      <c r="H132" s="39">
        <f>Fantasypro!I130</f>
        <v>52.3</v>
      </c>
      <c r="I132" s="51" t="e">
        <f t="shared" ca="1" si="5"/>
        <v>#NAME?</v>
      </c>
    </row>
    <row r="133" spans="1:9" ht="13">
      <c r="C133" t="str">
        <f>IF(COUNTIF(Keeper!B:B,D133)&gt;0,"x","")</f>
        <v/>
      </c>
      <c r="D133" s="40" t="str">
        <f>Fantasypro!C131</f>
        <v>Braelon Allen</v>
      </c>
      <c r="E133" s="40" t="str">
        <f>Fantasypro!D131</f>
        <v>NYJ</v>
      </c>
      <c r="F133" t="str">
        <f>Fantasypro!K131</f>
        <v>RB</v>
      </c>
      <c r="G133" s="39">
        <f>Fantasypro!H131</f>
        <v>134</v>
      </c>
      <c r="H133" s="39">
        <f>Fantasypro!I131</f>
        <v>18.399999999999999</v>
      </c>
      <c r="I133" s="51" t="e">
        <f t="shared" ca="1" si="5"/>
        <v>#NAME?</v>
      </c>
    </row>
    <row r="134" spans="1:9" ht="13">
      <c r="C134" t="str">
        <f>IF(COUNTIF(Keeper!B:B,D134)&gt;0,"x","")</f>
        <v/>
      </c>
      <c r="D134" s="40" t="str">
        <f>Fantasypro!C132</f>
        <v>Jayden Reed</v>
      </c>
      <c r="E134" s="40" t="str">
        <f>Fantasypro!D132</f>
        <v>GB</v>
      </c>
      <c r="F134" t="str">
        <f>Fantasypro!K132</f>
        <v>WR</v>
      </c>
      <c r="G134" s="39">
        <f>Fantasypro!H132</f>
        <v>134</v>
      </c>
      <c r="H134" s="39">
        <f>Fantasypro!I132</f>
        <v>9.6999999999999993</v>
      </c>
      <c r="I134" s="51" t="e">
        <f t="shared" ca="1" si="5"/>
        <v>#NAME?</v>
      </c>
    </row>
    <row r="135" spans="1:9" ht="13">
      <c r="C135" t="str">
        <f>IF(COUNTIF(Keeper!B:B,D135)&gt;0,"x","")</f>
        <v/>
      </c>
      <c r="D135" s="40" t="str">
        <f>Fantasypro!C133</f>
        <v>Kenneth Gainwell</v>
      </c>
      <c r="E135" s="40" t="str">
        <f>Fantasypro!D133</f>
        <v>TB</v>
      </c>
      <c r="F135" t="str">
        <f>Fantasypro!K133</f>
        <v>RB</v>
      </c>
      <c r="G135" s="39">
        <f>Fantasypro!H133</f>
        <v>135</v>
      </c>
      <c r="H135" s="39">
        <f>Fantasypro!I133</f>
        <v>8.5</v>
      </c>
      <c r="I135" s="51" t="e">
        <f t="shared" ca="1" si="5"/>
        <v>#NAME?</v>
      </c>
    </row>
    <row r="136" spans="1:9" ht="13">
      <c r="C136" t="str">
        <f>IF(COUNTIF(Keeper!B:B,D136)&gt;0,"x","")</f>
        <v/>
      </c>
      <c r="D136" s="40" t="str">
        <f>Fantasypro!C134</f>
        <v>Romeo Doubs</v>
      </c>
      <c r="E136" s="40" t="str">
        <f>Fantasypro!D134</f>
        <v>NE</v>
      </c>
      <c r="F136" t="str">
        <f>Fantasypro!K134</f>
        <v>WR</v>
      </c>
      <c r="G136" s="39">
        <f>Fantasypro!H134</f>
        <v>136</v>
      </c>
      <c r="H136" s="39">
        <f>Fantasypro!I134</f>
        <v>33.5</v>
      </c>
      <c r="I136" s="51" t="e">
        <f t="shared" ca="1" si="5"/>
        <v>#NAME?</v>
      </c>
    </row>
    <row r="137" spans="1:9" ht="13">
      <c r="C137" t="str">
        <f>IF(COUNTIF(Keeper!B:B,D137)&gt;0,"x","")</f>
        <v/>
      </c>
      <c r="D137" s="40" t="str">
        <f>Fantasypro!C135</f>
        <v>Tyrone Tracy Jr.</v>
      </c>
      <c r="E137" s="40" t="str">
        <f>Fantasypro!D135</f>
        <v>NYG</v>
      </c>
      <c r="F137" t="str">
        <f>Fantasypro!K135</f>
        <v>RB</v>
      </c>
      <c r="G137" s="39">
        <f>Fantasypro!H135</f>
        <v>136</v>
      </c>
      <c r="H137" s="39">
        <f>Fantasypro!I135</f>
        <v>15</v>
      </c>
      <c r="I137" s="51" t="e">
        <f t="shared" ca="1" si="5"/>
        <v>#NAME?</v>
      </c>
    </row>
    <row r="138" spans="1:9" ht="13">
      <c r="A138" s="26"/>
      <c r="C138" t="str">
        <f>IF(COUNTIF(Keeper!B:B,D138)&gt;0,"x","")</f>
        <v/>
      </c>
      <c r="D138" s="40" t="str">
        <f>Fantasypro!C136</f>
        <v>George Kittle</v>
      </c>
      <c r="E138" s="40" t="str">
        <f>Fantasypro!D136</f>
        <v>SF</v>
      </c>
      <c r="F138" t="str">
        <f>Fantasypro!K136</f>
        <v>TE</v>
      </c>
      <c r="G138" s="39">
        <f>Fantasypro!H136</f>
        <v>137</v>
      </c>
      <c r="H138" s="39">
        <f>Fantasypro!I136</f>
        <v>32.5</v>
      </c>
      <c r="I138" s="51" t="e">
        <f t="shared" ca="1" si="5"/>
        <v>#NAME?</v>
      </c>
    </row>
    <row r="139" spans="1:9" ht="13">
      <c r="C139" t="str">
        <f>IF(COUNTIF(Keeper!B:B,D139)&gt;0,"x","")</f>
        <v/>
      </c>
      <c r="D139" s="40" t="str">
        <f>Fantasypro!C137</f>
        <v>Hunter Henry</v>
      </c>
      <c r="E139" s="40" t="str">
        <f>Fantasypro!D137</f>
        <v>NE</v>
      </c>
      <c r="F139" t="str">
        <f>Fantasypro!K137</f>
        <v>TE</v>
      </c>
      <c r="G139" s="39">
        <f>Fantasypro!H137</f>
        <v>138</v>
      </c>
      <c r="H139" s="39">
        <f>Fantasypro!I137</f>
        <v>11.5</v>
      </c>
      <c r="I139" s="51" t="e">
        <f t="shared" ca="1" si="5"/>
        <v>#NAME?</v>
      </c>
    </row>
    <row r="140" spans="1:9" ht="13">
      <c r="C140" t="str">
        <f>IF(COUNTIF(Keeper!B:B,D140)&gt;0,"x","")</f>
        <v/>
      </c>
      <c r="D140" s="40" t="str">
        <f>Fantasypro!C138</f>
        <v>Xavier Worthy</v>
      </c>
      <c r="E140" s="40" t="str">
        <f>Fantasypro!D138</f>
        <v>KC</v>
      </c>
      <c r="F140" t="str">
        <f>Fantasypro!K138</f>
        <v>WR</v>
      </c>
      <c r="G140" s="39">
        <f>Fantasypro!H138</f>
        <v>139</v>
      </c>
      <c r="H140" s="39">
        <f>Fantasypro!I138</f>
        <v>7.6</v>
      </c>
      <c r="I140" s="51" t="e">
        <f t="shared" ca="1" si="5"/>
        <v>#NAME?</v>
      </c>
    </row>
    <row r="141" spans="1:9" ht="13">
      <c r="C141" t="str">
        <f>IF(COUNTIF(Keeper!B:B,D141)&gt;0,"x","")</f>
        <v/>
      </c>
      <c r="D141" s="40" t="str">
        <f>Fantasypro!C139</f>
        <v>Khalil Shakir</v>
      </c>
      <c r="E141" s="40" t="str">
        <f>Fantasypro!D139</f>
        <v>BUF</v>
      </c>
      <c r="F141" t="str">
        <f>Fantasypro!K139</f>
        <v>WR</v>
      </c>
      <c r="G141" s="39">
        <f>Fantasypro!H139</f>
        <v>140</v>
      </c>
      <c r="H141" s="39">
        <f>Fantasypro!I139</f>
        <v>8.4</v>
      </c>
      <c r="I141" s="51" t="e">
        <f t="shared" ca="1" si="5"/>
        <v>#NAME?</v>
      </c>
    </row>
    <row r="142" spans="1:9" ht="13">
      <c r="C142" t="str">
        <f>IF(COUNTIF(Keeper!B:B,D142)&gt;0,"x","")</f>
        <v/>
      </c>
      <c r="D142" s="40" t="str">
        <f>Fantasypro!C140</f>
        <v>C.J. Stroud</v>
      </c>
      <c r="E142" s="40" t="str">
        <f>Fantasypro!D140</f>
        <v>HOU</v>
      </c>
      <c r="F142" t="str">
        <f>Fantasypro!K140</f>
        <v>QB</v>
      </c>
      <c r="G142" s="39">
        <f>Fantasypro!H140</f>
        <v>141</v>
      </c>
      <c r="H142" s="39">
        <f>Fantasypro!I140</f>
        <v>10.9</v>
      </c>
      <c r="I142" s="51" t="e">
        <f t="shared" ca="1" si="5"/>
        <v>#NAME?</v>
      </c>
    </row>
    <row r="143" spans="1:9" ht="13">
      <c r="C143" t="str">
        <f>IF(COUNTIF(Keeper!B:B,D143)&gt;0,"x","")</f>
        <v/>
      </c>
      <c r="D143" s="40" t="str">
        <f>Fantasypro!C141</f>
        <v>Josh Downs</v>
      </c>
      <c r="E143" s="40" t="str">
        <f>Fantasypro!D141</f>
        <v>IND</v>
      </c>
      <c r="F143" t="str">
        <f>Fantasypro!K141</f>
        <v>WR</v>
      </c>
      <c r="G143" s="39">
        <f>Fantasypro!H141</f>
        <v>141</v>
      </c>
      <c r="H143" s="39">
        <f>Fantasypro!I141</f>
        <v>11.8</v>
      </c>
      <c r="I143" s="51" t="e">
        <f t="shared" ca="1" si="5"/>
        <v>#NAME?</v>
      </c>
    </row>
    <row r="144" spans="1:9" ht="13">
      <c r="A144" s="26" t="s">
        <v>943</v>
      </c>
      <c r="C144" t="str">
        <f>IF(COUNTIF(Keeper!B:B,D144)&gt;0,"x","")</f>
        <v/>
      </c>
      <c r="D144" s="40" t="str">
        <f>Fantasypro!C142</f>
        <v>Emmett Johnson</v>
      </c>
      <c r="E144" s="40" t="str">
        <f>Fantasypro!D142</f>
        <v>FA</v>
      </c>
      <c r="F144" t="str">
        <f>Fantasypro!K142</f>
        <v>RB</v>
      </c>
      <c r="G144" s="39">
        <f>Fantasypro!H142</f>
        <v>143</v>
      </c>
      <c r="H144" s="39">
        <f>Fantasypro!I142</f>
        <v>42.5</v>
      </c>
      <c r="I144" s="51" t="e">
        <f t="shared" ca="1" si="5"/>
        <v>#NAME?</v>
      </c>
    </row>
    <row r="145" spans="1:9" ht="13">
      <c r="A145" s="26"/>
      <c r="C145" t="str">
        <f>IF(COUNTIF(Keeper!B:B,D145)&gt;0,"x","")</f>
        <v/>
      </c>
      <c r="D145" s="40" t="str">
        <f>Fantasypro!C143</f>
        <v>Rachaad White</v>
      </c>
      <c r="E145" s="40" t="str">
        <f>Fantasypro!D143</f>
        <v>WAS</v>
      </c>
      <c r="F145" t="str">
        <f>Fantasypro!K143</f>
        <v>RB</v>
      </c>
      <c r="G145" s="39">
        <f>Fantasypro!H143</f>
        <v>145</v>
      </c>
      <c r="H145" s="39">
        <f>Fantasypro!I143</f>
        <v>19.5</v>
      </c>
      <c r="I145" s="51" t="e">
        <f t="shared" ca="1" si="5"/>
        <v>#NAME?</v>
      </c>
    </row>
    <row r="146" spans="1:9" ht="13">
      <c r="A146" s="26" t="s">
        <v>944</v>
      </c>
      <c r="C146" t="str">
        <f>IF(COUNTIF(Keeper!B:B,D146)&gt;0,"x","")</f>
        <v/>
      </c>
      <c r="D146" s="40" t="str">
        <f>Fantasypro!C144</f>
        <v>Stefon Diggs</v>
      </c>
      <c r="E146" s="40" t="str">
        <f>Fantasypro!D144</f>
        <v>FA</v>
      </c>
      <c r="F146" t="str">
        <f>Fantasypro!K144</f>
        <v>WR</v>
      </c>
      <c r="G146" s="39">
        <f>Fantasypro!H144</f>
        <v>145</v>
      </c>
      <c r="H146" s="39">
        <f>Fantasypro!I144</f>
        <v>49</v>
      </c>
      <c r="I146" s="51" t="e">
        <f t="shared" ca="1" si="5"/>
        <v>#NAME?</v>
      </c>
    </row>
    <row r="147" spans="1:9" ht="13">
      <c r="C147" t="str">
        <f>IF(COUNTIF(Keeper!B:B,D147)&gt;0,"x","")</f>
        <v/>
      </c>
      <c r="D147" s="40" t="str">
        <f>Fantasypro!C145</f>
        <v>Alvin Kamara</v>
      </c>
      <c r="E147" s="40" t="str">
        <f>Fantasypro!D145</f>
        <v>NO</v>
      </c>
      <c r="F147" t="str">
        <f>Fantasypro!K145</f>
        <v>RB</v>
      </c>
      <c r="G147" s="39">
        <f>Fantasypro!H145</f>
        <v>146</v>
      </c>
      <c r="H147" s="39">
        <f>Fantasypro!I145</f>
        <v>21.6</v>
      </c>
      <c r="I147" s="51" t="e">
        <f t="shared" ca="1" si="5"/>
        <v>#NAME?</v>
      </c>
    </row>
    <row r="148" spans="1:9" ht="13">
      <c r="C148" t="str">
        <f>IF(COUNTIF(Keeper!B:B,D148)&gt;0,"x","")</f>
        <v/>
      </c>
      <c r="D148" s="40" t="str">
        <f>Fantasypro!C146</f>
        <v>Tank Bigsby</v>
      </c>
      <c r="E148" s="40" t="str">
        <f>Fantasypro!D146</f>
        <v>PHI</v>
      </c>
      <c r="F148" t="str">
        <f>Fantasypro!K146</f>
        <v>RB</v>
      </c>
      <c r="G148" s="39">
        <f>Fantasypro!H146</f>
        <v>148</v>
      </c>
      <c r="H148" s="39">
        <f>Fantasypro!I146</f>
        <v>11.6</v>
      </c>
      <c r="I148" s="51" t="e">
        <f t="shared" ca="1" si="5"/>
        <v>#NAME?</v>
      </c>
    </row>
    <row r="149" spans="1:9" ht="13">
      <c r="C149" t="str">
        <f>IF(COUNTIF(Keeper!B:B,D149)&gt;0,"x","")</f>
        <v/>
      </c>
      <c r="D149" s="40" t="str">
        <f>Fantasypro!C147</f>
        <v>Sam Darnold</v>
      </c>
      <c r="E149" s="40" t="str">
        <f>Fantasypro!D147</f>
        <v>SEA</v>
      </c>
      <c r="F149" t="str">
        <f>Fantasypro!K147</f>
        <v>QB</v>
      </c>
      <c r="G149" s="39">
        <f>Fantasypro!H147</f>
        <v>149</v>
      </c>
      <c r="H149" s="39">
        <f>Fantasypro!I147</f>
        <v>20.2</v>
      </c>
      <c r="I149" s="51" t="e">
        <f t="shared" ca="1" si="5"/>
        <v>#NAME?</v>
      </c>
    </row>
    <row r="150" spans="1:9" ht="13">
      <c r="C150" t="str">
        <f>IF(COUNTIF(Keeper!B:B,D150)&gt;0,"x","")</f>
        <v/>
      </c>
      <c r="D150" s="40" t="str">
        <f>Fantasypro!C148</f>
        <v>Houston Texans</v>
      </c>
      <c r="E150" s="40" t="str">
        <f>Fantasypro!D148</f>
        <v>HOU</v>
      </c>
      <c r="F150" t="str">
        <f>Fantasypro!K148</f>
        <v>DS</v>
      </c>
      <c r="G150" s="39">
        <f>Fantasypro!H148</f>
        <v>150</v>
      </c>
      <c r="H150" s="39">
        <f>Fantasypro!I148</f>
        <v>0</v>
      </c>
      <c r="I150" s="51" t="e">
        <f t="shared" ca="1" si="5"/>
        <v>#NAME?</v>
      </c>
    </row>
    <row r="151" spans="1:9" ht="13">
      <c r="A151" s="26" t="s">
        <v>391</v>
      </c>
      <c r="C151" t="str">
        <f>IF(COUNTIF(Keeper!B:B,D151)&gt;0,"x","")</f>
        <v/>
      </c>
      <c r="D151" s="40" t="str">
        <f>Fantasypro!C149</f>
        <v>Jonathon Brooks</v>
      </c>
      <c r="E151" s="40" t="str">
        <f>Fantasypro!D149</f>
        <v>CAR</v>
      </c>
      <c r="F151" t="str">
        <f>Fantasypro!K149</f>
        <v>RB</v>
      </c>
      <c r="G151" s="39">
        <f>Fantasypro!H149</f>
        <v>150</v>
      </c>
      <c r="H151" s="39">
        <f>Fantasypro!I149</f>
        <v>26.3</v>
      </c>
      <c r="I151" s="51" t="e">
        <f t="shared" ca="1" si="5"/>
        <v>#NAME?</v>
      </c>
    </row>
    <row r="152" spans="1:9" ht="13">
      <c r="C152" t="str">
        <f>IF(COUNTIF(Keeper!B:B,D152)&gt;0,"x","")</f>
        <v/>
      </c>
      <c r="D152" s="40" t="str">
        <f>Fantasypro!C150</f>
        <v>Isiah Pacheco</v>
      </c>
      <c r="E152" s="40" t="str">
        <f>Fantasypro!D150</f>
        <v>DET</v>
      </c>
      <c r="F152" t="str">
        <f>Fantasypro!K150</f>
        <v>RB</v>
      </c>
      <c r="G152" s="39">
        <f>Fantasypro!H150</f>
        <v>151</v>
      </c>
      <c r="H152" s="39">
        <f>Fantasypro!I150</f>
        <v>9.6</v>
      </c>
      <c r="I152" s="51">
        <v>3</v>
      </c>
    </row>
    <row r="153" spans="1:9" ht="13">
      <c r="C153" t="str">
        <f>IF(COUNTIF(Keeper!B:B,D153)&gt;0,"x","")</f>
        <v/>
      </c>
      <c r="D153" s="40" t="str">
        <f>Fantasypro!C151</f>
        <v>Dylan Sampson</v>
      </c>
      <c r="E153" s="40" t="str">
        <f>Fantasypro!D151</f>
        <v>CLE</v>
      </c>
      <c r="F153" t="str">
        <f>Fantasypro!K151</f>
        <v>RB</v>
      </c>
      <c r="G153" s="39">
        <f>Fantasypro!H151</f>
        <v>151</v>
      </c>
      <c r="H153" s="39">
        <f>Fantasypro!I151</f>
        <v>10.9</v>
      </c>
      <c r="I153" s="51" t="e">
        <f t="shared" ref="I153:I235" ca="1" si="6">_xludf.IFS(
  F154 = "RB", _xludf.IFS(
    AND(H154 &gt;= 0, H154 &lt; 2.55), 1,
    AND(H154 &gt;= 2.55, H154 &lt; 4.7), 2,
    AND(H154 &gt;= 4.7, H154 &lt; 8.4), 3,
    AND(H154 &gt;= 8.4, H154 &lt;= 36), 4
  ),
  F154 = "WR", _xludf.IFS(
    AND(H154 &gt;= 0, H154 &lt; 2.55), 1,
    AND(H154 &gt;= 2.55, H154 &lt; 4.2), 2,
    AND(H154 &gt;= 4.2, H154 &lt; 8.55), 3,
    AND(H154 &gt;= 8.55, H154 &lt;= 24.4), 4
  ),
  F154 = "QB", _xludf.IFS(
    AND(H154 &gt;= 0, H154 &lt; 2.95), 1,
    AND(H154 &gt;= 2.95, H154 &lt; 5.4), 2,
    AND(H154 &gt;= 5.4, H154 &lt; 7.2), 3,
    AND(H154 &gt;= 7.2, H154 &lt;= 12.3), 4
  ),
  F154 = "TE", _xludf.IFS(
    AND(H154 &gt;= 0, H154 &lt; 3), 1,
    AND(H154 &gt;= 3, H154 &lt; 4.8), 2,
    AND(H154 &gt;= 4.8, H154 &lt; 8.525), 3,
    AND(H154 &gt;= 8.525, H154 &lt;= 24.6), 4
  )
)</f>
        <v>#NAME?</v>
      </c>
    </row>
    <row r="154" spans="1:9" ht="13">
      <c r="C154" t="str">
        <f>IF(COUNTIF(Keeper!B:B,D154)&gt;0,"x","")</f>
        <v/>
      </c>
      <c r="D154" s="40" t="str">
        <f>Fantasypro!C152</f>
        <v>Tyreek Hill</v>
      </c>
      <c r="E154" s="40" t="str">
        <f>Fantasypro!D152</f>
        <v>FA</v>
      </c>
      <c r="F154" t="str">
        <f>Fantasypro!K152</f>
        <v>WR</v>
      </c>
      <c r="G154" s="39">
        <f>Fantasypro!H152</f>
        <v>151</v>
      </c>
      <c r="H154" s="39">
        <f>Fantasypro!I152</f>
        <v>24</v>
      </c>
      <c r="I154" s="51" t="e">
        <f t="shared" ca="1" si="6"/>
        <v>#NAME?</v>
      </c>
    </row>
    <row r="155" spans="1:9" ht="13">
      <c r="C155" t="str">
        <f>IF(COUNTIF(Keeper!B:B,D155)&gt;0,"x","")</f>
        <v/>
      </c>
      <c r="D155" s="40" t="str">
        <f>Fantasypro!C153</f>
        <v>Chris Rodriguez Jr.</v>
      </c>
      <c r="E155" s="40" t="str">
        <f>Fantasypro!D153</f>
        <v>JAC</v>
      </c>
      <c r="F155" t="str">
        <f>Fantasypro!K153</f>
        <v>RB</v>
      </c>
      <c r="G155" s="39">
        <f>Fantasypro!H153</f>
        <v>153</v>
      </c>
      <c r="H155" s="39">
        <f>Fantasypro!I153</f>
        <v>31.9</v>
      </c>
      <c r="I155" s="51" t="e">
        <f t="shared" ca="1" si="6"/>
        <v>#NAME?</v>
      </c>
    </row>
    <row r="156" spans="1:9" ht="13">
      <c r="C156" t="str">
        <f>IF(COUNTIF(Keeper!B:B,D156)&gt;0,"x","")</f>
        <v/>
      </c>
      <c r="D156" s="40" t="str">
        <f>Fantasypro!C154</f>
        <v>Jalen Coker</v>
      </c>
      <c r="E156" s="40" t="str">
        <f>Fantasypro!D154</f>
        <v>CAR</v>
      </c>
      <c r="F156" t="str">
        <f>Fantasypro!K154</f>
        <v>WR</v>
      </c>
      <c r="G156" s="39">
        <f>Fantasypro!H154</f>
        <v>153</v>
      </c>
      <c r="H156" s="39">
        <f>Fantasypro!I154</f>
        <v>12.1</v>
      </c>
      <c r="I156" s="51" t="e">
        <f t="shared" ca="1" si="6"/>
        <v>#NAME?</v>
      </c>
    </row>
    <row r="157" spans="1:9" ht="13">
      <c r="C157" t="str">
        <f>IF(COUNTIF(Keeper!B:B,D157)&gt;0,"x","")</f>
        <v/>
      </c>
      <c r="D157" s="40" t="str">
        <f>Fantasypro!C155</f>
        <v>Deebo Samuel Sr.</v>
      </c>
      <c r="E157" s="40" t="str">
        <f>Fantasypro!D155</f>
        <v>FA</v>
      </c>
      <c r="F157" t="str">
        <f>Fantasypro!K155</f>
        <v>WR</v>
      </c>
      <c r="G157" s="39">
        <f>Fantasypro!H155</f>
        <v>154</v>
      </c>
      <c r="H157" s="39">
        <f>Fantasypro!I155</f>
        <v>20.3</v>
      </c>
      <c r="I157" s="51" t="e">
        <f t="shared" ca="1" si="6"/>
        <v>#NAME?</v>
      </c>
    </row>
    <row r="158" spans="1:9" ht="13">
      <c r="C158" t="str">
        <f>IF(COUNTIF(Keeper!B:B,D158)&gt;0,"x","")</f>
        <v/>
      </c>
      <c r="D158" s="40" t="str">
        <f>Fantasypro!C156</f>
        <v>Omar Cooper Jr.</v>
      </c>
      <c r="E158" s="40" t="str">
        <f>Fantasypro!D156</f>
        <v>FA</v>
      </c>
      <c r="F158" t="str">
        <f>Fantasypro!K156</f>
        <v>WR</v>
      </c>
      <c r="G158" s="39">
        <f>Fantasypro!H156</f>
        <v>156</v>
      </c>
      <c r="H158" s="39">
        <f>Fantasypro!I156</f>
        <v>55.1</v>
      </c>
      <c r="I158" s="51" t="e">
        <f t="shared" ca="1" si="6"/>
        <v>#NAME?</v>
      </c>
    </row>
    <row r="159" spans="1:9" ht="13">
      <c r="C159" t="str">
        <f>IF(COUNTIF(Keeper!B:B,D159)&gt;0,"x","")</f>
        <v/>
      </c>
      <c r="D159" s="40" t="str">
        <f>Fantasypro!C157</f>
        <v>Isaiah Likely</v>
      </c>
      <c r="E159" s="40" t="str">
        <f>Fantasypro!D157</f>
        <v>NYG</v>
      </c>
      <c r="F159" t="str">
        <f>Fantasypro!K157</f>
        <v>TE</v>
      </c>
      <c r="G159" s="39">
        <f>Fantasypro!H157</f>
        <v>158</v>
      </c>
      <c r="H159" s="39">
        <f>Fantasypro!I157</f>
        <v>28.4</v>
      </c>
      <c r="I159" s="51" t="e">
        <f t="shared" ca="1" si="6"/>
        <v>#NAME?</v>
      </c>
    </row>
    <row r="160" spans="1:9" ht="13">
      <c r="C160" t="str">
        <f>IF(COUNTIF(Keeper!B:B,D160)&gt;0,"x","")</f>
        <v/>
      </c>
      <c r="D160" s="40" t="str">
        <f>Fantasypro!C158</f>
        <v>Mark Andrews</v>
      </c>
      <c r="E160" s="40" t="str">
        <f>Fantasypro!D158</f>
        <v>BAL</v>
      </c>
      <c r="F160" t="str">
        <f>Fantasypro!K158</f>
        <v>TE</v>
      </c>
      <c r="G160" s="39">
        <f>Fantasypro!H158</f>
        <v>158</v>
      </c>
      <c r="H160" s="39">
        <f>Fantasypro!I158</f>
        <v>15.4</v>
      </c>
      <c r="I160" s="51" t="e">
        <f t="shared" ca="1" si="6"/>
        <v>#NAME?</v>
      </c>
    </row>
    <row r="161" spans="3:9" ht="13">
      <c r="C161" t="str">
        <f>IF(COUNTIF(Keeper!B:B,D161)&gt;0,"x","")</f>
        <v/>
      </c>
      <c r="D161" s="40" t="str">
        <f>Fantasypro!C159</f>
        <v>Kenyon Sadiq</v>
      </c>
      <c r="E161" s="40" t="str">
        <f>Fantasypro!D159</f>
        <v>FA</v>
      </c>
      <c r="F161" t="str">
        <f>Fantasypro!K159</f>
        <v>TE</v>
      </c>
      <c r="G161" s="39">
        <f>Fantasypro!H159</f>
        <v>159</v>
      </c>
      <c r="H161" s="39">
        <f>Fantasypro!I159</f>
        <v>73.599999999999994</v>
      </c>
      <c r="I161" s="51" t="e">
        <f t="shared" ca="1" si="6"/>
        <v>#NAME?</v>
      </c>
    </row>
    <row r="162" spans="3:9" ht="13">
      <c r="C162" t="str">
        <f>IF(COUNTIF(Keeper!B:B,D162)&gt;0,"x","")</f>
        <v/>
      </c>
      <c r="D162" s="40" t="str">
        <f>Fantasypro!C160</f>
        <v>Cam Ward</v>
      </c>
      <c r="E162" s="40" t="str">
        <f>Fantasypro!D160</f>
        <v>TEN</v>
      </c>
      <c r="F162" t="str">
        <f>Fantasypro!K160</f>
        <v>QB</v>
      </c>
      <c r="G162" s="39">
        <f>Fantasypro!H160</f>
        <v>159</v>
      </c>
      <c r="H162" s="39">
        <f>Fantasypro!I160</f>
        <v>11.1</v>
      </c>
      <c r="I162" s="51" t="e">
        <f t="shared" ca="1" si="6"/>
        <v>#NAME?</v>
      </c>
    </row>
    <row r="163" spans="3:9" ht="13">
      <c r="C163" t="str">
        <f>IF(COUNTIF(Keeper!B:B,D163)&gt;0,"x","")</f>
        <v/>
      </c>
      <c r="D163" s="40" t="str">
        <f>Fantasypro!C161</f>
        <v>Kayshon Boutte</v>
      </c>
      <c r="E163" s="40" t="str">
        <f>Fantasypro!D161</f>
        <v>NE</v>
      </c>
      <c r="F163" t="str">
        <f>Fantasypro!K161</f>
        <v>WR</v>
      </c>
      <c r="G163" s="39">
        <f>Fantasypro!H161</f>
        <v>160</v>
      </c>
      <c r="H163" s="39">
        <f>Fantasypro!I161</f>
        <v>13.6</v>
      </c>
      <c r="I163" s="51" t="e">
        <f t="shared" ca="1" si="6"/>
        <v>#NAME?</v>
      </c>
    </row>
    <row r="164" spans="3:9" ht="13">
      <c r="C164" t="str">
        <f>IF(COUNTIF(Keeper!B:B,D164)&gt;0,"x","")</f>
        <v/>
      </c>
      <c r="D164" s="40" t="str">
        <f>Fantasypro!C162</f>
        <v>Denver Broncos</v>
      </c>
      <c r="E164" s="40" t="str">
        <f>Fantasypro!D162</f>
        <v>DEN</v>
      </c>
      <c r="F164" t="str">
        <f>Fantasypro!K162</f>
        <v>DS</v>
      </c>
      <c r="G164" s="39">
        <f>Fantasypro!H162</f>
        <v>160</v>
      </c>
      <c r="H164" s="39">
        <f>Fantasypro!I162</f>
        <v>1.4</v>
      </c>
      <c r="I164" s="51" t="e">
        <f t="shared" ca="1" si="6"/>
        <v>#NAME?</v>
      </c>
    </row>
    <row r="165" spans="3:9" ht="13">
      <c r="C165" t="str">
        <f>IF(COUNTIF(Keeper!B:B,D165)&gt;0,"x","")</f>
        <v/>
      </c>
      <c r="D165" s="40" t="str">
        <f>Fantasypro!C163</f>
        <v>Jonah Coleman</v>
      </c>
      <c r="E165" s="40" t="str">
        <f>Fantasypro!D163</f>
        <v>FA</v>
      </c>
      <c r="F165" t="str">
        <f>Fantasypro!K163</f>
        <v>RB</v>
      </c>
      <c r="G165" s="39">
        <f>Fantasypro!H163</f>
        <v>162</v>
      </c>
      <c r="H165" s="39">
        <f>Fantasypro!I163</f>
        <v>43.4</v>
      </c>
      <c r="I165" s="51" t="e">
        <f t="shared" ca="1" si="6"/>
        <v>#NAME?</v>
      </c>
    </row>
    <row r="166" spans="3:9" ht="13">
      <c r="C166" t="str">
        <f>IF(COUNTIF(Keeper!B:B,D166)&gt;0,"x","")</f>
        <v/>
      </c>
      <c r="D166" s="40" t="str">
        <f>Fantasypro!C164</f>
        <v>Tyjae Spears</v>
      </c>
      <c r="E166" s="40" t="str">
        <f>Fantasypro!D164</f>
        <v>TEN</v>
      </c>
      <c r="F166" t="str">
        <f>Fantasypro!K164</f>
        <v>RB</v>
      </c>
      <c r="G166" s="39">
        <f>Fantasypro!H164</f>
        <v>165</v>
      </c>
      <c r="H166" s="39">
        <f>Fantasypro!I164</f>
        <v>16.5</v>
      </c>
      <c r="I166" s="51" t="e">
        <f t="shared" ca="1" si="6"/>
        <v>#NAME?</v>
      </c>
    </row>
    <row r="167" spans="3:9" ht="13">
      <c r="C167" t="str">
        <f>IF(COUNTIF(Keeper!B:B,D167)&gt;0,"x","")</f>
        <v/>
      </c>
      <c r="D167" s="40" t="str">
        <f>Fantasypro!C165</f>
        <v>Seattle Seahawks</v>
      </c>
      <c r="E167" s="40" t="str">
        <f>Fantasypro!D165</f>
        <v>SEA</v>
      </c>
      <c r="F167" t="str">
        <f>Fantasypro!K165</f>
        <v>DS</v>
      </c>
      <c r="G167" s="39">
        <f>Fantasypro!H165</f>
        <v>166</v>
      </c>
      <c r="H167" s="39">
        <f>Fantasypro!I165</f>
        <v>1.4</v>
      </c>
      <c r="I167" s="51" t="e">
        <f t="shared" ca="1" si="6"/>
        <v>#NAME?</v>
      </c>
    </row>
    <row r="168" spans="3:9" ht="13">
      <c r="C168" t="str">
        <f>IF(COUNTIF(Keeper!B:B,D168)&gt;0,"x","")</f>
        <v/>
      </c>
      <c r="D168" s="40" t="str">
        <f>Fantasypro!C166</f>
        <v>Keaton Mitchell</v>
      </c>
      <c r="E168" s="40" t="str">
        <f>Fantasypro!D166</f>
        <v>LAC</v>
      </c>
      <c r="F168" t="str">
        <f>Fantasypro!K166</f>
        <v>RB</v>
      </c>
      <c r="G168" s="39">
        <f>Fantasypro!H166</f>
        <v>167</v>
      </c>
      <c r="H168" s="39">
        <f>Fantasypro!I166</f>
        <v>22.9</v>
      </c>
      <c r="I168" s="51" t="e">
        <f t="shared" ca="1" si="6"/>
        <v>#NAME?</v>
      </c>
    </row>
    <row r="169" spans="3:9" ht="13">
      <c r="C169" t="str">
        <f>IF(COUNTIF(Keeper!B:B,D169)&gt;0,"x","")</f>
        <v/>
      </c>
      <c r="D169" s="40" t="str">
        <f>Fantasypro!C167</f>
        <v>Adonai Mitchell</v>
      </c>
      <c r="E169" s="40" t="str">
        <f>Fantasypro!D167</f>
        <v>NYJ</v>
      </c>
      <c r="F169" t="str">
        <f>Fantasypro!K167</f>
        <v>WR</v>
      </c>
      <c r="G169" s="39">
        <f>Fantasypro!H167</f>
        <v>167</v>
      </c>
      <c r="H169" s="39">
        <f>Fantasypro!I167</f>
        <v>13.2</v>
      </c>
      <c r="I169" s="51" t="e">
        <f t="shared" ca="1" si="6"/>
        <v>#NAME?</v>
      </c>
    </row>
    <row r="170" spans="3:9" ht="13">
      <c r="C170" t="str">
        <f>IF(COUNTIF(Keeper!B:B,D170)&gt;0,"x","")</f>
        <v/>
      </c>
      <c r="D170" s="40" t="str">
        <f>Fantasypro!C168</f>
        <v>Brian Robinson Jr.</v>
      </c>
      <c r="E170" s="40" t="str">
        <f>Fantasypro!D168</f>
        <v>ATL</v>
      </c>
      <c r="F170" t="str">
        <f>Fantasypro!K168</f>
        <v>RB</v>
      </c>
      <c r="G170" s="39">
        <f>Fantasypro!H168</f>
        <v>169</v>
      </c>
      <c r="H170" s="39">
        <f>Fantasypro!I168</f>
        <v>18.600000000000001</v>
      </c>
      <c r="I170" s="51" t="e">
        <f t="shared" ca="1" si="6"/>
        <v>#NAME?</v>
      </c>
    </row>
    <row r="171" spans="3:9" ht="13">
      <c r="C171" t="str">
        <f>IF(COUNTIF(Keeper!B:B,D171)&gt;0,"x","")</f>
        <v/>
      </c>
      <c r="D171" s="40" t="str">
        <f>Fantasypro!C169</f>
        <v>Philadelphia Eagles</v>
      </c>
      <c r="E171" s="40" t="str">
        <f>Fantasypro!D169</f>
        <v>PHI</v>
      </c>
      <c r="F171" t="str">
        <f>Fantasypro!K169</f>
        <v>DS</v>
      </c>
      <c r="G171" s="39">
        <f>Fantasypro!H169</f>
        <v>171</v>
      </c>
      <c r="H171" s="39">
        <f>Fantasypro!I169</f>
        <v>0.5</v>
      </c>
      <c r="I171" s="51" t="e">
        <f t="shared" ca="1" si="6"/>
        <v>#NAME?</v>
      </c>
    </row>
    <row r="172" spans="3:9" ht="13">
      <c r="C172" t="str">
        <f>IF(COUNTIF(Keeper!B:B,D172)&gt;0,"x","")</f>
        <v/>
      </c>
      <c r="D172" s="40" t="str">
        <f>Fantasypro!C170</f>
        <v>Bryce Young</v>
      </c>
      <c r="E172" s="40" t="str">
        <f>Fantasypro!D170</f>
        <v>CAR</v>
      </c>
      <c r="F172" t="str">
        <f>Fantasypro!K170</f>
        <v>QB</v>
      </c>
      <c r="G172" s="39">
        <f>Fantasypro!H170</f>
        <v>171</v>
      </c>
      <c r="H172" s="39">
        <f>Fantasypro!I170</f>
        <v>28.9</v>
      </c>
      <c r="I172" s="51" t="e">
        <f t="shared" ca="1" si="6"/>
        <v>#NAME?</v>
      </c>
    </row>
    <row r="173" spans="3:9" ht="13">
      <c r="C173" t="str">
        <f>IF(COUNTIF(Keeper!B:B,D173)&gt;0,"x","")</f>
        <v/>
      </c>
      <c r="D173" s="40" t="str">
        <f>Fantasypro!C171</f>
        <v>Los Angeles Rams</v>
      </c>
      <c r="E173" s="40" t="str">
        <f>Fantasypro!D171</f>
        <v>LAR</v>
      </c>
      <c r="F173" t="str">
        <f>Fantasypro!K171</f>
        <v>DS</v>
      </c>
      <c r="G173" s="39">
        <f>Fantasypro!H171</f>
        <v>172</v>
      </c>
      <c r="H173" s="39">
        <f>Fantasypro!I171</f>
        <v>3.9</v>
      </c>
      <c r="I173" s="51" t="e">
        <f t="shared" ca="1" si="6"/>
        <v>#NAME?</v>
      </c>
    </row>
    <row r="174" spans="3:9" ht="13">
      <c r="C174" t="str">
        <f>IF(COUNTIF(Keeper!B:B,D174)&gt;0,"x","")</f>
        <v/>
      </c>
      <c r="D174" s="40" t="str">
        <f>Fantasypro!C172</f>
        <v>Trey Benson</v>
      </c>
      <c r="E174" s="40" t="str">
        <f>Fantasypro!D172</f>
        <v>ARI</v>
      </c>
      <c r="F174" t="str">
        <f>Fantasypro!K172</f>
        <v>RB</v>
      </c>
      <c r="G174" s="39">
        <f>Fantasypro!H172</f>
        <v>172</v>
      </c>
      <c r="H174" s="39">
        <f>Fantasypro!I172</f>
        <v>33.1</v>
      </c>
      <c r="I174" s="51" t="e">
        <f t="shared" ca="1" si="6"/>
        <v>#NAME?</v>
      </c>
    </row>
    <row r="175" spans="3:9" ht="13">
      <c r="C175" t="str">
        <f>IF(COUNTIF(Keeper!B:B,D175)&gt;0,"x","")</f>
        <v/>
      </c>
      <c r="D175" s="40" t="str">
        <f>Fantasypro!C173</f>
        <v>Jerry Jeudy</v>
      </c>
      <c r="E175" s="40" t="str">
        <f>Fantasypro!D173</f>
        <v>CLE</v>
      </c>
      <c r="F175" t="str">
        <f>Fantasypro!K173</f>
        <v>WR</v>
      </c>
      <c r="G175" s="39">
        <f>Fantasypro!H173</f>
        <v>173</v>
      </c>
      <c r="H175" s="39">
        <f>Fantasypro!I173</f>
        <v>15.1</v>
      </c>
      <c r="I175" s="51" t="e">
        <f t="shared" ca="1" si="6"/>
        <v>#NAME?</v>
      </c>
    </row>
    <row r="176" spans="3:9" ht="13">
      <c r="C176" t="str">
        <f>IF(COUNTIF(Keeper!B:B,D176)&gt;0,"x","")</f>
        <v/>
      </c>
      <c r="D176" s="40" t="str">
        <f>Fantasypro!C174</f>
        <v>Dalton Schultz</v>
      </c>
      <c r="E176" s="40" t="str">
        <f>Fantasypro!D174</f>
        <v>HOU</v>
      </c>
      <c r="F176" t="str">
        <f>Fantasypro!K174</f>
        <v>TE</v>
      </c>
      <c r="G176" s="39">
        <f>Fantasypro!H174</f>
        <v>173</v>
      </c>
      <c r="H176" s="39">
        <f>Fantasypro!I174</f>
        <v>21.8</v>
      </c>
      <c r="I176" s="51" t="e">
        <f t="shared" ca="1" si="6"/>
        <v>#NAME?</v>
      </c>
    </row>
    <row r="177" spans="1:9" ht="13">
      <c r="A177" s="26" t="s">
        <v>945</v>
      </c>
      <c r="C177" t="str">
        <f>IF(COUNTIF(Keeper!B:B,D177)&gt;0,"x","")</f>
        <v/>
      </c>
      <c r="D177" s="40" t="str">
        <f>Fantasypro!C175</f>
        <v>Mike Washington Jr.</v>
      </c>
      <c r="E177" s="40" t="str">
        <f>Fantasypro!D175</f>
        <v>FA</v>
      </c>
      <c r="F177" t="str">
        <f>Fantasypro!K175</f>
        <v>RB</v>
      </c>
      <c r="G177" s="39">
        <f>Fantasypro!H175</f>
        <v>173</v>
      </c>
      <c r="H177" s="39">
        <f>Fantasypro!I175</f>
        <v>53.5</v>
      </c>
      <c r="I177" s="51" t="e">
        <f t="shared" ca="1" si="6"/>
        <v>#NAME?</v>
      </c>
    </row>
    <row r="178" spans="1:9" ht="13">
      <c r="C178" t="str">
        <f>IF(COUNTIF(Keeper!B:B,D178)&gt;0,"x","")</f>
        <v/>
      </c>
      <c r="D178" s="40" t="str">
        <f>Fantasypro!C176</f>
        <v>Rashid Shaheed</v>
      </c>
      <c r="E178" s="40" t="str">
        <f>Fantasypro!D176</f>
        <v>SEA</v>
      </c>
      <c r="F178" t="str">
        <f>Fantasypro!K176</f>
        <v>WR</v>
      </c>
      <c r="G178" s="39">
        <f>Fantasypro!H176</f>
        <v>173</v>
      </c>
      <c r="H178" s="39">
        <f>Fantasypro!I176</f>
        <v>9.1999999999999993</v>
      </c>
      <c r="I178" s="51" t="e">
        <f t="shared" ca="1" si="6"/>
        <v>#NAME?</v>
      </c>
    </row>
    <row r="179" spans="1:9" ht="13">
      <c r="C179" t="str">
        <f>IF(COUNTIF(Keeper!B:B,D179)&gt;0,"x","")</f>
        <v/>
      </c>
      <c r="D179" s="40" t="str">
        <f>Fantasypro!C177</f>
        <v>Troy Franklin</v>
      </c>
      <c r="E179" s="40" t="str">
        <f>Fantasypro!D177</f>
        <v>DEN</v>
      </c>
      <c r="F179" t="str">
        <f>Fantasypro!K177</f>
        <v>WR</v>
      </c>
      <c r="G179" s="39">
        <f>Fantasypro!H177</f>
        <v>174</v>
      </c>
      <c r="H179" s="39">
        <f>Fantasypro!I177</f>
        <v>30.4</v>
      </c>
      <c r="I179" s="51" t="e">
        <f t="shared" ca="1" si="6"/>
        <v>#NAME?</v>
      </c>
    </row>
    <row r="180" spans="1:9" ht="13">
      <c r="C180" t="str">
        <f>IF(COUNTIF(Keeper!B:B,D180)&gt;0,"x","")</f>
        <v/>
      </c>
      <c r="D180" s="40" t="str">
        <f>Fantasypro!C178</f>
        <v>Kimani Vidal</v>
      </c>
      <c r="E180" s="40" t="str">
        <f>Fantasypro!D178</f>
        <v>LAC</v>
      </c>
      <c r="F180" t="str">
        <f>Fantasypro!K178</f>
        <v>RB</v>
      </c>
      <c r="G180" s="39">
        <f>Fantasypro!H178</f>
        <v>176</v>
      </c>
      <c r="H180" s="39">
        <f>Fantasypro!I178</f>
        <v>29</v>
      </c>
      <c r="I180" s="51" t="e">
        <f t="shared" ca="1" si="6"/>
        <v>#NAME?</v>
      </c>
    </row>
    <row r="181" spans="1:9" ht="13">
      <c r="A181" s="26"/>
      <c r="C181" t="str">
        <f>IF(COUNTIF(Keeper!B:B,D181)&gt;0,"x","")</f>
        <v/>
      </c>
      <c r="D181" s="40" t="str">
        <f>Fantasypro!C179</f>
        <v>Isaac TeSlaa</v>
      </c>
      <c r="E181" s="40" t="str">
        <f>Fantasypro!D179</f>
        <v>DET</v>
      </c>
      <c r="F181" t="str">
        <f>Fantasypro!K179</f>
        <v>WR</v>
      </c>
      <c r="G181" s="39">
        <f>Fantasypro!H179</f>
        <v>177</v>
      </c>
      <c r="H181" s="39">
        <f>Fantasypro!I179</f>
        <v>7</v>
      </c>
      <c r="I181" s="51" t="e">
        <f t="shared" ca="1" si="6"/>
        <v>#NAME?</v>
      </c>
    </row>
    <row r="182" spans="1:9" ht="13">
      <c r="C182" t="str">
        <f>IF(COUNTIF(Keeper!B:B,D182)&gt;0,"x","")</f>
        <v/>
      </c>
      <c r="D182" s="40" t="str">
        <f>Fantasypro!C180</f>
        <v>Tank Dell</v>
      </c>
      <c r="E182" s="40" t="str">
        <f>Fantasypro!D180</f>
        <v>HOU</v>
      </c>
      <c r="F182" t="str">
        <f>Fantasypro!K180</f>
        <v>WR</v>
      </c>
      <c r="G182" s="39">
        <f>Fantasypro!H180</f>
        <v>181</v>
      </c>
      <c r="H182" s="39">
        <f>Fantasypro!I180</f>
        <v>29.9</v>
      </c>
      <c r="I182" s="51" t="e">
        <f t="shared" ca="1" si="6"/>
        <v>#NAME?</v>
      </c>
    </row>
    <row r="183" spans="1:9" ht="13">
      <c r="C183" t="str">
        <f>IF(COUNTIF(Keeper!B:B,D183)&gt;0,"x","")</f>
        <v/>
      </c>
      <c r="D183" s="40" t="str">
        <f>Fantasypro!C181</f>
        <v>Minnesota Vikings</v>
      </c>
      <c r="E183" s="40" t="str">
        <f>Fantasypro!D181</f>
        <v>MIN</v>
      </c>
      <c r="F183" t="str">
        <f>Fantasypro!K181</f>
        <v>DS</v>
      </c>
      <c r="G183" s="39">
        <f>Fantasypro!H181</f>
        <v>182</v>
      </c>
      <c r="H183" s="39">
        <f>Fantasypro!I181</f>
        <v>0.5</v>
      </c>
      <c r="I183" s="51" t="e">
        <f t="shared" ca="1" si="6"/>
        <v>#NAME?</v>
      </c>
    </row>
    <row r="184" spans="1:9" ht="13">
      <c r="C184" t="str">
        <f>IF(COUNTIF(Keeper!B:B,D184)&gt;0,"x","")</f>
        <v/>
      </c>
      <c r="D184" s="40" t="str">
        <f>Fantasypro!C182</f>
        <v>Travis Hunter</v>
      </c>
      <c r="E184" s="40" t="str">
        <f>Fantasypro!D182</f>
        <v>JAC</v>
      </c>
      <c r="F184" t="str">
        <f>Fantasypro!K182</f>
        <v>WR</v>
      </c>
      <c r="G184" s="39">
        <f>Fantasypro!H182</f>
        <v>183</v>
      </c>
      <c r="H184" s="39">
        <f>Fantasypro!I182</f>
        <v>37</v>
      </c>
      <c r="I184" s="51" t="e">
        <f t="shared" ca="1" si="6"/>
        <v>#NAME?</v>
      </c>
    </row>
    <row r="185" spans="1:9" ht="13">
      <c r="C185" t="str">
        <f>IF(COUNTIF(Keeper!B:B,D185)&gt;0,"x","")</f>
        <v/>
      </c>
      <c r="D185" s="40" t="str">
        <f>Fantasypro!C183</f>
        <v>Matthew Golden</v>
      </c>
      <c r="E185" s="40" t="str">
        <f>Fantasypro!D183</f>
        <v>GB</v>
      </c>
      <c r="F185" t="str">
        <f>Fantasypro!K183</f>
        <v>WR</v>
      </c>
      <c r="G185" s="39">
        <f>Fantasypro!H183</f>
        <v>183</v>
      </c>
      <c r="H185" s="39">
        <f>Fantasypro!I183</f>
        <v>27.6</v>
      </c>
      <c r="I185" s="51" t="e">
        <f t="shared" ca="1" si="6"/>
        <v>#NAME?</v>
      </c>
    </row>
    <row r="186" spans="1:9" ht="13">
      <c r="C186" t="str">
        <f>IF(COUNTIF(Keeper!B:B,D186)&gt;0,"x","")</f>
        <v/>
      </c>
      <c r="D186" s="40" t="str">
        <f>Fantasypro!C184</f>
        <v>New England Patriots</v>
      </c>
      <c r="E186" s="40" t="str">
        <f>Fantasypro!D184</f>
        <v>NE</v>
      </c>
      <c r="F186" t="str">
        <f>Fantasypro!K184</f>
        <v>DS</v>
      </c>
      <c r="G186" s="39">
        <f>Fantasypro!H184</f>
        <v>184</v>
      </c>
      <c r="H186" s="39">
        <f>Fantasypro!I184</f>
        <v>0.2</v>
      </c>
      <c r="I186" s="51" t="e">
        <f t="shared" ca="1" si="6"/>
        <v>#NAME?</v>
      </c>
    </row>
    <row r="187" spans="1:9" ht="13">
      <c r="C187" t="str">
        <f>IF(COUNTIF(Keeper!B:B,D187)&gt;0,"x","")</f>
        <v/>
      </c>
      <c r="D187" s="40" t="str">
        <f>Fantasypro!C185</f>
        <v>Jacksonville Jaguars</v>
      </c>
      <c r="E187" s="40" t="str">
        <f>Fantasypro!D185</f>
        <v>JAC</v>
      </c>
      <c r="F187" t="str">
        <f>Fantasypro!K185</f>
        <v>DS</v>
      </c>
      <c r="G187" s="39">
        <f>Fantasypro!H185</f>
        <v>185</v>
      </c>
      <c r="H187" s="39">
        <f>Fantasypro!I185</f>
        <v>0.5</v>
      </c>
      <c r="I187" s="51" t="e">
        <f t="shared" ca="1" si="6"/>
        <v>#NAME?</v>
      </c>
    </row>
    <row r="188" spans="1:9" ht="13">
      <c r="C188" t="str">
        <f>IF(COUNTIF(Keeper!B:B,D188)&gt;0,"x","")</f>
        <v/>
      </c>
      <c r="D188" s="40" t="str">
        <f>Fantasypro!C186</f>
        <v>Brandon Aubrey</v>
      </c>
      <c r="E188" s="40" t="str">
        <f>Fantasypro!D186</f>
        <v>DAL</v>
      </c>
      <c r="F188" t="str">
        <f>Fantasypro!K186</f>
        <v>K1</v>
      </c>
      <c r="G188" s="39">
        <f>Fantasypro!H186</f>
        <v>186</v>
      </c>
      <c r="H188" s="39">
        <f>Fantasypro!I186</f>
        <v>0</v>
      </c>
      <c r="I188" s="51" t="e">
        <f t="shared" ca="1" si="6"/>
        <v>#NAME?</v>
      </c>
    </row>
    <row r="189" spans="1:9" ht="13">
      <c r="C189" t="str">
        <f>IF(COUNTIF(Keeper!B:B,D189)&gt;0,"x","")</f>
        <v/>
      </c>
      <c r="D189" s="40" t="str">
        <f>Fantasypro!C187</f>
        <v>Chimere Dike</v>
      </c>
      <c r="E189" s="40" t="str">
        <f>Fantasypro!D187</f>
        <v>TEN</v>
      </c>
      <c r="F189" t="str">
        <f>Fantasypro!K187</f>
        <v>WR</v>
      </c>
      <c r="G189" s="39">
        <f>Fantasypro!H187</f>
        <v>187</v>
      </c>
      <c r="H189" s="39">
        <f>Fantasypro!I187</f>
        <v>18</v>
      </c>
      <c r="I189" s="51" t="e">
        <f t="shared" ca="1" si="6"/>
        <v>#NAME?</v>
      </c>
    </row>
    <row r="190" spans="1:9" ht="13">
      <c r="C190" t="str">
        <f>IF(COUNTIF(Keeper!B:B,D190)&gt;0,"x","")</f>
        <v/>
      </c>
      <c r="D190" s="40" t="str">
        <f>Fantasypro!C188</f>
        <v>Los Angeles Chargers</v>
      </c>
      <c r="E190" s="40" t="str">
        <f>Fantasypro!D188</f>
        <v>LAC</v>
      </c>
      <c r="F190" t="str">
        <f>Fantasypro!K188</f>
        <v>DS</v>
      </c>
      <c r="G190" s="39">
        <f>Fantasypro!H188</f>
        <v>188</v>
      </c>
      <c r="H190" s="39">
        <f>Fantasypro!I188</f>
        <v>0.9</v>
      </c>
      <c r="I190" s="51" t="e">
        <f t="shared" ca="1" si="6"/>
        <v>#NAME?</v>
      </c>
    </row>
    <row r="191" spans="1:9" ht="13">
      <c r="C191" t="str">
        <f>IF(COUNTIF(Keeper!B:B,D191)&gt;0,"x","")</f>
        <v/>
      </c>
      <c r="D191" s="40" t="str">
        <f>Fantasypro!C189</f>
        <v>Sean Tucker</v>
      </c>
      <c r="E191" s="40" t="str">
        <f>Fantasypro!D189</f>
        <v>TB</v>
      </c>
      <c r="F191" t="str">
        <f>Fantasypro!K189</f>
        <v>RB</v>
      </c>
      <c r="G191" s="39">
        <f>Fantasypro!H189</f>
        <v>189</v>
      </c>
      <c r="H191" s="39">
        <f>Fantasypro!I189</f>
        <v>25.4</v>
      </c>
      <c r="I191" s="51" t="e">
        <f t="shared" ca="1" si="6"/>
        <v>#NAME?</v>
      </c>
    </row>
    <row r="192" spans="1:9" ht="13">
      <c r="C192" t="str">
        <f>IF(COUNTIF(Keeper!B:B,D192)&gt;0,"x","")</f>
        <v/>
      </c>
      <c r="D192" s="40" t="str">
        <f>Fantasypro!C190</f>
        <v>Green Bay Packers</v>
      </c>
      <c r="E192" s="40" t="str">
        <f>Fantasypro!D190</f>
        <v>GB</v>
      </c>
      <c r="F192" t="str">
        <f>Fantasypro!K190</f>
        <v>DS</v>
      </c>
      <c r="G192" s="39">
        <f>Fantasypro!H190</f>
        <v>189</v>
      </c>
      <c r="H192" s="39">
        <f>Fantasypro!I190</f>
        <v>0.4</v>
      </c>
      <c r="I192" s="51" t="e">
        <f t="shared" ca="1" si="6"/>
        <v>#NAME?</v>
      </c>
    </row>
    <row r="193" spans="3:9" ht="13">
      <c r="C193" t="str">
        <f>IF(COUNTIF(Keeper!B:B,D193)&gt;0,"x","")</f>
        <v/>
      </c>
      <c r="D193" s="40" t="str">
        <f>Fantasypro!C191</f>
        <v>K.C. Concepcion</v>
      </c>
      <c r="E193" s="40" t="str">
        <f>Fantasypro!D191</f>
        <v>FA</v>
      </c>
      <c r="F193" t="str">
        <f>Fantasypro!K191</f>
        <v>WR</v>
      </c>
      <c r="G193" s="39">
        <f>Fantasypro!H191</f>
        <v>126</v>
      </c>
      <c r="H193" s="39">
        <f>Fantasypro!I191</f>
        <v>26.4</v>
      </c>
      <c r="I193" s="51" t="e">
        <f t="shared" ca="1" si="6"/>
        <v>#NAME?</v>
      </c>
    </row>
    <row r="194" spans="3:9" ht="13">
      <c r="C194" t="str">
        <f>IF(COUNTIF(Keeper!B:B,D194)&gt;0,"x","")</f>
        <v/>
      </c>
      <c r="D194" s="40" t="str">
        <f>Fantasypro!C192</f>
        <v>Pittsburgh Steelers</v>
      </c>
      <c r="E194" s="40" t="str">
        <f>Fantasypro!D192</f>
        <v>PIT</v>
      </c>
      <c r="F194" t="str">
        <f>Fantasypro!K192</f>
        <v>DS</v>
      </c>
      <c r="G194" s="39">
        <f>Fantasypro!H192</f>
        <v>190</v>
      </c>
      <c r="H194" s="39">
        <f>Fantasypro!I192</f>
        <v>1.7</v>
      </c>
      <c r="I194" s="51" t="e">
        <f t="shared" ca="1" si="6"/>
        <v>#NAME?</v>
      </c>
    </row>
    <row r="195" spans="3:9" ht="13">
      <c r="C195" t="str">
        <f>IF(COUNTIF(Keeper!B:B,D195)&gt;0,"x","")</f>
        <v/>
      </c>
      <c r="D195" s="40" t="str">
        <f>Fantasypro!C193</f>
        <v>Ka'imi Fairbairn</v>
      </c>
      <c r="E195" s="40" t="str">
        <f>Fantasypro!D193</f>
        <v>HOU</v>
      </c>
      <c r="F195" t="str">
        <f>Fantasypro!K193</f>
        <v>K2</v>
      </c>
      <c r="G195" s="39">
        <f>Fantasypro!H193</f>
        <v>191</v>
      </c>
      <c r="H195" s="39">
        <f>Fantasypro!I193</f>
        <v>0</v>
      </c>
      <c r="I195" s="51" t="e">
        <f t="shared" ca="1" si="6"/>
        <v>#NAME?</v>
      </c>
    </row>
    <row r="196" spans="3:9" ht="13">
      <c r="C196" t="str">
        <f>IF(COUNTIF(Keeper!B:B,D196)&gt;0,"x","")</f>
        <v/>
      </c>
      <c r="D196" s="40" t="str">
        <f>Fantasypro!C194</f>
        <v>Emanuel Wilson</v>
      </c>
      <c r="E196" s="40" t="str">
        <f>Fantasypro!D194</f>
        <v>SEA</v>
      </c>
      <c r="F196" t="str">
        <f>Fantasypro!K194</f>
        <v>RB</v>
      </c>
      <c r="G196" s="39">
        <f>Fantasypro!H194</f>
        <v>180</v>
      </c>
      <c r="H196" s="39">
        <f>Fantasypro!I194</f>
        <v>23.6</v>
      </c>
      <c r="I196" s="51" t="e">
        <f t="shared" ca="1" si="6"/>
        <v>#NAME?</v>
      </c>
    </row>
    <row r="197" spans="3:9" ht="13">
      <c r="C197" t="str">
        <f>IF(COUNTIF(Keeper!B:B,D197)&gt;0,"x","")</f>
        <v/>
      </c>
      <c r="D197" s="40" t="str">
        <f>Fantasypro!C195</f>
        <v>Cam Little</v>
      </c>
      <c r="E197" s="40" t="str">
        <f>Fantasypro!D195</f>
        <v>JAC</v>
      </c>
      <c r="F197" t="str">
        <f>Fantasypro!K195</f>
        <v>K3</v>
      </c>
      <c r="G197" s="39">
        <f>Fantasypro!H195</f>
        <v>193</v>
      </c>
      <c r="H197" s="39">
        <f>Fantasypro!I195</f>
        <v>2.2000000000000002</v>
      </c>
      <c r="I197" s="51" t="e">
        <f t="shared" ca="1" si="6"/>
        <v>#NAME?</v>
      </c>
    </row>
    <row r="198" spans="3:9" ht="13">
      <c r="C198" t="str">
        <f>IF(COUNTIF(Keeper!B:B,D198)&gt;0,"x","")</f>
        <v/>
      </c>
      <c r="D198" s="40" t="str">
        <f>Fantasypro!C196</f>
        <v>Jaylen Wright</v>
      </c>
      <c r="E198" s="40" t="str">
        <f>Fantasypro!D196</f>
        <v>MIA</v>
      </c>
      <c r="F198" t="str">
        <f>Fantasypro!K196</f>
        <v>RB</v>
      </c>
      <c r="G198" s="39">
        <f>Fantasypro!H196</f>
        <v>193</v>
      </c>
      <c r="H198" s="39">
        <f>Fantasypro!I196</f>
        <v>28.3</v>
      </c>
      <c r="I198" s="51" t="e">
        <f t="shared" ca="1" si="6"/>
        <v>#NAME?</v>
      </c>
    </row>
    <row r="199" spans="3:9" ht="13">
      <c r="C199" t="str">
        <f>IF(COUNTIF(Keeper!B:B,D199)&gt;0,"x","")</f>
        <v/>
      </c>
      <c r="D199" s="40" t="str">
        <f>Fantasypro!C197</f>
        <v>Elic Ayomanor</v>
      </c>
      <c r="E199" s="40" t="str">
        <f>Fantasypro!D197</f>
        <v>TEN</v>
      </c>
      <c r="F199" t="str">
        <f>Fantasypro!K197</f>
        <v>WR</v>
      </c>
      <c r="G199" s="39">
        <f>Fantasypro!H197</f>
        <v>196</v>
      </c>
      <c r="H199" s="39">
        <f>Fantasypro!I197</f>
        <v>21.8</v>
      </c>
      <c r="I199" s="51" t="e">
        <f t="shared" ca="1" si="6"/>
        <v>#NAME?</v>
      </c>
    </row>
    <row r="200" spans="3:9" ht="13">
      <c r="C200" t="str">
        <f>IF(COUNTIF(Keeper!B:B,D200)&gt;0,"x","")</f>
        <v/>
      </c>
      <c r="D200" s="40" t="str">
        <f>Fantasypro!C198</f>
        <v>Cameron Dicker</v>
      </c>
      <c r="E200" s="40" t="str">
        <f>Fantasypro!D198</f>
        <v>LAC</v>
      </c>
      <c r="F200" t="str">
        <f>Fantasypro!K198</f>
        <v>K4</v>
      </c>
      <c r="G200" s="39">
        <f>Fantasypro!H198</f>
        <v>196</v>
      </c>
      <c r="H200" s="39">
        <f>Fantasypro!I198</f>
        <v>2.2000000000000002</v>
      </c>
      <c r="I200" s="51" t="e">
        <f t="shared" ca="1" si="6"/>
        <v>#NAME?</v>
      </c>
    </row>
    <row r="201" spans="3:9" ht="13">
      <c r="C201" t="str">
        <f>IF(COUNTIF(Keeper!B:B,D201)&gt;0,"x","")</f>
        <v/>
      </c>
      <c r="D201" s="40" t="str">
        <f>Fantasypro!C199</f>
        <v>Terrance Ferguson</v>
      </c>
      <c r="E201" s="40" t="str">
        <f>Fantasypro!D199</f>
        <v>LAR</v>
      </c>
      <c r="F201" t="str">
        <f>Fantasypro!K199</f>
        <v>TE</v>
      </c>
      <c r="G201" s="39">
        <f>Fantasypro!H199</f>
        <v>196</v>
      </c>
      <c r="H201" s="39">
        <f>Fantasypro!I199</f>
        <v>20.6</v>
      </c>
      <c r="I201" s="51" t="e">
        <f t="shared" ca="1" si="6"/>
        <v>#NAME?</v>
      </c>
    </row>
    <row r="202" spans="3:9" ht="13">
      <c r="C202" t="str">
        <f>IF(COUNTIF(Keeper!B:B,D202)&gt;0,"x","")</f>
        <v/>
      </c>
      <c r="D202" s="40" t="str">
        <f>Fantasypro!C200</f>
        <v>Cleveland Browns</v>
      </c>
      <c r="E202" s="40" t="str">
        <f>Fantasypro!D200</f>
        <v>CLE</v>
      </c>
      <c r="F202" t="str">
        <f>Fantasypro!K200</f>
        <v>DS</v>
      </c>
      <c r="G202" s="39">
        <f>Fantasypro!H200</f>
        <v>197</v>
      </c>
      <c r="H202" s="39">
        <f>Fantasypro!I200</f>
        <v>5.7</v>
      </c>
      <c r="I202" s="51" t="e">
        <f t="shared" ca="1" si="6"/>
        <v>#NAME?</v>
      </c>
    </row>
    <row r="203" spans="3:9" ht="13">
      <c r="C203" t="str">
        <f>IF(COUNTIF(Keeper!B:B,D203)&gt;0,"x","")</f>
        <v/>
      </c>
      <c r="D203" s="40" t="str">
        <f>Fantasypro!C201</f>
        <v>Jaylin Noel</v>
      </c>
      <c r="E203" s="40" t="str">
        <f>Fantasypro!D201</f>
        <v>HOU</v>
      </c>
      <c r="F203" t="str">
        <f>Fantasypro!K201</f>
        <v>WR</v>
      </c>
      <c r="G203" s="39">
        <f>Fantasypro!H201</f>
        <v>197</v>
      </c>
      <c r="H203" s="39">
        <f>Fantasypro!I201</f>
        <v>13.8</v>
      </c>
      <c r="I203" s="51" t="e">
        <f t="shared" ca="1" si="6"/>
        <v>#NAME?</v>
      </c>
    </row>
    <row r="204" spans="3:9" ht="13">
      <c r="C204" t="str">
        <f>IF(COUNTIF(Keeper!B:B,D204)&gt;0,"x","")</f>
        <v/>
      </c>
      <c r="D204" s="40" t="str">
        <f>Fantasypro!C202</f>
        <v>AJ Barner</v>
      </c>
      <c r="E204" s="40" t="str">
        <f>Fantasypro!D202</f>
        <v>SEA</v>
      </c>
      <c r="F204" t="str">
        <f>Fantasypro!K202</f>
        <v>TE</v>
      </c>
      <c r="G204" s="39">
        <f>Fantasypro!H202</f>
        <v>197</v>
      </c>
      <c r="H204" s="39">
        <f>Fantasypro!I202</f>
        <v>22.2</v>
      </c>
      <c r="I204" s="51" t="e">
        <f t="shared" ca="1" si="6"/>
        <v>#NAME?</v>
      </c>
    </row>
    <row r="205" spans="3:9" ht="13">
      <c r="C205" t="str">
        <f>IF(COUNTIF(Keeper!B:B,D205)&gt;0,"x","")</f>
        <v/>
      </c>
      <c r="D205" s="40" t="str">
        <f>Fantasypro!C203</f>
        <v>Kyle Williams</v>
      </c>
      <c r="E205" s="40" t="str">
        <f>Fantasypro!D203</f>
        <v>NE</v>
      </c>
      <c r="F205" t="str">
        <f>Fantasypro!K203</f>
        <v>WR</v>
      </c>
      <c r="G205" s="39">
        <f>Fantasypro!H203</f>
        <v>199</v>
      </c>
      <c r="H205" s="39">
        <f>Fantasypro!I203</f>
        <v>22.1</v>
      </c>
      <c r="I205" s="51" t="e">
        <f t="shared" ca="1" si="6"/>
        <v>#NAME?</v>
      </c>
    </row>
    <row r="206" spans="3:9" ht="13">
      <c r="C206" t="str">
        <f>IF(COUNTIF(Keeper!B:B,D206)&gt;0,"x","")</f>
        <v/>
      </c>
      <c r="D206" s="40" t="str">
        <f>Fantasypro!C204</f>
        <v>Daniel Jones</v>
      </c>
      <c r="E206" s="40" t="str">
        <f>Fantasypro!D204</f>
        <v>IND</v>
      </c>
      <c r="F206" t="str">
        <f>Fantasypro!K204</f>
        <v>QB</v>
      </c>
      <c r="G206" s="39">
        <f>Fantasypro!H204</f>
        <v>202</v>
      </c>
      <c r="H206" s="39">
        <f>Fantasypro!I204</f>
        <v>40.4</v>
      </c>
      <c r="I206" s="51" t="e">
        <f t="shared" ca="1" si="6"/>
        <v>#NAME?</v>
      </c>
    </row>
    <row r="207" spans="3:9" ht="13">
      <c r="C207" t="str">
        <f>IF(COUNTIF(Keeper!B:B,D207)&gt;0,"x","")</f>
        <v/>
      </c>
      <c r="D207" s="40" t="str">
        <f>Fantasypro!C205</f>
        <v>Jalen McMillan</v>
      </c>
      <c r="E207" s="40" t="str">
        <f>Fantasypro!D205</f>
        <v>TB</v>
      </c>
      <c r="F207" t="str">
        <f>Fantasypro!K205</f>
        <v>WR</v>
      </c>
      <c r="G207" s="39">
        <f>Fantasypro!H205</f>
        <v>203</v>
      </c>
      <c r="H207" s="39">
        <f>Fantasypro!I205</f>
        <v>22</v>
      </c>
      <c r="I207" s="51" t="e">
        <f t="shared" ca="1" si="6"/>
        <v>#NAME?</v>
      </c>
    </row>
    <row r="208" spans="3:9" ht="13">
      <c r="C208" t="str">
        <f>IF(COUNTIF(Keeper!B:B,D208)&gt;0,"x","")</f>
        <v/>
      </c>
      <c r="D208" s="40" t="str">
        <f>Fantasypro!C206</f>
        <v>Jason Myers</v>
      </c>
      <c r="E208" s="40" t="str">
        <f>Fantasypro!D206</f>
        <v>SEA</v>
      </c>
      <c r="F208" t="str">
        <f>Fantasypro!K206</f>
        <v>K5</v>
      </c>
      <c r="G208" s="39">
        <f>Fantasypro!H206</f>
        <v>203</v>
      </c>
      <c r="H208" s="39">
        <f>Fantasypro!I206</f>
        <v>4.5</v>
      </c>
      <c r="I208" s="51" t="e">
        <f t="shared" ca="1" si="6"/>
        <v>#NAME?</v>
      </c>
    </row>
    <row r="209" spans="3:9" ht="13">
      <c r="C209" t="str">
        <f>IF(COUNTIF(Keeper!B:B,D209)&gt;0,"x","")</f>
        <v/>
      </c>
      <c r="D209" s="40" t="str">
        <f>Fantasypro!C207</f>
        <v>Tyler Loop</v>
      </c>
      <c r="E209" s="40" t="str">
        <f>Fantasypro!D207</f>
        <v>BAL</v>
      </c>
      <c r="F209" t="str">
        <f>Fantasypro!K207</f>
        <v>K6</v>
      </c>
      <c r="G209" s="39">
        <f>Fantasypro!H207</f>
        <v>208</v>
      </c>
      <c r="H209" s="39">
        <f>Fantasypro!I207</f>
        <v>4.8</v>
      </c>
      <c r="I209" s="51" t="e">
        <f t="shared" ca="1" si="6"/>
        <v>#NAME?</v>
      </c>
    </row>
    <row r="210" spans="3:9" ht="13">
      <c r="C210" t="str">
        <f>IF(COUNTIF(Keeper!B:B,D210)&gt;0,"x","")</f>
        <v/>
      </c>
      <c r="D210" s="40" t="str">
        <f>Fantasypro!C208</f>
        <v>Kaleb Johnson</v>
      </c>
      <c r="E210" s="40" t="str">
        <f>Fantasypro!D208</f>
        <v>PIT</v>
      </c>
      <c r="F210" t="str">
        <f>Fantasypro!K208</f>
        <v>RB</v>
      </c>
      <c r="G210" s="39">
        <f>Fantasypro!H208</f>
        <v>210</v>
      </c>
      <c r="H210" s="39">
        <f>Fantasypro!I208</f>
        <v>55.5</v>
      </c>
      <c r="I210" s="51" t="e">
        <f t="shared" ca="1" si="6"/>
        <v>#NAME?</v>
      </c>
    </row>
    <row r="211" spans="3:9" ht="13">
      <c r="C211" t="str">
        <f>IF(COUNTIF(Keeper!B:B,D211)&gt;0,"x","")</f>
        <v/>
      </c>
      <c r="D211" s="40" t="str">
        <f>Fantasypro!C209</f>
        <v>Evan McPherson</v>
      </c>
      <c r="E211" s="40" t="str">
        <f>Fantasypro!D209</f>
        <v>CIN</v>
      </c>
      <c r="F211" t="str">
        <f>Fantasypro!K209</f>
        <v>K7</v>
      </c>
      <c r="G211" s="39">
        <f>Fantasypro!H209</f>
        <v>210</v>
      </c>
      <c r="H211" s="39">
        <f>Fantasypro!I209</f>
        <v>10.8</v>
      </c>
      <c r="I211" s="51" t="e">
        <f t="shared" ca="1" si="6"/>
        <v>#NAME?</v>
      </c>
    </row>
    <row r="212" spans="3:9" ht="13">
      <c r="C212" t="str">
        <f>IF(COUNTIF(Keeper!B:B,D212)&gt;0,"x","")</f>
        <v/>
      </c>
      <c r="D212" s="40" t="str">
        <f>Fantasypro!C210</f>
        <v>Tre Tucker</v>
      </c>
      <c r="E212" s="40" t="str">
        <f>Fantasypro!D210</f>
        <v>LV</v>
      </c>
      <c r="F212" t="str">
        <f>Fantasypro!K210</f>
        <v>WR</v>
      </c>
      <c r="G212" s="39">
        <f>Fantasypro!H210</f>
        <v>210</v>
      </c>
      <c r="H212" s="39">
        <f>Fantasypro!I210</f>
        <v>9.5</v>
      </c>
      <c r="I212" s="51" t="e">
        <f t="shared" ca="1" si="6"/>
        <v>#NAME?</v>
      </c>
    </row>
    <row r="213" spans="3:9" ht="13">
      <c r="C213" t="str">
        <f>IF(COUNTIF(Keeper!B:B,D213)&gt;0,"x","")</f>
        <v/>
      </c>
      <c r="D213" s="40" t="str">
        <f>Fantasypro!C211</f>
        <v>Tre Harris</v>
      </c>
      <c r="E213" s="40" t="str">
        <f>Fantasypro!D211</f>
        <v>LAC</v>
      </c>
      <c r="F213" t="str">
        <f>Fantasypro!K211</f>
        <v>WR</v>
      </c>
      <c r="G213" s="39">
        <f>Fantasypro!H211</f>
        <v>210</v>
      </c>
      <c r="H213" s="39">
        <f>Fantasypro!I211</f>
        <v>19.3</v>
      </c>
      <c r="I213" s="51" t="e">
        <f t="shared" ca="1" si="6"/>
        <v>#NAME?</v>
      </c>
    </row>
    <row r="214" spans="3:9" ht="13">
      <c r="C214" t="str">
        <f>IF(COUNTIF(Keeper!B:B,D214)&gt;0,"x","")</f>
        <v/>
      </c>
      <c r="D214" s="40" t="str">
        <f>Fantasypro!C212</f>
        <v>Ray Davis</v>
      </c>
      <c r="E214" s="40" t="str">
        <f>Fantasypro!D212</f>
        <v>BUF</v>
      </c>
      <c r="F214" t="str">
        <f>Fantasypro!K212</f>
        <v>RB</v>
      </c>
      <c r="G214" s="39">
        <f>Fantasypro!H212</f>
        <v>211</v>
      </c>
      <c r="H214" s="39">
        <f>Fantasypro!I212</f>
        <v>18.399999999999999</v>
      </c>
      <c r="I214" s="51" t="e">
        <f t="shared" ca="1" si="6"/>
        <v>#NAME?</v>
      </c>
    </row>
    <row r="215" spans="3:9" ht="13">
      <c r="C215" t="str">
        <f>IF(COUNTIF(Keeper!B:B,D215)&gt;0,"x","")</f>
        <v/>
      </c>
      <c r="D215" s="40" t="str">
        <f>Fantasypro!C213</f>
        <v>Jacoby Brissett</v>
      </c>
      <c r="E215" s="40" t="str">
        <f>Fantasypro!D213</f>
        <v>ARI</v>
      </c>
      <c r="F215" t="str">
        <f>Fantasypro!K213</f>
        <v>QB</v>
      </c>
      <c r="G215" s="39">
        <f>Fantasypro!H213</f>
        <v>211</v>
      </c>
      <c r="H215" s="39">
        <f>Fantasypro!I213</f>
        <v>53.8</v>
      </c>
      <c r="I215" s="51" t="e">
        <f t="shared" ca="1" si="6"/>
        <v>#NAME?</v>
      </c>
    </row>
    <row r="216" spans="3:9" ht="13">
      <c r="C216" t="str">
        <f>IF(COUNTIF(Keeper!B:B,D216)&gt;0,"x","")</f>
        <v/>
      </c>
      <c r="D216" s="40" t="str">
        <f>Fantasypro!C214</f>
        <v>Kansas City Chiefs</v>
      </c>
      <c r="E216" s="40" t="str">
        <f>Fantasypro!D214</f>
        <v>KC</v>
      </c>
      <c r="F216" t="str">
        <f>Fantasypro!K214</f>
        <v>DS</v>
      </c>
      <c r="G216" s="39">
        <f>Fantasypro!H214</f>
        <v>212</v>
      </c>
      <c r="H216" s="39">
        <f>Fantasypro!I214</f>
        <v>5</v>
      </c>
      <c r="I216" s="51" t="e">
        <f t="shared" ca="1" si="6"/>
        <v>#NAME?</v>
      </c>
    </row>
    <row r="217" spans="3:9" ht="13">
      <c r="C217" t="str">
        <f>IF(COUNTIF(Keeper!B:B,D217)&gt;0,"x","")</f>
        <v/>
      </c>
      <c r="D217" s="40" t="str">
        <f>Fantasypro!C215</f>
        <v>Andy Borregales</v>
      </c>
      <c r="E217" s="40" t="str">
        <f>Fantasypro!D215</f>
        <v>NE</v>
      </c>
      <c r="F217" t="str">
        <f>Fantasypro!K215</f>
        <v>K8</v>
      </c>
      <c r="G217" s="39">
        <f>Fantasypro!H215</f>
        <v>212</v>
      </c>
      <c r="H217" s="39">
        <f>Fantasypro!I215</f>
        <v>1.7</v>
      </c>
      <c r="I217" s="51" t="e">
        <f t="shared" ca="1" si="6"/>
        <v>#NAME?</v>
      </c>
    </row>
    <row r="218" spans="3:9" ht="13">
      <c r="C218" t="str">
        <f>IF(COUNTIF(Keeper!B:B,D218)&gt;0,"x","")</f>
        <v/>
      </c>
      <c r="D218" s="40" t="str">
        <f>Fantasypro!C216</f>
        <v>Chris Brazzell II</v>
      </c>
      <c r="E218" s="40" t="str">
        <f>Fantasypro!D216</f>
        <v>FA</v>
      </c>
      <c r="F218" t="str">
        <f>Fantasypro!K216</f>
        <v>WR</v>
      </c>
      <c r="G218" s="39">
        <f>Fantasypro!H216</f>
        <v>212</v>
      </c>
      <c r="H218" s="39">
        <f>Fantasypro!I216</f>
        <v>36.1</v>
      </c>
      <c r="I218" s="51" t="e">
        <f t="shared" ca="1" si="6"/>
        <v>#NAME?</v>
      </c>
    </row>
    <row r="219" spans="3:9" ht="13">
      <c r="C219" t="str">
        <f>IF(COUNTIF(Keeper!B:B,D219)&gt;0,"x","")</f>
        <v/>
      </c>
      <c r="D219" s="40" t="str">
        <f>Fantasypro!C217</f>
        <v>Eddy Pineiro</v>
      </c>
      <c r="E219" s="40" t="str">
        <f>Fantasypro!D217</f>
        <v>SF</v>
      </c>
      <c r="F219" t="str">
        <f>Fantasypro!K217</f>
        <v>K9</v>
      </c>
      <c r="G219" s="39">
        <f>Fantasypro!H217</f>
        <v>213</v>
      </c>
      <c r="H219" s="39">
        <f>Fantasypro!I217</f>
        <v>1.6</v>
      </c>
      <c r="I219" s="51" t="e">
        <f t="shared" ca="1" si="6"/>
        <v>#NAME?</v>
      </c>
    </row>
    <row r="220" spans="3:9" ht="13">
      <c r="C220" t="str">
        <f>IF(COUNTIF(Keeper!B:B,D220)&gt;0,"x","")</f>
        <v/>
      </c>
      <c r="D220" s="40" t="str">
        <f>Fantasypro!C218</f>
        <v>Nicholas Singleton</v>
      </c>
      <c r="E220" s="40" t="str">
        <f>Fantasypro!D218</f>
        <v>FA</v>
      </c>
      <c r="F220" t="str">
        <f>Fantasypro!K218</f>
        <v>RB</v>
      </c>
      <c r="G220" s="39">
        <f>Fantasypro!H218</f>
        <v>214</v>
      </c>
      <c r="H220" s="39">
        <f>Fantasypro!I218</f>
        <v>46</v>
      </c>
      <c r="I220" s="51" t="e">
        <f t="shared" ca="1" si="6"/>
        <v>#NAME?</v>
      </c>
    </row>
    <row r="221" spans="3:9" ht="13">
      <c r="C221" t="str">
        <f>IF(COUNTIF(Keeper!B:B,D221)&gt;0,"x","")</f>
        <v/>
      </c>
      <c r="D221" s="40" t="str">
        <f>Fantasypro!C219</f>
        <v>T.J. Hockenson</v>
      </c>
      <c r="E221" s="40" t="str">
        <f>Fantasypro!D219</f>
        <v>MIN</v>
      </c>
      <c r="F221" t="str">
        <f>Fantasypro!K219</f>
        <v>TE</v>
      </c>
      <c r="G221" s="39">
        <f>Fantasypro!H219</f>
        <v>217</v>
      </c>
      <c r="H221" s="39">
        <f>Fantasypro!I219</f>
        <v>20.100000000000001</v>
      </c>
      <c r="I221" s="51" t="e">
        <f t="shared" ca="1" si="6"/>
        <v>#NAME?</v>
      </c>
    </row>
    <row r="222" spans="3:9" ht="13">
      <c r="C222" t="str">
        <f>IF(COUNTIF(Keeper!B:B,D222)&gt;0,"x","")</f>
        <v/>
      </c>
      <c r="D222" s="40" t="str">
        <f>Fantasypro!C220</f>
        <v>Kaytron Allen</v>
      </c>
      <c r="E222" s="40" t="str">
        <f>Fantasypro!D220</f>
        <v>FA</v>
      </c>
      <c r="F222" t="str">
        <f>Fantasypro!K220</f>
        <v>RB</v>
      </c>
      <c r="G222" s="39">
        <f>Fantasypro!H220</f>
        <v>218</v>
      </c>
      <c r="H222" s="39">
        <f>Fantasypro!I220</f>
        <v>51.1</v>
      </c>
      <c r="I222" s="51" t="e">
        <f t="shared" ca="1" si="6"/>
        <v>#NAME?</v>
      </c>
    </row>
    <row r="223" spans="3:9" ht="13">
      <c r="C223" t="str">
        <f>IF(COUNTIF(Keeper!B:B,D223)&gt;0,"x","")</f>
        <v/>
      </c>
      <c r="D223" s="40" t="str">
        <f>Fantasypro!C221</f>
        <v>Chase McLaughlin</v>
      </c>
      <c r="E223" s="40" t="str">
        <f>Fantasypro!D221</f>
        <v>TB</v>
      </c>
      <c r="F223" t="str">
        <f>Fantasypro!K221</f>
        <v>K1</v>
      </c>
      <c r="G223" s="39">
        <f>Fantasypro!H221</f>
        <v>218</v>
      </c>
      <c r="H223" s="39">
        <f>Fantasypro!I221</f>
        <v>3.5</v>
      </c>
      <c r="I223" s="51" t="e">
        <f t="shared" ca="1" si="6"/>
        <v>#NAME?</v>
      </c>
    </row>
    <row r="224" spans="3:9" ht="13">
      <c r="C224" t="str">
        <f>IF(COUNTIF(Keeper!B:B,D224)&gt;0,"x","")</f>
        <v/>
      </c>
      <c r="D224" s="40" t="str">
        <f>Fantasypro!C222</f>
        <v>Detroit Lions</v>
      </c>
      <c r="E224" s="40" t="str">
        <f>Fantasypro!D222</f>
        <v>DET</v>
      </c>
      <c r="F224" t="str">
        <f>Fantasypro!K222</f>
        <v>DS</v>
      </c>
      <c r="G224" s="39">
        <f>Fantasypro!H222</f>
        <v>219</v>
      </c>
      <c r="H224" s="39">
        <f>Fantasypro!I222</f>
        <v>19.2</v>
      </c>
      <c r="I224" s="51" t="e">
        <f t="shared" ca="1" si="6"/>
        <v>#NAME?</v>
      </c>
    </row>
    <row r="225" spans="3:9" ht="13">
      <c r="C225" t="str">
        <f>IF(COUNTIF(Keeper!B:B,D225)&gt;0,"x","")</f>
        <v/>
      </c>
      <c r="D225" s="40" t="str">
        <f>Fantasypro!C223</f>
        <v>Ryan Flournoy</v>
      </c>
      <c r="E225" s="40" t="str">
        <f>Fantasypro!D223</f>
        <v>DAL</v>
      </c>
      <c r="F225" t="str">
        <f>Fantasypro!K223</f>
        <v>WR</v>
      </c>
      <c r="G225" s="39">
        <f>Fantasypro!H223</f>
        <v>219</v>
      </c>
      <c r="H225" s="39">
        <f>Fantasypro!I223</f>
        <v>17.399999999999999</v>
      </c>
      <c r="I225" s="51" t="e">
        <f t="shared" ca="1" si="6"/>
        <v>#NAME?</v>
      </c>
    </row>
    <row r="226" spans="3:9" ht="13">
      <c r="C226" t="str">
        <f>IF(COUNTIF(Keeper!B:B,D226)&gt;0,"x","")</f>
        <v/>
      </c>
      <c r="D226" s="40" t="str">
        <f>Fantasypro!C224</f>
        <v>Joe Mixon</v>
      </c>
      <c r="E226" s="40" t="str">
        <f>Fantasypro!D224</f>
        <v>FA</v>
      </c>
      <c r="F226" t="str">
        <f>Fantasypro!K224</f>
        <v>RB</v>
      </c>
      <c r="G226" s="39">
        <f>Fantasypro!H224</f>
        <v>209</v>
      </c>
      <c r="H226" s="39">
        <f>Fantasypro!I224</f>
        <v>53.3</v>
      </c>
      <c r="I226" s="51" t="e">
        <f t="shared" ca="1" si="6"/>
        <v>#NAME?</v>
      </c>
    </row>
    <row r="227" spans="3:9" ht="13">
      <c r="C227" t="str">
        <f>IF(COUNTIF(Keeper!B:B,D227)&gt;0,"x","")</f>
        <v/>
      </c>
      <c r="D227" s="40" t="str">
        <f>Fantasypro!C225</f>
        <v>Buffalo Bills</v>
      </c>
      <c r="E227" s="40" t="str">
        <f>Fantasypro!D225</f>
        <v>BUF</v>
      </c>
      <c r="F227" t="str">
        <f>Fantasypro!K225</f>
        <v>DS</v>
      </c>
      <c r="G227" s="39">
        <f>Fantasypro!H225</f>
        <v>220</v>
      </c>
      <c r="H227" s="39">
        <f>Fantasypro!I225</f>
        <v>6</v>
      </c>
      <c r="I227" s="51" t="e">
        <f t="shared" ca="1" si="6"/>
        <v>#NAME?</v>
      </c>
    </row>
    <row r="228" spans="3:9" ht="13">
      <c r="C228" t="str">
        <f>IF(COUNTIF(Keeper!B:B,D228)&gt;0,"x","")</f>
        <v/>
      </c>
      <c r="D228" s="40" t="str">
        <f>Fantasypro!C226</f>
        <v>Tory Horton</v>
      </c>
      <c r="E228" s="40" t="str">
        <f>Fantasypro!D226</f>
        <v>SEA</v>
      </c>
      <c r="F228" t="str">
        <f>Fantasypro!K226</f>
        <v>WR</v>
      </c>
      <c r="G228" s="39">
        <f>Fantasypro!H226</f>
        <v>221</v>
      </c>
      <c r="H228" s="39">
        <f>Fantasypro!I226</f>
        <v>20.5</v>
      </c>
      <c r="I228" s="51" t="e">
        <f t="shared" ca="1" si="6"/>
        <v>#NAME?</v>
      </c>
    </row>
    <row r="229" spans="3:9" ht="13">
      <c r="C229" t="str">
        <f>IF(COUNTIF(Keeper!B:B,D229)&gt;0,"x","")</f>
        <v/>
      </c>
      <c r="D229" s="40" t="str">
        <f>Fantasypro!C227</f>
        <v>Pat Bryant</v>
      </c>
      <c r="E229" s="40" t="str">
        <f>Fantasypro!D227</f>
        <v>DEN</v>
      </c>
      <c r="F229" t="str">
        <f>Fantasypro!K227</f>
        <v>WR</v>
      </c>
      <c r="G229" s="39">
        <f>Fantasypro!H227</f>
        <v>221</v>
      </c>
      <c r="H229" s="39">
        <f>Fantasypro!I227</f>
        <v>7.4</v>
      </c>
      <c r="I229" s="51" t="e">
        <f t="shared" ca="1" si="6"/>
        <v>#NAME?</v>
      </c>
    </row>
    <row r="230" spans="3:9" ht="13">
      <c r="C230" t="str">
        <f>IF(COUNTIF(Keeper!B:B,D230)&gt;0,"x","")</f>
        <v/>
      </c>
      <c r="D230" s="40" t="str">
        <f>Fantasypro!C228</f>
        <v>Eli Stowers</v>
      </c>
      <c r="E230" s="40" t="str">
        <f>Fantasypro!D228</f>
        <v>FA</v>
      </c>
      <c r="F230" t="str">
        <f>Fantasypro!K228</f>
        <v>TE</v>
      </c>
      <c r="G230" s="39">
        <f>Fantasypro!H228</f>
        <v>221</v>
      </c>
      <c r="H230" s="39">
        <f>Fantasypro!I228</f>
        <v>26.9</v>
      </c>
      <c r="I230" s="51" t="e">
        <f t="shared" ca="1" si="6"/>
        <v>#NAME?</v>
      </c>
    </row>
    <row r="231" spans="3:9" ht="13">
      <c r="C231" t="str">
        <f>IF(COUNTIF(Keeper!B:B,D231)&gt;0,"x","")</f>
        <v/>
      </c>
      <c r="D231" s="40" t="str">
        <f>Fantasypro!C229</f>
        <v>Kendre Miller</v>
      </c>
      <c r="E231" s="40" t="str">
        <f>Fantasypro!D229</f>
        <v>NO</v>
      </c>
      <c r="F231" t="str">
        <f>Fantasypro!K229</f>
        <v>RB</v>
      </c>
      <c r="G231" s="39">
        <f>Fantasypro!H229</f>
        <v>223</v>
      </c>
      <c r="H231" s="39">
        <f>Fantasypro!I229</f>
        <v>44.8</v>
      </c>
      <c r="I231" s="51" t="e">
        <f t="shared" ca="1" si="6"/>
        <v>#NAME?</v>
      </c>
    </row>
    <row r="232" spans="3:9" ht="13">
      <c r="C232" t="str">
        <f>IF(COUNTIF(Keeper!B:B,D232)&gt;0,"x","")</f>
        <v/>
      </c>
      <c r="D232" s="40" t="str">
        <f>Fantasypro!C230</f>
        <v>Theo Johnson</v>
      </c>
      <c r="E232" s="40" t="str">
        <f>Fantasypro!D230</f>
        <v>NYG</v>
      </c>
      <c r="F232" t="str">
        <f>Fantasypro!K230</f>
        <v>TE</v>
      </c>
      <c r="G232" s="39">
        <f>Fantasypro!H230</f>
        <v>223</v>
      </c>
      <c r="H232" s="39">
        <f>Fantasypro!I230</f>
        <v>30.7</v>
      </c>
      <c r="I232" s="51" t="e">
        <f t="shared" ca="1" si="6"/>
        <v>#NAME?</v>
      </c>
    </row>
    <row r="233" spans="3:9" ht="13">
      <c r="C233" t="str">
        <f>IF(COUNTIF(Keeper!B:B,D233)&gt;0,"x","")</f>
        <v/>
      </c>
      <c r="D233" s="40" t="str">
        <f>Fantasypro!C231</f>
        <v>Calvin Ridley</v>
      </c>
      <c r="E233" s="40" t="str">
        <f>Fantasypro!D231</f>
        <v>TEN</v>
      </c>
      <c r="F233" t="str">
        <f>Fantasypro!K231</f>
        <v>WR</v>
      </c>
      <c r="G233" s="39">
        <f>Fantasypro!H231</f>
        <v>223</v>
      </c>
      <c r="H233" s="39">
        <f>Fantasypro!I231</f>
        <v>16.8</v>
      </c>
      <c r="I233" s="51" t="e">
        <f t="shared" ca="1" si="6"/>
        <v>#NAME?</v>
      </c>
    </row>
    <row r="234" spans="3:9" ht="13">
      <c r="C234" t="str">
        <f>IF(COUNTIF(Keeper!B:B,D234)&gt;0,"x","")</f>
        <v/>
      </c>
      <c r="D234" s="40" t="str">
        <f>Fantasypro!C232</f>
        <v>Baltimore Ravens</v>
      </c>
      <c r="E234" s="40" t="str">
        <f>Fantasypro!D232</f>
        <v>BAL</v>
      </c>
      <c r="F234" t="str">
        <f>Fantasypro!K232</f>
        <v>DS</v>
      </c>
      <c r="G234" s="39">
        <f>Fantasypro!H232</f>
        <v>223</v>
      </c>
      <c r="H234" s="39">
        <f>Fantasypro!I232</f>
        <v>16.399999999999999</v>
      </c>
      <c r="I234" s="51" t="e">
        <f t="shared" ca="1" si="6"/>
        <v>#NAME?</v>
      </c>
    </row>
    <row r="235" spans="3:9" ht="13">
      <c r="C235" t="str">
        <f>IF(COUNTIF(Keeper!B:B,D235)&gt;0,"x","")</f>
        <v/>
      </c>
      <c r="D235" s="40" t="str">
        <f>Fantasypro!C233</f>
        <v>Cairo Santos</v>
      </c>
      <c r="E235" s="40" t="str">
        <f>Fantasypro!D233</f>
        <v>CHI</v>
      </c>
      <c r="F235" t="str">
        <f>Fantasypro!K233</f>
        <v>K1</v>
      </c>
      <c r="G235" s="39">
        <f>Fantasypro!H233</f>
        <v>224</v>
      </c>
      <c r="H235" s="39">
        <f>Fantasypro!I233</f>
        <v>4.7</v>
      </c>
      <c r="I235" s="51" t="e">
        <f t="shared" ca="1" si="6"/>
        <v>#NAME?</v>
      </c>
    </row>
    <row r="236" spans="3:9" ht="13">
      <c r="C236" t="str">
        <f>IF(COUNTIF(Keeper!B:B,D236)&gt;0,"x","")</f>
        <v/>
      </c>
      <c r="D236" s="40" t="str">
        <f>Fantasypro!C234</f>
        <v>Ollie Gordon II</v>
      </c>
      <c r="E236" s="40" t="str">
        <f>Fantasypro!D234</f>
        <v>MIA</v>
      </c>
      <c r="F236" t="str">
        <f>Fantasypro!K234</f>
        <v>RB</v>
      </c>
      <c r="G236" s="39">
        <f>Fantasypro!H234</f>
        <v>226</v>
      </c>
      <c r="H236" s="39">
        <f>Fantasypro!I234</f>
        <v>17.2</v>
      </c>
      <c r="I236" s="50"/>
    </row>
    <row r="237" spans="3:9" ht="13">
      <c r="C237" t="str">
        <f>IF(COUNTIF(Keeper!B:B,D237)&gt;0,"x","")</f>
        <v/>
      </c>
      <c r="D237" s="40" t="str">
        <f>Fantasypro!C235</f>
        <v>Devin Neal</v>
      </c>
      <c r="E237" s="40" t="str">
        <f>Fantasypro!D235</f>
        <v>NO</v>
      </c>
      <c r="F237" t="str">
        <f>Fantasypro!K235</f>
        <v>RB</v>
      </c>
      <c r="G237" s="39">
        <f>Fantasypro!H235</f>
        <v>227</v>
      </c>
      <c r="H237" s="39">
        <f>Fantasypro!I235</f>
        <v>36.700000000000003</v>
      </c>
      <c r="I237" s="50"/>
    </row>
    <row r="238" spans="3:9" ht="13">
      <c r="C238" t="str">
        <f>IF(COUNTIF(Keeper!B:B,D238)&gt;0,"x","")</f>
        <v/>
      </c>
      <c r="D238" s="40" t="str">
        <f>Fantasypro!C236</f>
        <v>Fernando Mendoza</v>
      </c>
      <c r="E238" s="40" t="str">
        <f>Fantasypro!D236</f>
        <v>FA</v>
      </c>
      <c r="F238" t="str">
        <f>Fantasypro!K236</f>
        <v>QB</v>
      </c>
      <c r="G238" s="39">
        <f>Fantasypro!H236</f>
        <v>228</v>
      </c>
      <c r="H238" s="39">
        <f>Fantasypro!I236</f>
        <v>53.7</v>
      </c>
      <c r="I238" s="50"/>
    </row>
    <row r="239" spans="3:9" ht="13">
      <c r="C239" t="str">
        <f>IF(COUNTIF(Keeper!B:B,D239)&gt;0,"x","")</f>
        <v/>
      </c>
      <c r="D239" s="40" t="str">
        <f>Fantasypro!C237</f>
        <v>Darnell Mooney</v>
      </c>
      <c r="E239" s="40" t="str">
        <f>Fantasypro!D237</f>
        <v>NYG</v>
      </c>
      <c r="F239" t="str">
        <f>Fantasypro!K237</f>
        <v>WR</v>
      </c>
      <c r="G239" s="39">
        <f>Fantasypro!H237</f>
        <v>228</v>
      </c>
      <c r="H239" s="39">
        <f>Fantasypro!I237</f>
        <v>14.3</v>
      </c>
      <c r="I239" s="50"/>
    </row>
    <row r="240" spans="3:9" ht="13">
      <c r="C240" t="str">
        <f>IF(COUNTIF(Keeper!B:B,D240)&gt;0,"x","")</f>
        <v/>
      </c>
      <c r="D240" s="40" t="str">
        <f>Fantasypro!C238</f>
        <v>Rashod Bateman</v>
      </c>
      <c r="E240" s="40" t="str">
        <f>Fantasypro!D238</f>
        <v>BAL</v>
      </c>
      <c r="F240" t="str">
        <f>Fantasypro!K238</f>
        <v>WR</v>
      </c>
      <c r="G240" s="39">
        <f>Fantasypro!H238</f>
        <v>228</v>
      </c>
      <c r="H240" s="39">
        <f>Fantasypro!I238</f>
        <v>16.600000000000001</v>
      </c>
      <c r="I240" s="50"/>
    </row>
    <row r="241" spans="3:9" ht="13">
      <c r="C241" t="str">
        <f>IF(COUNTIF(Keeper!B:B,D241)&gt;0,"x","")</f>
        <v/>
      </c>
      <c r="D241" s="40" t="str">
        <f>Fantasypro!C239</f>
        <v>Elijah Sarratt</v>
      </c>
      <c r="E241" s="40" t="str">
        <f>Fantasypro!D239</f>
        <v>FA</v>
      </c>
      <c r="F241" t="str">
        <f>Fantasypro!K239</f>
        <v>WR</v>
      </c>
      <c r="G241" s="39">
        <f>Fantasypro!H239</f>
        <v>230</v>
      </c>
      <c r="H241" s="39">
        <f>Fantasypro!I239</f>
        <v>37.9</v>
      </c>
      <c r="I241" s="50"/>
    </row>
    <row r="242" spans="3:9" ht="13">
      <c r="C242" t="str">
        <f>IF(COUNTIF(Keeper!B:B,D242)&gt;0,"x","")</f>
        <v/>
      </c>
      <c r="D242" s="40" t="str">
        <f>Fantasypro!C240</f>
        <v>David Njoku</v>
      </c>
      <c r="E242" s="40" t="str">
        <f>Fantasypro!D240</f>
        <v>FA</v>
      </c>
      <c r="F242" t="str">
        <f>Fantasypro!K240</f>
        <v>TE</v>
      </c>
      <c r="G242" s="39">
        <f>Fantasypro!H240</f>
        <v>233</v>
      </c>
      <c r="H242" s="39">
        <f>Fantasypro!I240</f>
        <v>9</v>
      </c>
      <c r="I242" s="50"/>
    </row>
    <row r="243" spans="3:9" ht="13">
      <c r="C243" t="str">
        <f>IF(COUNTIF(Keeper!B:B,D243)&gt;0,"x","")</f>
        <v/>
      </c>
      <c r="D243" s="40" t="str">
        <f>Fantasypro!C241</f>
        <v>Marvin Mims Jr.</v>
      </c>
      <c r="E243" s="40" t="str">
        <f>Fantasypro!D241</f>
        <v>DEN</v>
      </c>
      <c r="F243" t="str">
        <f>Fantasypro!K241</f>
        <v>WR</v>
      </c>
      <c r="G243" s="39">
        <f>Fantasypro!H241</f>
        <v>234</v>
      </c>
      <c r="H243" s="39">
        <f>Fantasypro!I241</f>
        <v>9.6</v>
      </c>
      <c r="I243" s="50"/>
    </row>
    <row r="244" spans="3:9" ht="13">
      <c r="C244" t="str">
        <f>IF(COUNTIF(Keeper!B:B,D244)&gt;0,"x","")</f>
        <v/>
      </c>
      <c r="D244" s="40" t="str">
        <f>Fantasypro!C242</f>
        <v>Jake Bates</v>
      </c>
      <c r="E244" s="40" t="str">
        <f>Fantasypro!D242</f>
        <v>DET</v>
      </c>
      <c r="F244" t="str">
        <f>Fantasypro!K242</f>
        <v>K1</v>
      </c>
      <c r="G244" s="39">
        <f>Fantasypro!H242</f>
        <v>235</v>
      </c>
      <c r="H244" s="39">
        <f>Fantasypro!I242</f>
        <v>7.1</v>
      </c>
      <c r="I244" s="50"/>
    </row>
    <row r="245" spans="3:9" ht="13">
      <c r="C245" t="str">
        <f>IF(COUNTIF(Keeper!B:B,D245)&gt;0,"x","")</f>
        <v/>
      </c>
      <c r="D245" s="40" t="str">
        <f>Fantasypro!C243</f>
        <v>Mason Taylor</v>
      </c>
      <c r="E245" s="40" t="str">
        <f>Fantasypro!D243</f>
        <v>NYJ</v>
      </c>
      <c r="F245" t="str">
        <f>Fantasypro!K243</f>
        <v>TE</v>
      </c>
      <c r="G245" s="39">
        <f>Fantasypro!H243</f>
        <v>238</v>
      </c>
      <c r="H245" s="39">
        <f>Fantasypro!I243</f>
        <v>14.4</v>
      </c>
      <c r="I245" s="50"/>
    </row>
    <row r="246" spans="3:9" ht="13">
      <c r="C246" t="str">
        <f>IF(COUNTIF(Keeper!B:B,D246)&gt;0,"x","")</f>
        <v/>
      </c>
      <c r="D246" s="40" t="str">
        <f>Fantasypro!C244</f>
        <v>Keon Coleman</v>
      </c>
      <c r="E246" s="40" t="str">
        <f>Fantasypro!D244</f>
        <v>BUF</v>
      </c>
      <c r="F246" t="str">
        <f>Fantasypro!K244</f>
        <v>WR</v>
      </c>
      <c r="G246" s="39">
        <f>Fantasypro!H244</f>
        <v>240</v>
      </c>
      <c r="H246" s="39">
        <f>Fantasypro!I244</f>
        <v>23.2</v>
      </c>
      <c r="I246" s="50"/>
    </row>
    <row r="247" spans="3:9" ht="13">
      <c r="C247" t="str">
        <f>IF(COUNTIF(Keeper!B:B,D247)&gt;0,"x","")</f>
        <v/>
      </c>
      <c r="D247" s="40" t="str">
        <f>Fantasypro!C245</f>
        <v>Chig Okonkwo</v>
      </c>
      <c r="E247" s="40" t="str">
        <f>Fantasypro!D245</f>
        <v>WAS</v>
      </c>
      <c r="F247" t="str">
        <f>Fantasypro!K245</f>
        <v>TE</v>
      </c>
      <c r="G247" s="39">
        <f>Fantasypro!H245</f>
        <v>241</v>
      </c>
      <c r="H247" s="39">
        <f>Fantasypro!I245</f>
        <v>22.6</v>
      </c>
      <c r="I247" s="50"/>
    </row>
    <row r="248" spans="3:9" ht="13">
      <c r="C248" t="str">
        <f>IF(COUNTIF(Keeper!B:B,D248)&gt;0,"x","")</f>
        <v/>
      </c>
      <c r="D248" s="40" t="str">
        <f>Fantasypro!C246</f>
        <v>Xavier Legette</v>
      </c>
      <c r="E248" s="40" t="str">
        <f>Fantasypro!D246</f>
        <v>CAR</v>
      </c>
      <c r="F248" t="str">
        <f>Fantasypro!K246</f>
        <v>WR</v>
      </c>
      <c r="G248" s="39">
        <f>Fantasypro!H246</f>
        <v>242</v>
      </c>
      <c r="H248" s="39">
        <f>Fantasypro!I246</f>
        <v>14.3</v>
      </c>
      <c r="I248" s="50"/>
    </row>
    <row r="249" spans="3:9" ht="13">
      <c r="C249" t="str">
        <f>IF(COUNTIF(Keeper!B:B,D249)&gt;0,"x","")</f>
        <v/>
      </c>
      <c r="D249" s="40" t="str">
        <f>Fantasypro!C247</f>
        <v>Harrison Mevis</v>
      </c>
      <c r="E249" s="40" t="str">
        <f>Fantasypro!D247</f>
        <v>LAR</v>
      </c>
      <c r="F249" t="str">
        <f>Fantasypro!K247</f>
        <v>K1</v>
      </c>
      <c r="G249" s="39">
        <f>Fantasypro!H247</f>
        <v>242</v>
      </c>
      <c r="H249" s="39">
        <f>Fantasypro!I247</f>
        <v>7.9</v>
      </c>
      <c r="I249" s="50"/>
    </row>
    <row r="250" spans="3:9" ht="13">
      <c r="C250" t="str">
        <f>IF(COUNTIF(Keeper!B:B,D250)&gt;0,"x","")</f>
        <v/>
      </c>
      <c r="D250" s="40" t="str">
        <f>Fantasypro!C248</f>
        <v>Dontayvion Wicks</v>
      </c>
      <c r="E250" s="40" t="str">
        <f>Fantasypro!D248</f>
        <v>GB</v>
      </c>
      <c r="F250" t="str">
        <f>Fantasypro!K248</f>
        <v>WR</v>
      </c>
      <c r="G250" s="39">
        <f>Fantasypro!H248</f>
        <v>243</v>
      </c>
      <c r="H250" s="39">
        <f>Fantasypro!I248</f>
        <v>14</v>
      </c>
      <c r="I250" s="50"/>
    </row>
    <row r="251" spans="3:9" ht="13">
      <c r="C251" t="str">
        <f>IF(COUNTIF(Keeper!B:B,D251)&gt;0,"x","")</f>
        <v/>
      </c>
      <c r="D251" s="40" t="str">
        <f>Fantasypro!C249</f>
        <v>Mack Hollins</v>
      </c>
      <c r="E251" s="40" t="str">
        <f>Fantasypro!D249</f>
        <v>NE</v>
      </c>
      <c r="F251" t="str">
        <f>Fantasypro!K249</f>
        <v>WR</v>
      </c>
      <c r="G251" s="39">
        <f>Fantasypro!H249</f>
        <v>244</v>
      </c>
      <c r="H251" s="39">
        <f>Fantasypro!I249</f>
        <v>17.899999999999999</v>
      </c>
      <c r="I251" s="50"/>
    </row>
    <row r="252" spans="3:9" ht="13">
      <c r="C252" t="str">
        <f>IF(COUNTIF(Keeper!B:B,D252)&gt;0,"x","")</f>
        <v/>
      </c>
      <c r="D252" s="40" t="str">
        <f>Fantasypro!C250</f>
        <v>Isaiah Davis</v>
      </c>
      <c r="E252" s="40" t="str">
        <f>Fantasypro!D250</f>
        <v>NYJ</v>
      </c>
      <c r="F252" t="str">
        <f>Fantasypro!K250</f>
        <v>RB</v>
      </c>
      <c r="G252" s="39">
        <f>Fantasypro!H250</f>
        <v>246</v>
      </c>
      <c r="H252" s="39">
        <f>Fantasypro!I250</f>
        <v>16.8</v>
      </c>
      <c r="I252" s="50"/>
    </row>
    <row r="253" spans="3:9" ht="13">
      <c r="C253" t="str">
        <f>IF(COUNTIF(Keeper!B:B,D253)&gt;0,"x","")</f>
        <v/>
      </c>
      <c r="D253" s="40" t="str">
        <f>Fantasypro!C251</f>
        <v>Colby Parkinson</v>
      </c>
      <c r="E253" s="40" t="str">
        <f>Fantasypro!D251</f>
        <v>LAR</v>
      </c>
      <c r="F253" t="str">
        <f>Fantasypro!K251</f>
        <v>TE</v>
      </c>
      <c r="G253" s="39">
        <f>Fantasypro!H251</f>
        <v>248</v>
      </c>
      <c r="H253" s="39">
        <f>Fantasypro!I251</f>
        <v>10.4</v>
      </c>
      <c r="I253" s="50"/>
    </row>
    <row r="254" spans="3:9" ht="13">
      <c r="C254" t="str">
        <f>IF(COUNTIF(Keeper!B:B,D254)&gt;0,"x","")</f>
        <v/>
      </c>
      <c r="D254" s="40" t="str">
        <f>Fantasypro!C252</f>
        <v>George Holani</v>
      </c>
      <c r="E254" s="40" t="str">
        <f>Fantasypro!D252</f>
        <v>SEA</v>
      </c>
      <c r="F254" t="str">
        <f>Fantasypro!K252</f>
        <v>RB</v>
      </c>
      <c r="G254" s="39">
        <f>Fantasypro!H252</f>
        <v>248</v>
      </c>
      <c r="H254" s="39">
        <f>Fantasypro!I252</f>
        <v>32.299999999999997</v>
      </c>
      <c r="I254" s="50"/>
    </row>
    <row r="255" spans="3:9" ht="13">
      <c r="C255" t="str">
        <f>IF(COUNTIF(Keeper!B:B,D255)&gt;0,"x","")</f>
        <v/>
      </c>
      <c r="D255" s="40" t="str">
        <f>Fantasypro!C253</f>
        <v>Najee Harris</v>
      </c>
      <c r="E255" s="40" t="str">
        <f>Fantasypro!D253</f>
        <v>LAC</v>
      </c>
      <c r="F255" t="str">
        <f>Fantasypro!K253</f>
        <v>RB</v>
      </c>
      <c r="G255" s="39">
        <f>Fantasypro!H253</f>
        <v>239</v>
      </c>
      <c r="H255" s="39">
        <f>Fantasypro!I253</f>
        <v>11.4</v>
      </c>
      <c r="I255" s="50"/>
    </row>
    <row r="256" spans="3:9" ht="13">
      <c r="C256" t="str">
        <f>IF(COUNTIF(Keeper!B:B,D256)&gt;0,"x","")</f>
        <v/>
      </c>
      <c r="D256" s="40" t="str">
        <f>Fantasypro!C254</f>
        <v>Chris Boswell</v>
      </c>
      <c r="E256" s="40" t="str">
        <f>Fantasypro!D254</f>
        <v>PIT</v>
      </c>
      <c r="F256" t="str">
        <f>Fantasypro!K254</f>
        <v>K1</v>
      </c>
      <c r="G256" s="39">
        <f>Fantasypro!H254</f>
        <v>251</v>
      </c>
      <c r="H256" s="39">
        <f>Fantasypro!I254</f>
        <v>0.9</v>
      </c>
      <c r="I256" s="50"/>
    </row>
    <row r="257" spans="3:9" ht="13">
      <c r="C257" t="str">
        <f>IF(COUNTIF(Keeper!B:B,D257)&gt;0,"x","")</f>
        <v/>
      </c>
      <c r="D257" s="40" t="str">
        <f>Fantasypro!C255</f>
        <v>Pat Freiermuth</v>
      </c>
      <c r="E257" s="40" t="str">
        <f>Fantasypro!D255</f>
        <v>PIT</v>
      </c>
      <c r="F257" t="str">
        <f>Fantasypro!K255</f>
        <v>TE</v>
      </c>
      <c r="G257" s="39">
        <f>Fantasypro!H255</f>
        <v>253</v>
      </c>
      <c r="H257" s="39">
        <f>Fantasypro!I255</f>
        <v>11.7</v>
      </c>
      <c r="I257" s="50"/>
    </row>
    <row r="258" spans="3:9" ht="13">
      <c r="C258" t="str">
        <f>IF(COUNTIF(Keeper!B:B,D258)&gt;0,"x","")</f>
        <v/>
      </c>
      <c r="D258" s="40" t="str">
        <f>Fantasypro!C256</f>
        <v>Malachi Fields</v>
      </c>
      <c r="E258" s="40" t="str">
        <f>Fantasypro!D256</f>
        <v>FA</v>
      </c>
      <c r="F258" t="str">
        <f>Fantasypro!K256</f>
        <v>WR</v>
      </c>
      <c r="G258" s="39">
        <f>Fantasypro!H256</f>
        <v>253</v>
      </c>
      <c r="H258" s="39">
        <f>Fantasypro!I256</f>
        <v>18.2</v>
      </c>
      <c r="I258" s="50"/>
    </row>
    <row r="259" spans="3:9" ht="13">
      <c r="C259" t="str">
        <f>IF(COUNTIF(Keeper!B:B,D259)&gt;0,"x","")</f>
        <v/>
      </c>
      <c r="D259" s="40" t="str">
        <f>Fantasypro!C257</f>
        <v>Harrison Butker</v>
      </c>
      <c r="E259" s="40" t="str">
        <f>Fantasypro!D257</f>
        <v>KC</v>
      </c>
      <c r="F259" t="str">
        <f>Fantasypro!K257</f>
        <v>K1</v>
      </c>
      <c r="G259" s="39">
        <f>Fantasypro!H257</f>
        <v>254</v>
      </c>
      <c r="H259" s="39">
        <f>Fantasypro!I257</f>
        <v>19.399999999999999</v>
      </c>
      <c r="I259" s="50"/>
    </row>
    <row r="260" spans="3:9" ht="13">
      <c r="C260" t="str">
        <f>IF(COUNTIF(Keeper!B:B,D260)&gt;0,"x","")</f>
        <v/>
      </c>
      <c r="D260" s="40" t="str">
        <f>Fantasypro!C258</f>
        <v>Ty Johnson</v>
      </c>
      <c r="E260" s="40" t="str">
        <f>Fantasypro!D258</f>
        <v>BUF</v>
      </c>
      <c r="F260" t="str">
        <f>Fantasypro!K258</f>
        <v>RB</v>
      </c>
      <c r="G260" s="39">
        <f>Fantasypro!H258</f>
        <v>255</v>
      </c>
      <c r="H260" s="39">
        <f>Fantasypro!I258</f>
        <v>14</v>
      </c>
      <c r="I260" s="50"/>
    </row>
    <row r="261" spans="3:9" ht="13">
      <c r="C261" t="str">
        <f>IF(COUNTIF(Keeper!B:B,D261)&gt;0,"x","")</f>
        <v/>
      </c>
      <c r="D261" s="40" t="str">
        <f>Fantasypro!C259</f>
        <v>Gunnar Helm</v>
      </c>
      <c r="E261" s="40" t="str">
        <f>Fantasypro!D259</f>
        <v>TEN</v>
      </c>
      <c r="F261" t="str">
        <f>Fantasypro!K259</f>
        <v>TE</v>
      </c>
      <c r="G261" s="39">
        <f>Fantasypro!H259</f>
        <v>255</v>
      </c>
      <c r="H261" s="39">
        <f>Fantasypro!I259</f>
        <v>9.8000000000000007</v>
      </c>
      <c r="I261" s="50"/>
    </row>
    <row r="262" spans="3:9" ht="13">
      <c r="C262" t="str">
        <f>IF(COUNTIF(Keeper!B:B,D262)&gt;0,"x","")</f>
        <v/>
      </c>
      <c r="D262" s="40" t="str">
        <f>Fantasypro!C260</f>
        <v>Isaac Guerendo</v>
      </c>
      <c r="E262" s="40" t="str">
        <f>Fantasypro!D260</f>
        <v>SF</v>
      </c>
      <c r="F262" t="str">
        <f>Fantasypro!K260</f>
        <v>RB</v>
      </c>
      <c r="G262" s="39">
        <f>Fantasypro!H260</f>
        <v>248</v>
      </c>
      <c r="H262" s="39">
        <f>Fantasypro!I260</f>
        <v>27.5</v>
      </c>
      <c r="I262" s="50"/>
    </row>
    <row r="263" spans="3:9" ht="13">
      <c r="C263" t="str">
        <f>IF(COUNTIF(Keeper!B:B,D263)&gt;0,"x","")</f>
        <v/>
      </c>
      <c r="D263" s="40" t="str">
        <f>Fantasypro!C261</f>
        <v>Cooper Kupp</v>
      </c>
      <c r="E263" s="40" t="str">
        <f>Fantasypro!D261</f>
        <v>SEA</v>
      </c>
      <c r="F263" t="str">
        <f>Fantasypro!K261</f>
        <v>WR</v>
      </c>
      <c r="G263" s="39">
        <f>Fantasypro!H261</f>
        <v>256</v>
      </c>
      <c r="H263" s="39">
        <f>Fantasypro!I261</f>
        <v>25.8</v>
      </c>
      <c r="I263" s="50"/>
    </row>
    <row r="264" spans="3:9" ht="13">
      <c r="C264" t="str">
        <f>IF(COUNTIF(Keeper!B:B,D264)&gt;0,"x","")</f>
        <v/>
      </c>
      <c r="D264" s="40" t="str">
        <f>Fantasypro!C262</f>
        <v>Darius Slayton</v>
      </c>
      <c r="E264" s="40" t="str">
        <f>Fantasypro!D262</f>
        <v>NYG</v>
      </c>
      <c r="F264" t="str">
        <f>Fantasypro!K262</f>
        <v>WR</v>
      </c>
      <c r="G264" s="39">
        <f>Fantasypro!H262</f>
        <v>257</v>
      </c>
      <c r="H264" s="39">
        <f>Fantasypro!I262</f>
        <v>16.7</v>
      </c>
      <c r="I264" s="50"/>
    </row>
    <row r="265" spans="3:9" ht="13">
      <c r="C265" t="str">
        <f>IF(COUNTIF(Keeper!B:B,D265)&gt;0,"x","")</f>
        <v/>
      </c>
      <c r="D265" s="40" t="str">
        <f>Fantasypro!C263</f>
        <v>Michael Penix Jr.</v>
      </c>
      <c r="E265" s="40" t="str">
        <f>Fantasypro!D263</f>
        <v>ATL</v>
      </c>
      <c r="F265" t="str">
        <f>Fantasypro!K263</f>
        <v>QB</v>
      </c>
      <c r="G265" s="39">
        <f>Fantasypro!H263</f>
        <v>259</v>
      </c>
      <c r="H265" s="39">
        <f>Fantasypro!I263</f>
        <v>36.299999999999997</v>
      </c>
      <c r="I265" s="50"/>
    </row>
    <row r="266" spans="3:9" ht="13">
      <c r="C266" t="str">
        <f>IF(COUNTIF(Keeper!B:B,D266)&gt;0,"x","")</f>
        <v/>
      </c>
      <c r="D266" s="40" t="str">
        <f>Fantasypro!C264</f>
        <v>Jaydon Blue</v>
      </c>
      <c r="E266" s="40" t="str">
        <f>Fantasypro!D264</f>
        <v>DAL</v>
      </c>
      <c r="F266" t="str">
        <f>Fantasypro!K264</f>
        <v>RB</v>
      </c>
      <c r="G266" s="39">
        <f>Fantasypro!H264</f>
        <v>260</v>
      </c>
      <c r="H266" s="39">
        <f>Fantasypro!I264</f>
        <v>36.299999999999997</v>
      </c>
      <c r="I266" s="50"/>
    </row>
    <row r="267" spans="3:9" ht="13">
      <c r="C267" t="str">
        <f>IF(COUNTIF(Keeper!B:B,D267)&gt;0,"x","")</f>
        <v/>
      </c>
      <c r="D267" s="40" t="str">
        <f>Fantasypro!C265</f>
        <v>Zachariah Branch</v>
      </c>
      <c r="E267" s="40" t="str">
        <f>Fantasypro!D265</f>
        <v>FA</v>
      </c>
      <c r="F267" t="str">
        <f>Fantasypro!K265</f>
        <v>WR</v>
      </c>
      <c r="G267" s="39">
        <f>Fantasypro!H265</f>
        <v>262</v>
      </c>
      <c r="H267" s="39">
        <f>Fantasypro!I265</f>
        <v>26.7</v>
      </c>
      <c r="I267" s="50"/>
    </row>
    <row r="268" spans="3:9" ht="13">
      <c r="C268" t="str">
        <f>IF(COUNTIF(Keeper!B:B,D268)&gt;0,"x","")</f>
        <v/>
      </c>
      <c r="D268" s="40" t="str">
        <f>Fantasypro!C266</f>
        <v>Charlie Smyth</v>
      </c>
      <c r="E268" s="40" t="str">
        <f>Fantasypro!D266</f>
        <v>NO</v>
      </c>
      <c r="F268" t="str">
        <f>Fantasypro!K266</f>
        <v>K1</v>
      </c>
      <c r="G268" s="39">
        <f>Fantasypro!H266</f>
        <v>255</v>
      </c>
      <c r="H268" s="39">
        <f>Fantasypro!I266</f>
        <v>16.399999999999999</v>
      </c>
      <c r="I268" s="50"/>
    </row>
    <row r="269" spans="3:9" ht="13">
      <c r="C269" t="str">
        <f>IF(COUNTIF(Keeper!B:B,D269)&gt;0,"x","")</f>
        <v/>
      </c>
      <c r="D269" s="40" t="str">
        <f>Fantasypro!C267</f>
        <v>Germie Bernard</v>
      </c>
      <c r="E269" s="40" t="str">
        <f>Fantasypro!D267</f>
        <v>FA</v>
      </c>
      <c r="F269" t="str">
        <f>Fantasypro!K267</f>
        <v>WR</v>
      </c>
      <c r="G269" s="39">
        <f>Fantasypro!H267</f>
        <v>265</v>
      </c>
      <c r="H269" s="39">
        <f>Fantasypro!I267</f>
        <v>34.9</v>
      </c>
      <c r="I269" s="50"/>
    </row>
    <row r="270" spans="3:9" ht="13">
      <c r="C270" t="str">
        <f>IF(COUNTIF(Keeper!B:B,D270)&gt;0,"x","")</f>
        <v/>
      </c>
      <c r="D270" s="40" t="str">
        <f>Fantasypro!C268</f>
        <v>Demond Claiborne</v>
      </c>
      <c r="E270" s="40" t="str">
        <f>Fantasypro!D268</f>
        <v>FA</v>
      </c>
      <c r="F270" t="str">
        <f>Fantasypro!K268</f>
        <v>RB</v>
      </c>
      <c r="G270" s="39">
        <f>Fantasypro!H268</f>
        <v>265</v>
      </c>
      <c r="H270" s="39">
        <f>Fantasypro!I268</f>
        <v>25.2</v>
      </c>
      <c r="I270" s="50"/>
    </row>
    <row r="271" spans="3:9" ht="13">
      <c r="C271" t="str">
        <f>IF(COUNTIF(Keeper!B:B,D271)&gt;0,"x","")</f>
        <v/>
      </c>
      <c r="D271" s="40" t="str">
        <f>Fantasypro!C269</f>
        <v>Atlanta Falcons</v>
      </c>
      <c r="E271" s="40" t="str">
        <f>Fantasypro!D269</f>
        <v>ATL</v>
      </c>
      <c r="F271" t="str">
        <f>Fantasypro!K269</f>
        <v>DS</v>
      </c>
      <c r="G271" s="39">
        <f>Fantasypro!H269</f>
        <v>258</v>
      </c>
      <c r="H271" s="39">
        <f>Fantasypro!I269</f>
        <v>16.600000000000001</v>
      </c>
      <c r="I271" s="50"/>
    </row>
    <row r="272" spans="3:9" ht="13">
      <c r="C272" t="str">
        <f>IF(COUNTIF(Keeper!B:B,D272)&gt;0,"x","")</f>
        <v/>
      </c>
      <c r="D272" s="40" t="str">
        <f>Fantasypro!C270</f>
        <v>Keenan Allen</v>
      </c>
      <c r="E272" s="40" t="str">
        <f>Fantasypro!D270</f>
        <v>LAC</v>
      </c>
      <c r="F272" t="str">
        <f>Fantasypro!K270</f>
        <v>WR</v>
      </c>
      <c r="G272" s="39">
        <f>Fantasypro!H270</f>
        <v>266</v>
      </c>
      <c r="H272" s="39">
        <f>Fantasypro!I270</f>
        <v>7</v>
      </c>
      <c r="I272" s="50"/>
    </row>
    <row r="273" spans="3:9" ht="13">
      <c r="C273" t="str">
        <f>IF(COUNTIF(Keeper!B:B,D273)&gt;0,"x","")</f>
        <v/>
      </c>
      <c r="D273" s="40" t="str">
        <f>Fantasypro!C271</f>
        <v>Devaughn Vele</v>
      </c>
      <c r="E273" s="40" t="str">
        <f>Fantasypro!D271</f>
        <v>NO</v>
      </c>
      <c r="F273" t="str">
        <f>Fantasypro!K271</f>
        <v>WR</v>
      </c>
      <c r="G273" s="39">
        <f>Fantasypro!H271</f>
        <v>266</v>
      </c>
      <c r="H273" s="39">
        <f>Fantasypro!I271</f>
        <v>15.9</v>
      </c>
      <c r="I273" s="50"/>
    </row>
    <row r="274" spans="3:9" ht="13">
      <c r="C274" t="str">
        <f>IF(COUNTIF(Keeper!B:B,D274)&gt;0,"x","")</f>
        <v/>
      </c>
      <c r="D274" s="40" t="str">
        <f>Fantasypro!C272</f>
        <v>Jaleel McLaughlin</v>
      </c>
      <c r="E274" s="40" t="str">
        <f>Fantasypro!D272</f>
        <v>DEN</v>
      </c>
      <c r="F274" t="str">
        <f>Fantasypro!K272</f>
        <v>RB</v>
      </c>
      <c r="G274" s="39">
        <f>Fantasypro!H272</f>
        <v>260</v>
      </c>
      <c r="H274" s="39">
        <f>Fantasypro!I272</f>
        <v>25.8</v>
      </c>
      <c r="I274" s="50"/>
    </row>
    <row r="275" spans="3:9" ht="13">
      <c r="C275" t="str">
        <f>IF(COUNTIF(Keeper!B:B,D275)&gt;0,"x","")</f>
        <v/>
      </c>
      <c r="D275" s="40" t="str">
        <f>Fantasypro!C273</f>
        <v>Cade Otton</v>
      </c>
      <c r="E275" s="40" t="str">
        <f>Fantasypro!D273</f>
        <v>TB</v>
      </c>
      <c r="F275" t="str">
        <f>Fantasypro!K273</f>
        <v>TE</v>
      </c>
      <c r="G275" s="39">
        <f>Fantasypro!H273</f>
        <v>268</v>
      </c>
      <c r="H275" s="39">
        <f>Fantasypro!I273</f>
        <v>12.9</v>
      </c>
      <c r="I275" s="50"/>
    </row>
    <row r="276" spans="3:9" ht="13">
      <c r="C276" t="str">
        <f>IF(COUNTIF(Keeper!B:B,D276)&gt;0,"x","")</f>
        <v/>
      </c>
      <c r="D276" s="40" t="str">
        <f>Fantasypro!C274</f>
        <v>Adam Randall</v>
      </c>
      <c r="E276" s="40" t="str">
        <f>Fantasypro!D274</f>
        <v>FA</v>
      </c>
      <c r="F276" t="str">
        <f>Fantasypro!K274</f>
        <v>RB</v>
      </c>
      <c r="G276" s="39">
        <f>Fantasypro!H274</f>
        <v>268</v>
      </c>
      <c r="H276" s="39">
        <f>Fantasypro!I274</f>
        <v>32.1</v>
      </c>
      <c r="I276" s="50"/>
    </row>
    <row r="277" spans="3:9" ht="13">
      <c r="C277" t="str">
        <f>IF(COUNTIF(Keeper!B:B,D277)&gt;0,"x","")</f>
        <v/>
      </c>
      <c r="D277" s="40" t="str">
        <f>Fantasypro!C275</f>
        <v>Brashard Smith</v>
      </c>
      <c r="E277" s="40" t="str">
        <f>Fantasypro!D275</f>
        <v>KC</v>
      </c>
      <c r="F277" t="str">
        <f>Fantasypro!K275</f>
        <v>RB</v>
      </c>
      <c r="G277" s="39">
        <f>Fantasypro!H275</f>
        <v>268</v>
      </c>
      <c r="H277" s="39">
        <f>Fantasypro!I275</f>
        <v>12.8</v>
      </c>
      <c r="I277" s="50"/>
    </row>
    <row r="278" spans="3:9" ht="13">
      <c r="C278" t="str">
        <f>IF(COUNTIF(Keeper!B:B,D278)&gt;0,"x","")</f>
        <v/>
      </c>
      <c r="D278" s="40" t="str">
        <f>Fantasypro!C276</f>
        <v>DJ Giddens</v>
      </c>
      <c r="E278" s="40" t="str">
        <f>Fantasypro!D276</f>
        <v>IND</v>
      </c>
      <c r="F278" t="str">
        <f>Fantasypro!K276</f>
        <v>RB</v>
      </c>
      <c r="G278" s="39">
        <f>Fantasypro!H276</f>
        <v>261</v>
      </c>
      <c r="H278" s="39">
        <f>Fantasypro!I276</f>
        <v>26.9</v>
      </c>
      <c r="I278" s="50"/>
    </row>
    <row r="279" spans="3:9" ht="13">
      <c r="C279" t="str">
        <f>IF(COUNTIF(Keeper!B:B,D279)&gt;0,"x","")</f>
        <v/>
      </c>
      <c r="D279" s="40" t="str">
        <f>Fantasypro!C277</f>
        <v>Isaiah Bond</v>
      </c>
      <c r="E279" s="40" t="str">
        <f>Fantasypro!D277</f>
        <v>CLE</v>
      </c>
      <c r="F279" t="str">
        <f>Fantasypro!K277</f>
        <v>WR</v>
      </c>
      <c r="G279" s="39">
        <f>Fantasypro!H277</f>
        <v>261</v>
      </c>
      <c r="H279" s="39">
        <f>Fantasypro!I277</f>
        <v>22.4</v>
      </c>
      <c r="I279" s="50"/>
    </row>
    <row r="280" spans="3:9" ht="13">
      <c r="C280" t="str">
        <f>IF(COUNTIF(Keeper!B:B,D280)&gt;0,"x","")</f>
        <v/>
      </c>
      <c r="D280" s="40" t="str">
        <f>Fantasypro!C278</f>
        <v>Malik Davis</v>
      </c>
      <c r="E280" s="40" t="str">
        <f>Fantasypro!D278</f>
        <v>DAL</v>
      </c>
      <c r="F280" t="str">
        <f>Fantasypro!K278</f>
        <v>RB</v>
      </c>
      <c r="G280" s="39">
        <f>Fantasypro!H278</f>
        <v>261</v>
      </c>
      <c r="H280" s="39">
        <f>Fantasypro!I278</f>
        <v>20.9</v>
      </c>
      <c r="I280" s="50"/>
    </row>
    <row r="281" spans="3:9" ht="13">
      <c r="C281" t="str">
        <f>IF(COUNTIF(Keeper!B:B,D281)&gt;0,"x","")</f>
        <v/>
      </c>
      <c r="D281" s="40" t="str">
        <f>Fantasypro!C279</f>
        <v>J.J. McCarthy</v>
      </c>
      <c r="E281" s="40" t="str">
        <f>Fantasypro!D279</f>
        <v>MIN</v>
      </c>
      <c r="F281" t="str">
        <f>Fantasypro!K279</f>
        <v>QB</v>
      </c>
      <c r="G281" s="39">
        <f>Fantasypro!H279</f>
        <v>271</v>
      </c>
      <c r="H281" s="39">
        <f>Fantasypro!I279</f>
        <v>68</v>
      </c>
      <c r="I281" s="50"/>
    </row>
    <row r="282" spans="3:9" ht="13">
      <c r="C282" t="str">
        <f>IF(COUNTIF(Keeper!B:B,D282)&gt;0,"x","")</f>
        <v/>
      </c>
      <c r="D282" s="40" t="str">
        <f>Fantasypro!C280</f>
        <v>Jalen Nailor</v>
      </c>
      <c r="E282" s="40" t="str">
        <f>Fantasypro!D280</f>
        <v>LV</v>
      </c>
      <c r="F282" t="str">
        <f>Fantasypro!K280</f>
        <v>WR</v>
      </c>
      <c r="G282" s="39">
        <f>Fantasypro!H280</f>
        <v>253</v>
      </c>
      <c r="H282" s="39">
        <f>Fantasypro!I280</f>
        <v>50</v>
      </c>
      <c r="I282" s="50"/>
    </row>
    <row r="283" spans="3:9" ht="13">
      <c r="C283" t="str">
        <f>IF(COUNTIF(Keeper!B:B,D283)&gt;0,"x","")</f>
        <v/>
      </c>
      <c r="D283" s="40" t="str">
        <f>Fantasypro!C281</f>
        <v>Evan Engram</v>
      </c>
      <c r="E283" s="40" t="str">
        <f>Fantasypro!D281</f>
        <v>DEN</v>
      </c>
      <c r="F283" t="str">
        <f>Fantasypro!K281</f>
        <v>TE</v>
      </c>
      <c r="G283" s="39">
        <f>Fantasypro!H281</f>
        <v>277</v>
      </c>
      <c r="H283" s="39">
        <f>Fantasypro!I281</f>
        <v>9.8000000000000007</v>
      </c>
      <c r="I283" s="50"/>
    </row>
    <row r="284" spans="3:9" ht="13">
      <c r="C284" t="str">
        <f>IF(COUNTIF(Keeper!B:B,D284)&gt;0,"x","")</f>
        <v/>
      </c>
      <c r="D284" s="40" t="str">
        <f>Fantasypro!C282</f>
        <v>Tyquan Thornton</v>
      </c>
      <c r="E284" s="40" t="str">
        <f>Fantasypro!D282</f>
        <v>KC</v>
      </c>
      <c r="F284" t="str">
        <f>Fantasypro!K282</f>
        <v>WR</v>
      </c>
      <c r="G284" s="39">
        <f>Fantasypro!H282</f>
        <v>271</v>
      </c>
      <c r="H284" s="39">
        <f>Fantasypro!I282</f>
        <v>17</v>
      </c>
      <c r="I284" s="50"/>
    </row>
    <row r="285" spans="3:9" ht="13">
      <c r="C285" t="str">
        <f>IF(COUNTIF(Keeper!B:B,D285)&gt;0,"x","")</f>
        <v/>
      </c>
      <c r="D285" s="40" t="str">
        <f>Fantasypro!C283</f>
        <v>Shedeur Sanders</v>
      </c>
      <c r="E285" s="40" t="str">
        <f>Fantasypro!D283</f>
        <v>CLE</v>
      </c>
      <c r="F285" t="str">
        <f>Fantasypro!K283</f>
        <v>QB</v>
      </c>
      <c r="G285" s="39">
        <f>Fantasypro!H283</f>
        <v>280</v>
      </c>
      <c r="H285" s="39">
        <f>Fantasypro!I283</f>
        <v>26.6</v>
      </c>
      <c r="I285" s="50"/>
    </row>
    <row r="286" spans="3:9" ht="13">
      <c r="C286" t="str">
        <f>IF(COUNTIF(Keeper!B:B,D286)&gt;0,"x","")</f>
        <v/>
      </c>
      <c r="D286" s="40" t="str">
        <f>Fantasypro!C284</f>
        <v>MarShawn Lloyd</v>
      </c>
      <c r="E286" s="40" t="str">
        <f>Fantasypro!D284</f>
        <v>GB</v>
      </c>
      <c r="F286" t="str">
        <f>Fantasypro!K284</f>
        <v>RB</v>
      </c>
      <c r="G286" s="39">
        <f>Fantasypro!H284</f>
        <v>274</v>
      </c>
      <c r="H286" s="39">
        <f>Fantasypro!I284</f>
        <v>18.899999999999999</v>
      </c>
      <c r="I286" s="50"/>
    </row>
    <row r="287" spans="3:9" ht="13">
      <c r="C287" t="str">
        <f>IF(COUNTIF(Keeper!B:B,D287)&gt;0,"x","")</f>
        <v/>
      </c>
      <c r="D287" s="40" t="str">
        <f>Fantasypro!C285</f>
        <v>Wil Lutz</v>
      </c>
      <c r="E287" s="40" t="str">
        <f>Fantasypro!D285</f>
        <v>DEN</v>
      </c>
      <c r="F287" t="str">
        <f>Fantasypro!K285</f>
        <v>K1</v>
      </c>
      <c r="G287" s="39">
        <f>Fantasypro!H285</f>
        <v>281</v>
      </c>
      <c r="H287" s="39">
        <f>Fantasypro!I285</f>
        <v>26.8</v>
      </c>
      <c r="I287" s="50"/>
    </row>
    <row r="288" spans="3:9" ht="13">
      <c r="C288" t="str">
        <f>IF(COUNTIF(Keeper!B:B,D288)&gt;0,"x","")</f>
        <v/>
      </c>
      <c r="D288" s="40" t="str">
        <f>Fantasypro!C286</f>
        <v>Andrei Iosivas</v>
      </c>
      <c r="E288" s="40" t="str">
        <f>Fantasypro!D286</f>
        <v>CIN</v>
      </c>
      <c r="F288" t="str">
        <f>Fantasypro!K286</f>
        <v>WR</v>
      </c>
      <c r="G288" s="39">
        <f>Fantasypro!H286</f>
        <v>267</v>
      </c>
      <c r="H288" s="39">
        <f>Fantasypro!I286</f>
        <v>19.399999999999999</v>
      </c>
      <c r="I288" s="50"/>
    </row>
    <row r="289" spans="3:9" ht="13">
      <c r="C289" t="str">
        <f>IF(COUNTIF(Keeper!B:B,D289)&gt;0,"x","")</f>
        <v/>
      </c>
      <c r="D289" s="40" t="str">
        <f>Fantasypro!C287</f>
        <v>Jarquez Hunter</v>
      </c>
      <c r="E289" s="40" t="str">
        <f>Fantasypro!D287</f>
        <v>LAR</v>
      </c>
      <c r="F289" t="str">
        <f>Fantasypro!K287</f>
        <v>RB</v>
      </c>
      <c r="G289" s="39">
        <f>Fantasypro!H287</f>
        <v>279</v>
      </c>
      <c r="H289" s="39">
        <f>Fantasypro!I287</f>
        <v>22.2</v>
      </c>
      <c r="I289" s="50"/>
    </row>
    <row r="290" spans="3:9" ht="13">
      <c r="C290" t="str">
        <f>IF(COUNTIF(Keeper!B:B,D290)&gt;0,"x","")</f>
        <v/>
      </c>
      <c r="D290" s="40" t="str">
        <f>Fantasypro!C288</f>
        <v>Jack Bech</v>
      </c>
      <c r="E290" s="40" t="str">
        <f>Fantasypro!D288</f>
        <v>LV</v>
      </c>
      <c r="F290" t="str">
        <f>Fantasypro!K288</f>
        <v>WR</v>
      </c>
      <c r="G290" s="39">
        <f>Fantasypro!H288</f>
        <v>282</v>
      </c>
      <c r="H290" s="39">
        <f>Fantasypro!I288</f>
        <v>13.8</v>
      </c>
      <c r="I290" s="50"/>
    </row>
    <row r="291" spans="3:9" ht="13">
      <c r="C291" t="str">
        <f>IF(COUNTIF(Keeper!B:B,D291)&gt;0,"x","")</f>
        <v/>
      </c>
      <c r="D291" s="40" t="str">
        <f>Fantasypro!C289</f>
        <v>Hollywood Brown</v>
      </c>
      <c r="E291" s="40" t="str">
        <f>Fantasypro!D289</f>
        <v>PHI</v>
      </c>
      <c r="F291" t="str">
        <f>Fantasypro!K289</f>
        <v>WR</v>
      </c>
      <c r="G291" s="39">
        <f>Fantasypro!H289</f>
        <v>289</v>
      </c>
      <c r="H291" s="39">
        <f>Fantasypro!I289</f>
        <v>15.7</v>
      </c>
      <c r="I291" s="50"/>
    </row>
    <row r="292" spans="3:9" ht="13">
      <c r="C292" t="str">
        <f>IF(COUNTIF(Keeper!B:B,D292)&gt;0,"x","")</f>
        <v/>
      </c>
      <c r="D292" s="40" t="str">
        <f>Fantasypro!C290</f>
        <v>Mike Gesicki</v>
      </c>
      <c r="E292" s="40" t="str">
        <f>Fantasypro!D290</f>
        <v>CIN</v>
      </c>
      <c r="F292" t="str">
        <f>Fantasypro!K290</f>
        <v>TE</v>
      </c>
      <c r="G292" s="39">
        <f>Fantasypro!H290</f>
        <v>276</v>
      </c>
      <c r="H292" s="39">
        <f>Fantasypro!I290</f>
        <v>15.1</v>
      </c>
      <c r="I292" s="50"/>
    </row>
    <row r="293" spans="3:9" ht="13">
      <c r="C293" t="str">
        <f>IF(COUNTIF(Keeper!B:B,D293)&gt;0,"x","")</f>
        <v/>
      </c>
      <c r="D293" s="40" t="str">
        <f>Fantasypro!C291</f>
        <v>Cedric Tillman</v>
      </c>
      <c r="E293" s="40" t="str">
        <f>Fantasypro!D291</f>
        <v>CLE</v>
      </c>
      <c r="F293" t="str">
        <f>Fantasypro!K291</f>
        <v>WR</v>
      </c>
      <c r="G293" s="39">
        <f>Fantasypro!H291</f>
        <v>284</v>
      </c>
      <c r="H293" s="39">
        <f>Fantasypro!I291</f>
        <v>9.9</v>
      </c>
      <c r="I293" s="50"/>
    </row>
    <row r="294" spans="3:9" ht="13">
      <c r="C294" t="str">
        <f>IF(COUNTIF(Keeper!B:B,D294)&gt;0,"x","")</f>
        <v/>
      </c>
      <c r="D294" s="40" t="str">
        <f>Fantasypro!C292</f>
        <v>LeQuint Allen Jr.</v>
      </c>
      <c r="E294" s="40" t="str">
        <f>Fantasypro!D292</f>
        <v>JAC</v>
      </c>
      <c r="F294" t="str">
        <f>Fantasypro!K292</f>
        <v>RB</v>
      </c>
      <c r="G294" s="39">
        <f>Fantasypro!H292</f>
        <v>290</v>
      </c>
      <c r="H294" s="39">
        <f>Fantasypro!I292</f>
        <v>16.7</v>
      </c>
      <c r="I294" s="50"/>
    </row>
    <row r="295" spans="3:9" ht="13">
      <c r="C295" t="str">
        <f>IF(COUNTIF(Keeper!B:B,D295)&gt;0,"x","")</f>
        <v/>
      </c>
      <c r="D295" s="40" t="str">
        <f>Fantasypro!C293</f>
        <v>Devin Singletary</v>
      </c>
      <c r="E295" s="40" t="str">
        <f>Fantasypro!D293</f>
        <v>NYG</v>
      </c>
      <c r="F295" t="str">
        <f>Fantasypro!K293</f>
        <v>RB</v>
      </c>
      <c r="G295" s="39">
        <f>Fantasypro!H293</f>
        <v>285</v>
      </c>
      <c r="H295" s="39">
        <f>Fantasypro!I293</f>
        <v>15</v>
      </c>
      <c r="I295" s="50"/>
    </row>
    <row r="296" spans="3:9" ht="13">
      <c r="C296" t="str">
        <f>IF(COUNTIF(Keeper!B:B,D296)&gt;0,"x","")</f>
        <v/>
      </c>
      <c r="D296" s="40" t="str">
        <f>Fantasypro!C294</f>
        <v>Christian Kirk</v>
      </c>
      <c r="E296" s="40" t="str">
        <f>Fantasypro!D294</f>
        <v>SF</v>
      </c>
      <c r="F296" t="str">
        <f>Fantasypro!K294</f>
        <v>WR</v>
      </c>
      <c r="G296" s="39">
        <f>Fantasypro!H294</f>
        <v>291</v>
      </c>
      <c r="H296" s="39">
        <f>Fantasypro!I294</f>
        <v>22.2</v>
      </c>
      <c r="I296" s="50"/>
    </row>
    <row r="297" spans="3:9" ht="13">
      <c r="C297" t="str">
        <f>IF(COUNTIF(Keeper!B:B,D297)&gt;0,"x","")</f>
        <v/>
      </c>
      <c r="D297" s="40" t="str">
        <f>Fantasypro!C295</f>
        <v>Malik Washington</v>
      </c>
      <c r="E297" s="40" t="str">
        <f>Fantasypro!D295</f>
        <v>MIA</v>
      </c>
      <c r="F297" t="str">
        <f>Fantasypro!K295</f>
        <v>WR</v>
      </c>
      <c r="G297" s="39">
        <f>Fantasypro!H295</f>
        <v>286</v>
      </c>
      <c r="H297" s="39">
        <f>Fantasypro!I295</f>
        <v>26.1</v>
      </c>
      <c r="I297" s="50"/>
    </row>
    <row r="298" spans="3:9" ht="13">
      <c r="C298" t="str">
        <f>IF(COUNTIF(Keeper!B:B,D298)&gt;0,"x","")</f>
        <v/>
      </c>
      <c r="D298" s="40" t="str">
        <f>Fantasypro!C296</f>
        <v>Indianapolis Colts</v>
      </c>
      <c r="E298" s="40" t="str">
        <f>Fantasypro!D296</f>
        <v>IND</v>
      </c>
      <c r="F298" t="str">
        <f>Fantasypro!K296</f>
        <v>DS</v>
      </c>
      <c r="G298" s="39">
        <f>Fantasypro!H296</f>
        <v>289</v>
      </c>
      <c r="H298" s="39">
        <f>Fantasypro!I296</f>
        <v>18.399999999999999</v>
      </c>
      <c r="I298" s="50"/>
    </row>
    <row r="299" spans="3:9" ht="13">
      <c r="C299" t="str">
        <f>IF(COUNTIF(Keeper!B:B,D299)&gt;0,"x","")</f>
        <v/>
      </c>
      <c r="D299" s="40" t="str">
        <f>Fantasypro!C297</f>
        <v>Geno Smith</v>
      </c>
      <c r="E299" s="40" t="str">
        <f>Fantasypro!D297</f>
        <v>NYJ</v>
      </c>
      <c r="F299" t="str">
        <f>Fantasypro!K297</f>
        <v>QB</v>
      </c>
      <c r="G299" s="39">
        <f>Fantasypro!H297</f>
        <v>290</v>
      </c>
      <c r="H299" s="39">
        <f>Fantasypro!I297</f>
        <v>29</v>
      </c>
      <c r="I299" s="50"/>
    </row>
    <row r="300" spans="3:9" ht="13">
      <c r="C300" t="str">
        <f>IF(COUNTIF(Keeper!B:B,D300)&gt;0,"x","")</f>
        <v/>
      </c>
      <c r="D300" s="40" t="str">
        <f>Fantasypro!C298</f>
        <v>Justice Hill</v>
      </c>
      <c r="E300" s="40" t="str">
        <f>Fantasypro!D298</f>
        <v>BAL</v>
      </c>
      <c r="F300" t="str">
        <f>Fantasypro!K298</f>
        <v>RB</v>
      </c>
      <c r="G300" s="39">
        <f>Fantasypro!H298</f>
        <v>290</v>
      </c>
      <c r="H300" s="39">
        <f>Fantasypro!I298</f>
        <v>21.8</v>
      </c>
      <c r="I300" s="50"/>
    </row>
    <row r="301" spans="3:9" ht="13">
      <c r="C301" t="str">
        <f>IF(COUNTIF(Keeper!B:B,D301)&gt;0,"x","")</f>
        <v/>
      </c>
      <c r="D301" s="40" t="str">
        <f>Fantasypro!C299</f>
        <v>Chris Bell</v>
      </c>
      <c r="E301" s="40" t="str">
        <f>Fantasypro!D299</f>
        <v>FA</v>
      </c>
      <c r="F301" t="str">
        <f>Fantasypro!K299</f>
        <v>WR</v>
      </c>
      <c r="G301" s="39">
        <f>Fantasypro!H299</f>
        <v>296</v>
      </c>
      <c r="H301" s="39">
        <f>Fantasypro!I299</f>
        <v>37</v>
      </c>
      <c r="I301" s="50"/>
    </row>
    <row r="302" spans="3:9" ht="13">
      <c r="C302" t="str">
        <f>IF(COUNTIF(Keeper!B:B,D302)&gt;0,"x","")</f>
        <v/>
      </c>
      <c r="D302" s="40" t="str">
        <f>Fantasypro!C300</f>
        <v>Samaje Perine</v>
      </c>
      <c r="E302" s="40" t="str">
        <f>Fantasypro!D300</f>
        <v>CIN</v>
      </c>
      <c r="F302" t="str">
        <f>Fantasypro!K300</f>
        <v>RB</v>
      </c>
      <c r="G302" s="39">
        <f>Fantasypro!H300</f>
        <v>296</v>
      </c>
      <c r="H302" s="39">
        <f>Fantasypro!I300</f>
        <v>24.5</v>
      </c>
      <c r="I302" s="50"/>
    </row>
    <row r="303" spans="3:9" ht="13">
      <c r="C303" t="str">
        <f>IF(COUNTIF(Keeper!B:B,D303)&gt;0,"x","")</f>
        <v/>
      </c>
      <c r="D303" s="40" t="str">
        <f>Fantasypro!C301</f>
        <v>Tua Tagovailoa</v>
      </c>
      <c r="E303" s="40" t="str">
        <f>Fantasypro!D301</f>
        <v>ATL</v>
      </c>
      <c r="F303" t="str">
        <f>Fantasypro!K301</f>
        <v>QB</v>
      </c>
      <c r="G303" s="39">
        <f>Fantasypro!H301</f>
        <v>297</v>
      </c>
      <c r="H303" s="39">
        <f>Fantasypro!I301</f>
        <v>12.6</v>
      </c>
      <c r="I303" s="50"/>
    </row>
    <row r="304" spans="3:9" ht="13">
      <c r="C304" t="str">
        <f>IF(COUNTIF(Keeper!B:B,D304)&gt;0,"x","")</f>
        <v/>
      </c>
      <c r="D304" s="40" t="str">
        <f>Fantasypro!C302</f>
        <v>Luke McCaffrey</v>
      </c>
      <c r="E304" s="40" t="str">
        <f>Fantasypro!D302</f>
        <v>WAS</v>
      </c>
      <c r="F304" t="str">
        <f>Fantasypro!K302</f>
        <v>WR</v>
      </c>
      <c r="G304" s="39">
        <f>Fantasypro!H302</f>
        <v>285</v>
      </c>
      <c r="H304" s="39">
        <f>Fantasypro!I302</f>
        <v>24.2</v>
      </c>
      <c r="I304" s="50"/>
    </row>
    <row r="305" spans="3:9" ht="13">
      <c r="C305" t="str">
        <f>IF(COUNTIF(Keeper!B:B,D305)&gt;0,"x","")</f>
        <v/>
      </c>
      <c r="D305" s="40" t="str">
        <f>Fantasypro!C303</f>
        <v>Calvin Austin III</v>
      </c>
      <c r="E305" s="40" t="str">
        <f>Fantasypro!D303</f>
        <v>NYG</v>
      </c>
      <c r="F305" t="str">
        <f>Fantasypro!K303</f>
        <v>WR</v>
      </c>
      <c r="G305" s="39">
        <f>Fantasypro!H303</f>
        <v>286</v>
      </c>
      <c r="H305" s="39">
        <f>Fantasypro!I303</f>
        <v>17.600000000000001</v>
      </c>
      <c r="I305" s="50"/>
    </row>
    <row r="306" spans="3:9" ht="13">
      <c r="C306" t="str">
        <f>IF(COUNTIF(Keeper!B:B,D306)&gt;0,"x","")</f>
        <v/>
      </c>
      <c r="D306" s="40" t="str">
        <f>Fantasypro!C304</f>
        <v>Chris Brooks</v>
      </c>
      <c r="E306" s="40" t="str">
        <f>Fantasypro!D304</f>
        <v>GB</v>
      </c>
      <c r="F306" t="str">
        <f>Fantasypro!K304</f>
        <v>RB</v>
      </c>
      <c r="G306" s="39">
        <f>Fantasypro!H304</f>
        <v>298</v>
      </c>
      <c r="H306" s="39">
        <f>Fantasypro!I304</f>
        <v>20.100000000000001</v>
      </c>
      <c r="I306" s="50"/>
    </row>
    <row r="307" spans="3:9" ht="13">
      <c r="C307" t="str">
        <f>IF(COUNTIF(Keeper!B:B,D307)&gt;0,"x","")</f>
        <v/>
      </c>
      <c r="D307" s="40" t="str">
        <f>Fantasypro!C305</f>
        <v>Konata Mumpfield</v>
      </c>
      <c r="E307" s="40" t="str">
        <f>Fantasypro!D305</f>
        <v>LAR</v>
      </c>
      <c r="F307" t="str">
        <f>Fantasypro!K305</f>
        <v>WR</v>
      </c>
      <c r="G307" s="39">
        <f>Fantasypro!H305</f>
        <v>279</v>
      </c>
      <c r="H307" s="39">
        <f>Fantasypro!I305</f>
        <v>17.3</v>
      </c>
      <c r="I307" s="50"/>
    </row>
    <row r="308" spans="3:9" ht="13">
      <c r="C308" t="str">
        <f>IF(COUNTIF(Keeper!B:B,D308)&gt;0,"x","")</f>
        <v/>
      </c>
      <c r="D308" s="40" t="str">
        <f>Fantasypro!C306</f>
        <v>Jordan James</v>
      </c>
      <c r="E308" s="40" t="str">
        <f>Fantasypro!D306</f>
        <v>SF</v>
      </c>
      <c r="F308" t="str">
        <f>Fantasypro!K306</f>
        <v>RB</v>
      </c>
      <c r="G308" s="39">
        <f>Fantasypro!H306</f>
        <v>291</v>
      </c>
      <c r="H308" s="39">
        <f>Fantasypro!I306</f>
        <v>56.9</v>
      </c>
      <c r="I308" s="50"/>
    </row>
    <row r="309" spans="3:9" ht="13">
      <c r="C309" t="str">
        <f>IF(COUNTIF(Keeper!B:B,D309)&gt;0,"x","")</f>
        <v/>
      </c>
      <c r="D309" s="40" t="str">
        <f>Fantasypro!C307</f>
        <v>Audric Estime</v>
      </c>
      <c r="E309" s="40" t="str">
        <f>Fantasypro!D307</f>
        <v>NO</v>
      </c>
      <c r="F309" t="str">
        <f>Fantasypro!K307</f>
        <v>RB</v>
      </c>
      <c r="G309" s="39">
        <f>Fantasypro!H307</f>
        <v>285</v>
      </c>
      <c r="H309" s="39">
        <f>Fantasypro!I307</f>
        <v>13.4</v>
      </c>
      <c r="I309" s="50"/>
    </row>
    <row r="310" spans="3:9" ht="13">
      <c r="C310" t="str">
        <f>IF(COUNTIF(Keeper!B:B,D310)&gt;0,"x","")</f>
        <v/>
      </c>
      <c r="D310" s="40" t="str">
        <f>Fantasypro!C308</f>
        <v>Jerome Ford</v>
      </c>
      <c r="E310" s="40" t="str">
        <f>Fantasypro!D308</f>
        <v>WAS</v>
      </c>
      <c r="F310" t="str">
        <f>Fantasypro!K308</f>
        <v>RB</v>
      </c>
      <c r="G310" s="39">
        <f>Fantasypro!H308</f>
        <v>302</v>
      </c>
      <c r="H310" s="39">
        <f>Fantasypro!I308</f>
        <v>14.2</v>
      </c>
      <c r="I310" s="50"/>
    </row>
    <row r="311" spans="3:9" ht="13">
      <c r="C311" t="str">
        <f>IF(COUNTIF(Keeper!B:B,D311)&gt;0,"x","")</f>
        <v/>
      </c>
      <c r="D311" s="40" t="str">
        <f>Fantasypro!C309</f>
        <v>New Orleans Saints</v>
      </c>
      <c r="E311" s="40" t="str">
        <f>Fantasypro!D309</f>
        <v>NO</v>
      </c>
      <c r="F311" t="str">
        <f>Fantasypro!K309</f>
        <v>DS</v>
      </c>
      <c r="G311" s="39">
        <f>Fantasypro!H309</f>
        <v>274</v>
      </c>
      <c r="H311" s="39">
        <f>Fantasypro!I309</f>
        <v>19.3</v>
      </c>
      <c r="I311" s="50"/>
    </row>
    <row r="312" spans="3:9" ht="13">
      <c r="C312" t="str">
        <f>IF(COUNTIF(Keeper!B:B,D312)&gt;0,"x","")</f>
        <v/>
      </c>
      <c r="D312" s="40" t="str">
        <f>Fantasypro!C310</f>
        <v>Kareem Hunt</v>
      </c>
      <c r="E312" s="40" t="str">
        <f>Fantasypro!D310</f>
        <v>FA</v>
      </c>
      <c r="F312" t="str">
        <f>Fantasypro!K310</f>
        <v>RB</v>
      </c>
      <c r="G312" s="39">
        <f>Fantasypro!H310</f>
        <v>298</v>
      </c>
      <c r="H312" s="39">
        <f>Fantasypro!I310</f>
        <v>17.8</v>
      </c>
      <c r="I312" s="50"/>
    </row>
    <row r="313" spans="3:9" ht="13">
      <c r="C313" t="str">
        <f>IF(COUNTIF(Keeper!B:B,D313)&gt;0,"x","")</f>
        <v/>
      </c>
      <c r="D313" s="40" t="str">
        <f>Fantasypro!C311</f>
        <v>San Francisco 49ers</v>
      </c>
      <c r="E313" s="40" t="str">
        <f>Fantasypro!D311</f>
        <v>SF</v>
      </c>
      <c r="F313" t="str">
        <f>Fantasypro!K311</f>
        <v>DS</v>
      </c>
      <c r="G313" s="39">
        <f>Fantasypro!H311</f>
        <v>265</v>
      </c>
      <c r="H313" s="39">
        <f>Fantasypro!I311</f>
        <v>21.6</v>
      </c>
      <c r="I313" s="50"/>
    </row>
    <row r="314" spans="3:9" ht="13">
      <c r="C314" t="str">
        <f>IF(COUNTIF(Keeper!B:B,D314)&gt;0,"x","")</f>
        <v/>
      </c>
      <c r="D314" s="40" t="str">
        <f>Fantasypro!C312</f>
        <v>Trevor Etienne</v>
      </c>
      <c r="E314" s="40" t="str">
        <f>Fantasypro!D312</f>
        <v>CAR</v>
      </c>
      <c r="F314" t="str">
        <f>Fantasypro!K312</f>
        <v>RB</v>
      </c>
      <c r="G314" s="39">
        <f>Fantasypro!H312</f>
        <v>299</v>
      </c>
      <c r="H314" s="39">
        <f>Fantasypro!I312</f>
        <v>13.4</v>
      </c>
      <c r="I314" s="50"/>
    </row>
    <row r="315" spans="3:9" ht="13">
      <c r="C315" t="str">
        <f>IF(COUNTIF(Keeper!B:B,D315)&gt;0,"x","")</f>
        <v/>
      </c>
      <c r="D315" s="40" t="str">
        <f>Fantasypro!C313</f>
        <v>Emari Demercado</v>
      </c>
      <c r="E315" s="40" t="str">
        <f>Fantasypro!D313</f>
        <v>KC</v>
      </c>
      <c r="F315" t="str">
        <f>Fantasypro!K313</f>
        <v>RB</v>
      </c>
      <c r="G315" s="39">
        <f>Fantasypro!H313</f>
        <v>299</v>
      </c>
      <c r="H315" s="39">
        <f>Fantasypro!I313</f>
        <v>10.8</v>
      </c>
      <c r="I315" s="50"/>
    </row>
    <row r="316" spans="3:9" ht="13">
      <c r="C316" t="str">
        <f>IF(COUNTIF(Keeper!B:B,D316)&gt;0,"x","")</f>
        <v/>
      </c>
      <c r="D316" s="40" t="str">
        <f>Fantasypro!C314</f>
        <v>Aaron Rodgers</v>
      </c>
      <c r="E316" s="40" t="str">
        <f>Fantasypro!D314</f>
        <v>FA</v>
      </c>
      <c r="F316" t="str">
        <f>Fantasypro!K314</f>
        <v>QB</v>
      </c>
      <c r="G316" s="39">
        <f>Fantasypro!H314</f>
        <v>280</v>
      </c>
      <c r="H316" s="39">
        <f>Fantasypro!I314</f>
        <v>28.1</v>
      </c>
      <c r="I316" s="50"/>
    </row>
    <row r="317" spans="3:9" ht="13">
      <c r="C317" t="str">
        <f>IF(COUNTIF(Keeper!B:B,D317)&gt;0,"x","")</f>
        <v/>
      </c>
      <c r="D317" s="40" t="str">
        <f>Fantasypro!C315</f>
        <v>Tahj Brooks</v>
      </c>
      <c r="E317" s="40" t="str">
        <f>Fantasypro!D315</f>
        <v>CIN</v>
      </c>
      <c r="F317" t="str">
        <f>Fantasypro!K315</f>
        <v>RB</v>
      </c>
      <c r="G317" s="39">
        <f>Fantasypro!H315</f>
        <v>307</v>
      </c>
      <c r="H317" s="39">
        <f>Fantasypro!I315</f>
        <v>11.3</v>
      </c>
      <c r="I317" s="50"/>
    </row>
    <row r="318" spans="3:9" ht="13">
      <c r="C318" t="str">
        <f>IF(COUNTIF(Keeper!B:B,D318)&gt;0,"x","")</f>
        <v/>
      </c>
      <c r="D318" s="40" t="str">
        <f>Fantasypro!C316</f>
        <v>Bam Knight</v>
      </c>
      <c r="E318" s="40" t="str">
        <f>Fantasypro!D316</f>
        <v>ARI</v>
      </c>
      <c r="F318" t="str">
        <f>Fantasypro!K316</f>
        <v>RB</v>
      </c>
      <c r="G318" s="39">
        <f>Fantasypro!H316</f>
        <v>290</v>
      </c>
      <c r="H318" s="39">
        <f>Fantasypro!I316</f>
        <v>35.1</v>
      </c>
      <c r="I318" s="50"/>
    </row>
    <row r="319" spans="3:9" ht="13">
      <c r="C319" t="str">
        <f>IF(COUNTIF(Keeper!B:B,D319)&gt;0,"x","")</f>
        <v/>
      </c>
      <c r="D319" s="40" t="str">
        <f>Fantasypro!C317</f>
        <v>Mac Jones</v>
      </c>
      <c r="E319" s="40" t="str">
        <f>Fantasypro!D317</f>
        <v>SF</v>
      </c>
      <c r="F319" t="str">
        <f>Fantasypro!K317</f>
        <v>QB</v>
      </c>
      <c r="G319" s="39">
        <f>Fantasypro!H317</f>
        <v>307</v>
      </c>
      <c r="H319" s="39">
        <f>Fantasypro!I317</f>
        <v>17.7</v>
      </c>
      <c r="I319" s="50"/>
    </row>
    <row r="320" spans="3:9" ht="13">
      <c r="C320" t="str">
        <f>IF(COUNTIF(Keeper!B:B,D320)&gt;0,"x","")</f>
        <v/>
      </c>
      <c r="D320" s="40" t="str">
        <f>Fantasypro!C318</f>
        <v>Tez Johnson</v>
      </c>
      <c r="E320" s="40" t="str">
        <f>Fantasypro!D318</f>
        <v>TB</v>
      </c>
      <c r="F320" t="str">
        <f>Fantasypro!K318</f>
        <v>WR</v>
      </c>
      <c r="G320" s="39">
        <f>Fantasypro!H318</f>
        <v>291</v>
      </c>
      <c r="H320" s="39">
        <f>Fantasypro!I318</f>
        <v>21.9</v>
      </c>
      <c r="I320" s="50"/>
    </row>
    <row r="321" spans="3:9" ht="13">
      <c r="C321" t="str">
        <f>IF(COUNTIF(Keeper!B:B,D321)&gt;0,"x","")</f>
        <v/>
      </c>
      <c r="D321" s="40" t="str">
        <f>Fantasypro!C319</f>
        <v>Ty Simpson</v>
      </c>
      <c r="E321" s="40" t="str">
        <f>Fantasypro!D319</f>
        <v>FA</v>
      </c>
      <c r="F321" t="str">
        <f>Fantasypro!K319</f>
        <v>QB</v>
      </c>
      <c r="G321" s="39">
        <f>Fantasypro!H319</f>
        <v>321</v>
      </c>
      <c r="H321" s="39">
        <f>Fantasypro!I319</f>
        <v>7.8</v>
      </c>
      <c r="I321" s="50"/>
    </row>
    <row r="322" spans="3:9" ht="13">
      <c r="C322" t="str">
        <f>IF(COUNTIF(Keeper!B:B,D322)&gt;0,"x","")</f>
        <v/>
      </c>
      <c r="D322" s="40" t="str">
        <f>Fantasypro!C320</f>
        <v>Nick Chubb</v>
      </c>
      <c r="E322" s="40" t="str">
        <f>Fantasypro!D320</f>
        <v>FA</v>
      </c>
      <c r="F322" t="str">
        <f>Fantasypro!K320</f>
        <v>RB</v>
      </c>
      <c r="G322" s="39">
        <f>Fantasypro!H320</f>
        <v>310</v>
      </c>
      <c r="H322" s="39">
        <f>Fantasypro!I320</f>
        <v>11.3</v>
      </c>
      <c r="I322" s="50"/>
    </row>
    <row r="323" spans="3:9" ht="13">
      <c r="C323" t="str">
        <f>IF(COUNTIF(Keeper!B:B,D323)&gt;0,"x","")</f>
        <v/>
      </c>
      <c r="D323" s="40" t="str">
        <f>Fantasypro!C321</f>
        <v>Jake Tonges</v>
      </c>
      <c r="E323" s="40" t="str">
        <f>Fantasypro!D321</f>
        <v>SF</v>
      </c>
      <c r="F323" t="str">
        <f>Fantasypro!K321</f>
        <v>TE</v>
      </c>
      <c r="G323" s="39">
        <f>Fantasypro!H321</f>
        <v>271</v>
      </c>
      <c r="H323" s="39">
        <f>Fantasypro!I321</f>
        <v>33.9</v>
      </c>
      <c r="I323" s="50"/>
    </row>
    <row r="324" spans="3:9" ht="13">
      <c r="C324" t="str">
        <f>IF(COUNTIF(Keeper!B:B,D324)&gt;0,"x","")</f>
        <v/>
      </c>
      <c r="D324" s="40" t="str">
        <f>Fantasypro!C322</f>
        <v>Jalen Royals</v>
      </c>
      <c r="E324" s="40" t="str">
        <f>Fantasypro!D322</f>
        <v>KC</v>
      </c>
      <c r="F324" t="str">
        <f>Fantasypro!K322</f>
        <v>WR</v>
      </c>
      <c r="G324" s="39">
        <f>Fantasypro!H322</f>
        <v>304</v>
      </c>
      <c r="H324" s="39">
        <f>Fantasypro!I322</f>
        <v>5.8</v>
      </c>
      <c r="I324" s="50"/>
    </row>
    <row r="325" spans="3:9" ht="13">
      <c r="C325" t="str">
        <f>IF(COUNTIF(Keeper!B:B,D325)&gt;0,"x","")</f>
        <v/>
      </c>
      <c r="D325" s="40" t="str">
        <f>Fantasypro!C323</f>
        <v>Will Shipley</v>
      </c>
      <c r="E325" s="40" t="str">
        <f>Fantasypro!D323</f>
        <v>PHI</v>
      </c>
      <c r="F325" t="str">
        <f>Fantasypro!K323</f>
        <v>RB</v>
      </c>
      <c r="G325" s="39">
        <f>Fantasypro!H323</f>
        <v>321</v>
      </c>
      <c r="H325" s="39">
        <f>Fantasypro!I323</f>
        <v>11.6</v>
      </c>
      <c r="I325" s="50"/>
    </row>
    <row r="326" spans="3:9" ht="13">
      <c r="C326" t="str">
        <f>IF(COUNTIF(Keeper!B:B,D326)&gt;0,"x","")</f>
        <v/>
      </c>
      <c r="D326" s="40" t="str">
        <f>Fantasypro!C324</f>
        <v>Will Reichard</v>
      </c>
      <c r="E326" s="40" t="str">
        <f>Fantasypro!D324</f>
        <v>MIN</v>
      </c>
      <c r="F326" t="str">
        <f>Fantasypro!K324</f>
        <v>K1</v>
      </c>
      <c r="G326" s="39">
        <f>Fantasypro!H324</f>
        <v>289</v>
      </c>
      <c r="H326" s="39">
        <f>Fantasypro!I324</f>
        <v>20.2</v>
      </c>
      <c r="I326" s="50"/>
    </row>
    <row r="327" spans="3:9" ht="13">
      <c r="C327" t="str">
        <f>IF(COUNTIF(Keeper!B:B,D327)&gt;0,"x","")</f>
        <v/>
      </c>
      <c r="D327" s="40" t="str">
        <f>Fantasypro!C325</f>
        <v>Dont'e Thornton Jr.</v>
      </c>
      <c r="E327" s="40" t="str">
        <f>Fantasypro!D325</f>
        <v>LV</v>
      </c>
      <c r="F327" t="str">
        <f>Fantasypro!K325</f>
        <v>WR</v>
      </c>
      <c r="G327" s="39">
        <f>Fantasypro!H325</f>
        <v>299</v>
      </c>
      <c r="H327" s="39">
        <f>Fantasypro!I325</f>
        <v>24.8</v>
      </c>
      <c r="I327" s="50"/>
    </row>
    <row r="328" spans="3:9" ht="13">
      <c r="C328" t="str">
        <f>IF(COUNTIF(Keeper!B:B,D328)&gt;0,"x","")</f>
        <v/>
      </c>
      <c r="D328" s="40" t="str">
        <f>Fantasypro!C326</f>
        <v>Michael Carter</v>
      </c>
      <c r="E328" s="40" t="str">
        <f>Fantasypro!D326</f>
        <v>TEN</v>
      </c>
      <c r="F328" t="str">
        <f>Fantasypro!K326</f>
        <v>RB</v>
      </c>
      <c r="G328" s="39">
        <f>Fantasypro!H326</f>
        <v>314</v>
      </c>
      <c r="H328" s="39">
        <f>Fantasypro!I326</f>
        <v>6</v>
      </c>
      <c r="I328" s="50"/>
    </row>
    <row r="329" spans="3:9" ht="13">
      <c r="C329" t="str">
        <f>IF(COUNTIF(Keeper!B:B,D329)&gt;0,"x","")</f>
        <v/>
      </c>
      <c r="D329" s="40" t="str">
        <f>Fantasypro!C327</f>
        <v>Tommy Myers</v>
      </c>
      <c r="E329" s="40" t="str">
        <f>Fantasypro!D327</f>
        <v>FA</v>
      </c>
      <c r="F329" t="str">
        <f>Fantasypro!K327</f>
        <v>TE</v>
      </c>
      <c r="G329" s="39">
        <f>Fantasypro!H327</f>
        <v>232</v>
      </c>
      <c r="H329" s="39">
        <f>Fantasypro!I327</f>
        <v>40.299999999999997</v>
      </c>
      <c r="I329" s="50"/>
    </row>
    <row r="330" spans="3:9" ht="13">
      <c r="C330" t="str">
        <f>IF(COUNTIF(Keeper!B:B,D330)&gt;0,"x","")</f>
        <v/>
      </c>
      <c r="D330" s="40" t="str">
        <f>Fantasypro!C328</f>
        <v>Noah Gray</v>
      </c>
      <c r="E330" s="40" t="str">
        <f>Fantasypro!D328</f>
        <v>KC</v>
      </c>
      <c r="F330" t="str">
        <f>Fantasypro!K328</f>
        <v>TE</v>
      </c>
      <c r="G330" s="39">
        <f>Fantasypro!H328</f>
        <v>299</v>
      </c>
      <c r="H330" s="39">
        <f>Fantasypro!I328</f>
        <v>25</v>
      </c>
      <c r="I330" s="50"/>
    </row>
    <row r="331" spans="3:9" ht="13">
      <c r="C331" t="str">
        <f>IF(COUNTIF(Keeper!B:B,D331)&gt;0,"x","")</f>
        <v/>
      </c>
      <c r="D331" s="40" t="str">
        <f>Fantasypro!C329</f>
        <v>DeMario Douglas</v>
      </c>
      <c r="E331" s="40" t="str">
        <f>Fantasypro!D329</f>
        <v>NE</v>
      </c>
      <c r="F331" t="str">
        <f>Fantasypro!K329</f>
        <v>WR</v>
      </c>
      <c r="G331" s="39">
        <f>Fantasypro!H329</f>
        <v>302</v>
      </c>
      <c r="H331" s="39">
        <f>Fantasypro!I329</f>
        <v>27.8</v>
      </c>
      <c r="I331" s="50"/>
    </row>
    <row r="332" spans="3:9" ht="13">
      <c r="C332" t="str">
        <f>IF(COUNTIF(Keeper!B:B,D332)&gt;0,"x","")</f>
        <v/>
      </c>
      <c r="D332" s="40" t="str">
        <f>Fantasypro!C330</f>
        <v>Olamide Zaccheaus</v>
      </c>
      <c r="E332" s="40" t="str">
        <f>Fantasypro!D330</f>
        <v>ATL</v>
      </c>
      <c r="F332" t="str">
        <f>Fantasypro!K330</f>
        <v>WR</v>
      </c>
      <c r="G332" s="39">
        <f>Fantasypro!H330</f>
        <v>305</v>
      </c>
      <c r="H332" s="39">
        <f>Fantasypro!I330</f>
        <v>24.2</v>
      </c>
      <c r="I332" s="50"/>
    </row>
    <row r="333" spans="3:9" ht="13">
      <c r="C333" t="str">
        <f>IF(COUNTIF(Keeper!B:B,D333)&gt;0,"x","")</f>
        <v/>
      </c>
      <c r="D333" s="40" t="str">
        <f>Fantasypro!C331</f>
        <v>Anthony Richardson Sr.</v>
      </c>
      <c r="E333" s="40" t="str">
        <f>Fantasypro!D331</f>
        <v>IND</v>
      </c>
      <c r="F333" t="str">
        <f>Fantasypro!K331</f>
        <v>QB</v>
      </c>
      <c r="G333" s="39">
        <f>Fantasypro!H331</f>
        <v>326</v>
      </c>
      <c r="H333" s="39">
        <f>Fantasypro!I331</f>
        <v>19.5</v>
      </c>
      <c r="I333" s="50"/>
    </row>
    <row r="334" spans="3:9" ht="13">
      <c r="C334" t="str">
        <f>IF(COUNTIF(Keeper!B:B,D334)&gt;0,"x","")</f>
        <v/>
      </c>
      <c r="D334" s="40" t="str">
        <f>Fantasypro!C332</f>
        <v>Greg Dulcich</v>
      </c>
      <c r="E334" s="40" t="str">
        <f>Fantasypro!D332</f>
        <v>MIA</v>
      </c>
      <c r="F334" t="str">
        <f>Fantasypro!K332</f>
        <v>TE</v>
      </c>
      <c r="G334" s="39">
        <f>Fantasypro!H332</f>
        <v>250</v>
      </c>
      <c r="H334" s="39">
        <f>Fantasypro!I332</f>
        <v>42</v>
      </c>
      <c r="I334" s="50"/>
    </row>
    <row r="335" spans="3:9" ht="13">
      <c r="C335" t="str">
        <f>IF(COUNTIF(Keeper!B:B,D335)&gt;0,"x","")</f>
        <v/>
      </c>
      <c r="D335" s="40" t="str">
        <f>Fantasypro!C333</f>
        <v>Xavier Hutchinson</v>
      </c>
      <c r="E335" s="40" t="str">
        <f>Fantasypro!D333</f>
        <v>HOU</v>
      </c>
      <c r="F335" t="str">
        <f>Fantasypro!K333</f>
        <v>WR</v>
      </c>
      <c r="G335" s="39">
        <f>Fantasypro!H333</f>
        <v>306</v>
      </c>
      <c r="H335" s="39">
        <f>Fantasypro!I333</f>
        <v>20.3</v>
      </c>
      <c r="I335" s="50"/>
    </row>
    <row r="336" spans="3:9" ht="13">
      <c r="C336" t="str">
        <f>IF(COUNTIF(Keeper!B:B,D336)&gt;0,"x","")</f>
        <v/>
      </c>
      <c r="D336" s="40" t="str">
        <f>Fantasypro!C334</f>
        <v>Joshua Palmer</v>
      </c>
      <c r="E336" s="40" t="str">
        <f>Fantasypro!D334</f>
        <v>BUF</v>
      </c>
      <c r="F336" t="str">
        <f>Fantasypro!K334</f>
        <v>WR</v>
      </c>
      <c r="G336" s="39">
        <f>Fantasypro!H334</f>
        <v>308</v>
      </c>
      <c r="H336" s="39">
        <f>Fantasypro!I334</f>
        <v>21.2</v>
      </c>
      <c r="I336" s="50"/>
    </row>
    <row r="337" spans="3:9" ht="13">
      <c r="C337" t="str">
        <f>IF(COUNTIF(Keeper!B:B,D337)&gt;0,"x","")</f>
        <v/>
      </c>
      <c r="D337" s="40" t="str">
        <f>Fantasypro!C335</f>
        <v>Jaylin Lane</v>
      </c>
      <c r="E337" s="40" t="str">
        <f>Fantasypro!D335</f>
        <v>WAS</v>
      </c>
      <c r="F337" t="str">
        <f>Fantasypro!K335</f>
        <v>WR</v>
      </c>
      <c r="G337" s="39">
        <f>Fantasypro!H335</f>
        <v>297</v>
      </c>
      <c r="H337" s="39">
        <f>Fantasypro!I335</f>
        <v>10.4</v>
      </c>
      <c r="I337" s="50"/>
    </row>
    <row r="338" spans="3:9" ht="13">
      <c r="C338" t="str">
        <f>IF(COUNTIF(Keeper!B:B,D338)&gt;0,"x","")</f>
        <v/>
      </c>
      <c r="D338" s="40" t="str">
        <f>Fantasypro!C336</f>
        <v>John Metchie III</v>
      </c>
      <c r="E338" s="40" t="str">
        <f>Fantasypro!D336</f>
        <v>CAR</v>
      </c>
      <c r="F338" t="str">
        <f>Fantasypro!K336</f>
        <v>WR</v>
      </c>
      <c r="G338" s="39">
        <f>Fantasypro!H336</f>
        <v>312</v>
      </c>
      <c r="H338" s="39">
        <f>Fantasypro!I336</f>
        <v>25.3</v>
      </c>
      <c r="I338" s="50"/>
    </row>
    <row r="339" spans="3:9" ht="13">
      <c r="C339" t="str">
        <f>IF(COUNTIF(Keeper!B:B,D339)&gt;0,"x","")</f>
        <v/>
      </c>
      <c r="D339" s="40" t="str">
        <f>Fantasypro!C337</f>
        <v>Darren Waller</v>
      </c>
      <c r="E339" s="40" t="str">
        <f>Fantasypro!D337</f>
        <v>FA</v>
      </c>
      <c r="F339" t="str">
        <f>Fantasypro!K337</f>
        <v>TE</v>
      </c>
      <c r="G339" s="39">
        <f>Fantasypro!H337</f>
        <v>286</v>
      </c>
      <c r="H339" s="39">
        <f>Fantasypro!I337</f>
        <v>24.4</v>
      </c>
      <c r="I339" s="50"/>
    </row>
    <row r="340" spans="3:9" ht="13">
      <c r="C340" t="str">
        <f>IF(COUNTIF(Keeper!B:B,D340)&gt;0,"x","")</f>
        <v/>
      </c>
      <c r="D340" s="40" t="str">
        <f>Fantasypro!C338</f>
        <v>Austin Ekeler</v>
      </c>
      <c r="E340" s="40" t="str">
        <f>Fantasypro!D338</f>
        <v>FA</v>
      </c>
      <c r="F340" t="str">
        <f>Fantasypro!K338</f>
        <v>RB</v>
      </c>
      <c r="G340" s="39">
        <f>Fantasypro!H338</f>
        <v>321</v>
      </c>
      <c r="H340" s="39">
        <f>Fantasypro!I338</f>
        <v>14.6</v>
      </c>
      <c r="I340" s="50"/>
    </row>
    <row r="341" spans="3:9" ht="13">
      <c r="C341" t="str">
        <f>IF(COUNTIF(Keeper!B:B,D341)&gt;0,"x","")</f>
        <v/>
      </c>
      <c r="D341" s="40" t="str">
        <f>Fantasypro!C339</f>
        <v>Zane Gonzalez</v>
      </c>
      <c r="E341" s="40" t="str">
        <f>Fantasypro!D339</f>
        <v>MIA</v>
      </c>
      <c r="F341" t="str">
        <f>Fantasypro!K339</f>
        <v>K1</v>
      </c>
      <c r="G341" s="39">
        <f>Fantasypro!H339</f>
        <v>315</v>
      </c>
      <c r="H341" s="39">
        <f>Fantasypro!I339</f>
        <v>13.2</v>
      </c>
      <c r="I341" s="50"/>
    </row>
    <row r="342" spans="3:9" ht="13">
      <c r="C342" t="str">
        <f>IF(COUNTIF(Keeper!B:B,D342)&gt;0,"x","")</f>
        <v/>
      </c>
      <c r="D342" s="40" t="str">
        <f>Fantasypro!C340</f>
        <v>John Bates</v>
      </c>
      <c r="E342" s="40" t="str">
        <f>Fantasypro!D340</f>
        <v>WAS</v>
      </c>
      <c r="F342" t="str">
        <f>Fantasypro!K340</f>
        <v>TE</v>
      </c>
      <c r="G342" s="39">
        <f>Fantasypro!H340</f>
        <v>290</v>
      </c>
      <c r="H342" s="39">
        <f>Fantasypro!I340</f>
        <v>35.799999999999997</v>
      </c>
      <c r="I342" s="50"/>
    </row>
    <row r="343" spans="3:9" ht="13">
      <c r="C343" t="str">
        <f>IF(COUNTIF(Keeper!B:B,D343)&gt;0,"x","")</f>
        <v/>
      </c>
      <c r="D343" s="40" t="str">
        <f>Fantasypro!C341</f>
        <v>Elijah Arroyo</v>
      </c>
      <c r="E343" s="40" t="str">
        <f>Fantasypro!D341</f>
        <v>SEA</v>
      </c>
      <c r="F343" t="str">
        <f>Fantasypro!K341</f>
        <v>TE</v>
      </c>
      <c r="G343" s="39">
        <f>Fantasypro!H341</f>
        <v>292</v>
      </c>
      <c r="H343" s="39">
        <f>Fantasypro!I341</f>
        <v>22.2</v>
      </c>
      <c r="I343" s="50"/>
    </row>
    <row r="344" spans="3:9" ht="13">
      <c r="C344" t="str">
        <f>IF(COUNTIF(Keeper!B:B,D344)&gt;0,"x","")</f>
        <v/>
      </c>
      <c r="D344" s="40" t="str">
        <f>Fantasypro!C342</f>
        <v>Carolina Panthers</v>
      </c>
      <c r="E344" s="40" t="str">
        <f>Fantasypro!D342</f>
        <v>CAR</v>
      </c>
      <c r="F344" t="str">
        <f>Fantasypro!K342</f>
        <v>DS</v>
      </c>
      <c r="G344" s="39">
        <f>Fantasypro!H342</f>
        <v>306</v>
      </c>
      <c r="H344" s="39">
        <f>Fantasypro!I342</f>
        <v>20.100000000000001</v>
      </c>
      <c r="I344" s="50"/>
    </row>
    <row r="345" spans="3:9" ht="13">
      <c r="C345" t="str">
        <f>IF(COUNTIF(Keeper!B:B,D345)&gt;0,"x","")</f>
        <v/>
      </c>
      <c r="D345" s="40" t="str">
        <f>Fantasypro!C343</f>
        <v>Seth McGowan</v>
      </c>
      <c r="E345" s="40" t="str">
        <f>Fantasypro!D343</f>
        <v>FA</v>
      </c>
      <c r="F345" t="str">
        <f>Fantasypro!K343</f>
        <v>RB</v>
      </c>
      <c r="G345" s="39">
        <f>Fantasypro!H343</f>
        <v>271</v>
      </c>
      <c r="H345" s="39">
        <f>Fantasypro!I343</f>
        <v>27.2</v>
      </c>
      <c r="I345" s="50"/>
    </row>
    <row r="346" spans="3:9" ht="13">
      <c r="C346" t="str">
        <f>IF(COUNTIF(Keeper!B:B,D346)&gt;0,"x","")</f>
        <v/>
      </c>
      <c r="D346" s="40" t="str">
        <f>Fantasypro!C344</f>
        <v>Le'Veon Moss</v>
      </c>
      <c r="E346" s="40" t="str">
        <f>Fantasypro!D344</f>
        <v>FA</v>
      </c>
      <c r="F346" t="str">
        <f>Fantasypro!K344</f>
        <v>RB</v>
      </c>
      <c r="G346" s="39">
        <f>Fantasypro!H344</f>
        <v>249</v>
      </c>
      <c r="H346" s="39">
        <f>Fantasypro!I344</f>
        <v>31.4</v>
      </c>
      <c r="I346" s="50"/>
    </row>
    <row r="347" spans="3:9" ht="13">
      <c r="C347" t="str">
        <f>IF(COUNTIF(Keeper!B:B,D347)&gt;0,"x","")</f>
        <v/>
      </c>
      <c r="D347" s="40" t="str">
        <f>Fantasypro!C345</f>
        <v>J'Mari Taylor</v>
      </c>
      <c r="E347" s="40" t="str">
        <f>Fantasypro!D345</f>
        <v>FA</v>
      </c>
      <c r="F347" t="str">
        <f>Fantasypro!K345</f>
        <v>RB</v>
      </c>
      <c r="G347" s="39">
        <f>Fantasypro!H345</f>
        <v>253</v>
      </c>
      <c r="H347" s="39">
        <f>Fantasypro!I345</f>
        <v>52</v>
      </c>
      <c r="I347" s="50"/>
    </row>
    <row r="348" spans="3:9" ht="13">
      <c r="C348" t="str">
        <f>IF(COUNTIF(Keeper!B:B,D348)&gt;0,"x","")</f>
        <v/>
      </c>
      <c r="D348" s="40" t="str">
        <f>Fantasypro!C346</f>
        <v>Jahan Dotson</v>
      </c>
      <c r="E348" s="40" t="str">
        <f>Fantasypro!D346</f>
        <v>ATL</v>
      </c>
      <c r="F348" t="str">
        <f>Fantasypro!K346</f>
        <v>WR</v>
      </c>
      <c r="G348" s="39">
        <f>Fantasypro!H346</f>
        <v>253</v>
      </c>
      <c r="H348" s="39">
        <f>Fantasypro!I346</f>
        <v>74.3</v>
      </c>
      <c r="I348" s="50"/>
    </row>
    <row r="349" spans="3:9" ht="13">
      <c r="C349" t="str">
        <f>IF(COUNTIF(Keeper!B:B,D349)&gt;0,"x","")</f>
        <v/>
      </c>
      <c r="D349" s="40" t="str">
        <f>Fantasypro!C347</f>
        <v>Ben Sinnott</v>
      </c>
      <c r="E349" s="40" t="str">
        <f>Fantasypro!D347</f>
        <v>WAS</v>
      </c>
      <c r="F349" t="str">
        <f>Fantasypro!K347</f>
        <v>TE</v>
      </c>
      <c r="G349" s="39">
        <f>Fantasypro!H347</f>
        <v>305</v>
      </c>
      <c r="H349" s="39">
        <f>Fantasypro!I347</f>
        <v>39</v>
      </c>
      <c r="I349" s="50"/>
    </row>
    <row r="350" spans="3:9" ht="13">
      <c r="C350" t="str">
        <f>IF(COUNTIF(Keeper!B:B,D350)&gt;0,"x","")</f>
        <v/>
      </c>
      <c r="D350" s="40" t="str">
        <f>Fantasypro!C348</f>
        <v>Kirk Cousins</v>
      </c>
      <c r="E350" s="40" t="str">
        <f>Fantasypro!D348</f>
        <v>LV</v>
      </c>
      <c r="F350" t="str">
        <f>Fantasypro!K348</f>
        <v>QB</v>
      </c>
      <c r="G350" s="39">
        <f>Fantasypro!H348</f>
        <v>306</v>
      </c>
      <c r="H350" s="39">
        <f>Fantasypro!I348</f>
        <v>11.2</v>
      </c>
      <c r="I350" s="50"/>
    </row>
    <row r="351" spans="3:9" ht="13">
      <c r="C351" t="str">
        <f>IF(COUNTIF(Keeper!B:B,D351)&gt;0,"x","")</f>
        <v/>
      </c>
      <c r="D351" s="40" t="str">
        <f>Fantasypro!C349</f>
        <v>Deshaun Watson</v>
      </c>
      <c r="E351" s="40" t="str">
        <f>Fantasypro!D349</f>
        <v>CLE</v>
      </c>
      <c r="F351" t="str">
        <f>Fantasypro!K349</f>
        <v>QB</v>
      </c>
      <c r="G351" s="39">
        <f>Fantasypro!H349</f>
        <v>307</v>
      </c>
      <c r="H351" s="39">
        <f>Fantasypro!I349</f>
        <v>42.1</v>
      </c>
      <c r="I351" s="50"/>
    </row>
    <row r="352" spans="3:9" ht="13">
      <c r="C352" t="str">
        <f>IF(COUNTIF(Keeper!B:B,D352)&gt;0,"x","")</f>
        <v/>
      </c>
      <c r="D352" s="40" t="str">
        <f>Fantasypro!C350</f>
        <v>Joe Milton III</v>
      </c>
      <c r="E352" s="40" t="str">
        <f>Fantasypro!D350</f>
        <v>DAL</v>
      </c>
      <c r="F352" t="str">
        <f>Fantasypro!K350</f>
        <v>QB</v>
      </c>
      <c r="G352" s="39">
        <f>Fantasypro!H350</f>
        <v>313</v>
      </c>
      <c r="H352" s="39">
        <f>Fantasypro!I350</f>
        <v>2.9</v>
      </c>
      <c r="I352" s="50"/>
    </row>
    <row r="353" spans="3:9" ht="13">
      <c r="C353" t="str">
        <f>IF(COUNTIF(Keeper!B:B,D353)&gt;0,"x","")</f>
        <v/>
      </c>
      <c r="D353" s="40" t="str">
        <f>Fantasypro!C351</f>
        <v>Kalif Raymond</v>
      </c>
      <c r="E353" s="40" t="str">
        <f>Fantasypro!D351</f>
        <v>CHI</v>
      </c>
      <c r="F353" t="str">
        <f>Fantasypro!K351</f>
        <v>WR</v>
      </c>
      <c r="G353" s="39">
        <f>Fantasypro!H351</f>
        <v>302</v>
      </c>
      <c r="H353" s="39">
        <f>Fantasypro!I351</f>
        <v>47.6</v>
      </c>
      <c r="I353" s="50"/>
    </row>
    <row r="354" spans="3:9" ht="13">
      <c r="C354" t="str">
        <f>IF(COUNTIF(Keeper!B:B,D354)&gt;0,"x","")</f>
        <v/>
      </c>
      <c r="D354" s="40" t="str">
        <f>Fantasypro!C352</f>
        <v>Antonio Williams</v>
      </c>
      <c r="E354" s="40" t="str">
        <f>Fantasypro!D352</f>
        <v>FA</v>
      </c>
      <c r="F354" t="str">
        <f>Fantasypro!K352</f>
        <v>WR</v>
      </c>
      <c r="G354" s="39">
        <f>Fantasypro!H352</f>
        <v>231</v>
      </c>
      <c r="H354" s="39">
        <f>Fantasypro!I352</f>
        <v>37</v>
      </c>
      <c r="I354" s="50"/>
    </row>
    <row r="355" spans="3:9" ht="13">
      <c r="C355" t="str">
        <f>IF(COUNTIF(Keeper!B:B,D355)&gt;0,"x","")</f>
        <v/>
      </c>
      <c r="D355" s="40" t="str">
        <f>Fantasypro!C353</f>
        <v>Chicago Bears</v>
      </c>
      <c r="E355" s="40" t="str">
        <f>Fantasypro!D353</f>
        <v>CHI</v>
      </c>
      <c r="F355">
        <f>Fantasypro!K353</f>
        <v>0</v>
      </c>
      <c r="G355" s="39">
        <f>Fantasypro!H353</f>
        <v>232</v>
      </c>
      <c r="H355" s="39">
        <f>Fantasypro!I353</f>
        <v>46.5</v>
      </c>
      <c r="I355" s="50"/>
    </row>
    <row r="356" spans="3:9" ht="13">
      <c r="C356" t="str">
        <f>IF(COUNTIF(Keeper!B:B,D356)&gt;0,"x","")</f>
        <v/>
      </c>
      <c r="D356" s="40" t="str">
        <f>Fantasypro!C354</f>
        <v>Jawhar Jordan</v>
      </c>
      <c r="E356" s="40" t="str">
        <f>Fantasypro!D354</f>
        <v>HOU</v>
      </c>
      <c r="F356">
        <f>Fantasypro!K354</f>
        <v>0</v>
      </c>
      <c r="G356" s="39">
        <f>Fantasypro!H354</f>
        <v>321</v>
      </c>
      <c r="H356" s="39">
        <f>Fantasypro!I354</f>
        <v>5.5</v>
      </c>
      <c r="I356" s="50"/>
    </row>
    <row r="357" spans="3:9" ht="13">
      <c r="D357" s="40" t="str">
        <f>Fantasypro!C355</f>
        <v>Darnell Washington</v>
      </c>
      <c r="E357" s="40" t="str">
        <f>Fantasypro!D355</f>
        <v>PIT</v>
      </c>
      <c r="F357">
        <f>Fantasypro!K355</f>
        <v>0</v>
      </c>
      <c r="G357" s="39">
        <f>Fantasypro!H355</f>
        <v>306</v>
      </c>
      <c r="H357" s="39">
        <f>Fantasypro!I355</f>
        <v>35.6</v>
      </c>
      <c r="I357" s="50"/>
    </row>
    <row r="358" spans="3:9" ht="13">
      <c r="D358" s="40" t="str">
        <f>Fantasypro!C356</f>
        <v>Dameon Pierce</v>
      </c>
      <c r="E358" s="40" t="str">
        <f>Fantasypro!D356</f>
        <v>PHI</v>
      </c>
      <c r="F358">
        <f>Fantasypro!K356</f>
        <v>0</v>
      </c>
      <c r="G358" s="39">
        <f>Fantasypro!H356</f>
        <v>323</v>
      </c>
      <c r="H358" s="39">
        <f>Fantasypro!I356</f>
        <v>28.9</v>
      </c>
      <c r="I358" s="50"/>
    </row>
    <row r="359" spans="3:9" ht="13">
      <c r="D359" s="40" t="str">
        <f>Fantasypro!C357</f>
        <v>Raheim Sanders</v>
      </c>
      <c r="E359" s="40" t="str">
        <f>Fantasypro!D357</f>
        <v>CLE</v>
      </c>
      <c r="F359">
        <f>Fantasypro!K357</f>
        <v>0</v>
      </c>
      <c r="G359" s="39">
        <f>Fantasypro!H357</f>
        <v>325</v>
      </c>
      <c r="H359" s="39">
        <f>Fantasypro!I357</f>
        <v>19.399999999999999</v>
      </c>
      <c r="I359" s="50"/>
    </row>
    <row r="360" spans="3:9" ht="13">
      <c r="D360" s="40" t="str">
        <f>Fantasypro!C358</f>
        <v>Terrell Jennings</v>
      </c>
      <c r="E360" s="40" t="str">
        <f>Fantasypro!D358</f>
        <v>NE</v>
      </c>
      <c r="F360">
        <f>Fantasypro!K358</f>
        <v>0</v>
      </c>
      <c r="G360" s="39">
        <f>Fantasypro!H358</f>
        <v>326</v>
      </c>
      <c r="H360" s="39">
        <f>Fantasypro!I358</f>
        <v>28.7</v>
      </c>
      <c r="I360" s="50"/>
    </row>
    <row r="361" spans="3:9" ht="13">
      <c r="D361" s="40" t="str">
        <f>Fantasypro!C359</f>
        <v>Antonio Gibson</v>
      </c>
      <c r="E361" s="40" t="str">
        <f>Fantasypro!D359</f>
        <v>FA</v>
      </c>
      <c r="F361">
        <f>Fantasypro!K359</f>
        <v>0</v>
      </c>
      <c r="G361" s="39">
        <f>Fantasypro!H359</f>
        <v>328</v>
      </c>
      <c r="H361" s="39">
        <f>Fantasypro!I359</f>
        <v>29.9</v>
      </c>
      <c r="I361" s="50"/>
    </row>
    <row r="362" spans="3:9" ht="13">
      <c r="D362" s="40" t="str">
        <f>Fantasypro!C360</f>
        <v>Justin Fields</v>
      </c>
      <c r="E362" s="40" t="str">
        <f>Fantasypro!D360</f>
        <v>KC</v>
      </c>
      <c r="F362">
        <f>Fantasypro!K360</f>
        <v>0</v>
      </c>
      <c r="G362" s="39">
        <f>Fantasypro!H360</f>
        <v>328</v>
      </c>
      <c r="H362" s="39">
        <f>Fantasypro!I360</f>
        <v>16.2</v>
      </c>
      <c r="I362" s="50"/>
    </row>
    <row r="363" spans="3:9" ht="13">
      <c r="D363" s="40" t="str">
        <f>Fantasypro!C361</f>
        <v>Tutu Atwell</v>
      </c>
      <c r="E363" s="40" t="str">
        <f>Fantasypro!D361</f>
        <v>MIA</v>
      </c>
      <c r="F363">
        <f>Fantasypro!K361</f>
        <v>0</v>
      </c>
      <c r="G363" s="39">
        <f>Fantasypro!H361</f>
        <v>295</v>
      </c>
      <c r="H363" s="39">
        <f>Fantasypro!I361</f>
        <v>70.7</v>
      </c>
      <c r="I363" s="50"/>
    </row>
    <row r="364" spans="3:9" ht="13">
      <c r="D364" s="40" t="str">
        <f>Fantasypro!C362</f>
        <v>Miami Dolphins</v>
      </c>
      <c r="E364" s="40" t="str">
        <f>Fantasypro!D362</f>
        <v>MIA</v>
      </c>
      <c r="F364">
        <f>Fantasypro!K362</f>
        <v>0</v>
      </c>
      <c r="G364" s="39">
        <f>Fantasypro!H362</f>
        <v>329</v>
      </c>
      <c r="H364" s="39">
        <f>Fantasypro!I362</f>
        <v>13.7</v>
      </c>
      <c r="I364" s="50"/>
    </row>
    <row r="365" spans="3:9" ht="13">
      <c r="D365" s="40" t="str">
        <f>Fantasypro!C363</f>
        <v>Tyler Higbee</v>
      </c>
      <c r="E365" s="40" t="str">
        <f>Fantasypro!D363</f>
        <v>LAR</v>
      </c>
      <c r="F365">
        <f>Fantasypro!K363</f>
        <v>0</v>
      </c>
      <c r="G365" s="39">
        <f>Fantasypro!H363</f>
        <v>318</v>
      </c>
      <c r="H365" s="39">
        <f>Fantasypro!I363</f>
        <v>40.4</v>
      </c>
      <c r="I365" s="50"/>
    </row>
    <row r="366" spans="3:9" ht="13">
      <c r="D366" s="40" t="str">
        <f>Fantasypro!C364</f>
        <v>Michael Mayer</v>
      </c>
      <c r="E366" s="40" t="str">
        <f>Fantasypro!D364</f>
        <v>LV</v>
      </c>
      <c r="F366">
        <f>Fantasypro!K364</f>
        <v>0</v>
      </c>
      <c r="G366" s="39">
        <f>Fantasypro!H364</f>
        <v>325</v>
      </c>
      <c r="H366" s="39">
        <f>Fantasypro!I364</f>
        <v>36.1</v>
      </c>
      <c r="I366" s="50"/>
    </row>
    <row r="367" spans="3:9" ht="13">
      <c r="D367" s="40" t="str">
        <f>Fantasypro!C365</f>
        <v>Jalen Tolbert</v>
      </c>
      <c r="E367" s="40" t="str">
        <f>Fantasypro!D365</f>
        <v>MIA</v>
      </c>
      <c r="F367">
        <f>Fantasypro!K365</f>
        <v>0</v>
      </c>
      <c r="G367" s="39">
        <f>Fantasypro!H365</f>
        <v>273</v>
      </c>
      <c r="H367" s="39">
        <f>Fantasypro!I365</f>
        <v>46.5</v>
      </c>
      <c r="I367" s="50"/>
    </row>
    <row r="368" spans="3:9" ht="13">
      <c r="D368" s="40" t="str">
        <f>Fantasypro!C366</f>
        <v>Ted Hurst</v>
      </c>
      <c r="E368" s="40" t="str">
        <f>Fantasypro!D366</f>
        <v>FA</v>
      </c>
      <c r="F368">
        <f>Fantasypro!K366</f>
        <v>0</v>
      </c>
      <c r="G368" s="39">
        <f>Fantasypro!H366</f>
        <v>283</v>
      </c>
      <c r="H368" s="39">
        <f>Fantasypro!I366</f>
        <v>21.5</v>
      </c>
      <c r="I368" s="50"/>
    </row>
    <row r="369" spans="4:9" ht="13">
      <c r="D369" s="40" t="str">
        <f>Fantasypro!C367</f>
        <v>Skyler Bell</v>
      </c>
      <c r="E369" s="40" t="str">
        <f>Fantasypro!D367</f>
        <v>FA</v>
      </c>
      <c r="F369">
        <f>Fantasypro!K367</f>
        <v>0</v>
      </c>
      <c r="G369" s="39">
        <f>Fantasypro!H367</f>
        <v>287</v>
      </c>
      <c r="H369" s="39">
        <f>Fantasypro!I367</f>
        <v>24</v>
      </c>
      <c r="I369" s="50"/>
    </row>
    <row r="370" spans="4:9" ht="13">
      <c r="D370" s="40" t="str">
        <f>Fantasypro!C368</f>
        <v>Ja'Kobi Lane</v>
      </c>
      <c r="E370" s="40" t="str">
        <f>Fantasypro!D368</f>
        <v>FA</v>
      </c>
      <c r="F370">
        <f>Fantasypro!K368</f>
        <v>0</v>
      </c>
      <c r="G370" s="39">
        <f>Fantasypro!H368</f>
        <v>287</v>
      </c>
      <c r="H370" s="39">
        <f>Fantasypro!I368</f>
        <v>15</v>
      </c>
      <c r="I370" s="50"/>
    </row>
    <row r="371" spans="4:9" ht="13">
      <c r="D371" s="40" t="str">
        <f>Fantasypro!C369</f>
        <v>Marcus Mariota</v>
      </c>
      <c r="E371" s="40" t="str">
        <f>Fantasypro!D369</f>
        <v>WAS</v>
      </c>
      <c r="F371">
        <f>Fantasypro!K369</f>
        <v>0</v>
      </c>
      <c r="G371" s="39">
        <f>Fantasypro!H369</f>
        <v>334</v>
      </c>
      <c r="H371" s="39">
        <f>Fantasypro!I369</f>
        <v>42.3</v>
      </c>
      <c r="I371" s="50"/>
    </row>
    <row r="372" spans="4:9" ht="13">
      <c r="D372" s="40" t="str">
        <f>Fantasypro!C370</f>
        <v>Noah Fant</v>
      </c>
      <c r="E372" s="40" t="str">
        <f>Fantasypro!D370</f>
        <v>NO</v>
      </c>
      <c r="F372">
        <f>Fantasypro!K370</f>
        <v>0</v>
      </c>
      <c r="G372" s="39">
        <f>Fantasypro!H370</f>
        <v>316</v>
      </c>
      <c r="H372" s="39">
        <f>Fantasypro!I370</f>
        <v>3</v>
      </c>
      <c r="I372" s="50"/>
    </row>
    <row r="373" spans="4:9" ht="13">
      <c r="D373" s="40" t="str">
        <f>Fantasypro!C371</f>
        <v>Michael Trigg</v>
      </c>
      <c r="E373" s="40" t="str">
        <f>Fantasypro!D371</f>
        <v>FA</v>
      </c>
      <c r="F373">
        <f>Fantasypro!K371</f>
        <v>0</v>
      </c>
      <c r="G373" s="39">
        <f>Fantasypro!H371</f>
        <v>325</v>
      </c>
      <c r="H373" s="39">
        <f>Fantasypro!I371</f>
        <v>51.5</v>
      </c>
      <c r="I373" s="50"/>
    </row>
    <row r="374" spans="4:9" ht="13">
      <c r="D374" s="40" t="str">
        <f>Fantasypro!C372</f>
        <v>Dawson Knox</v>
      </c>
      <c r="E374" s="40" t="str">
        <f>Fantasypro!D372</f>
        <v>BUF</v>
      </c>
      <c r="F374">
        <f>Fantasypro!K372</f>
        <v>0</v>
      </c>
      <c r="G374" s="39">
        <f>Fantasypro!H372</f>
        <v>348</v>
      </c>
      <c r="H374" s="39">
        <f>Fantasypro!I372</f>
        <v>23.1</v>
      </c>
      <c r="I374" s="50"/>
    </row>
    <row r="375" spans="4:9" ht="13">
      <c r="D375" s="40" t="str">
        <f>Fantasypro!C373</f>
        <v>Joe Flacco</v>
      </c>
      <c r="E375" s="40" t="str">
        <f>Fantasypro!D373</f>
        <v>CIN</v>
      </c>
      <c r="F375">
        <f>Fantasypro!K373</f>
        <v>0</v>
      </c>
      <c r="G375" s="39">
        <f>Fantasypro!H373</f>
        <v>334</v>
      </c>
      <c r="H375" s="39">
        <f>Fantasypro!I373</f>
        <v>46</v>
      </c>
      <c r="I375" s="50"/>
    </row>
    <row r="376" spans="4:9" ht="13">
      <c r="D376" s="40" t="str">
        <f>Fantasypro!C374</f>
        <v>Luke Musgrave</v>
      </c>
      <c r="E376" s="40" t="str">
        <f>Fantasypro!D374</f>
        <v>GB</v>
      </c>
      <c r="F376">
        <f>Fantasypro!K374</f>
        <v>0</v>
      </c>
      <c r="G376" s="39">
        <f>Fantasypro!H374</f>
        <v>337</v>
      </c>
      <c r="H376" s="39">
        <f>Fantasypro!I374</f>
        <v>11</v>
      </c>
      <c r="I376" s="50"/>
    </row>
    <row r="377" spans="4:9" ht="13">
      <c r="I377" s="50"/>
    </row>
    <row r="378" spans="4:9" ht="13">
      <c r="I378" s="50"/>
    </row>
    <row r="379" spans="4:9" ht="13">
      <c r="I379" s="50"/>
    </row>
    <row r="380" spans="4:9" ht="13">
      <c r="I380" s="50"/>
    </row>
    <row r="381" spans="4:9" ht="13">
      <c r="I381" s="50"/>
    </row>
    <row r="382" spans="4:9" ht="13">
      <c r="I382" s="50"/>
    </row>
    <row r="383" spans="4:9" ht="13">
      <c r="I383" s="50"/>
    </row>
    <row r="384" spans="4:9" ht="13">
      <c r="I384" s="50"/>
    </row>
    <row r="385" spans="9:9" ht="13">
      <c r="I385" s="50"/>
    </row>
    <row r="386" spans="9:9" ht="13">
      <c r="I386" s="50"/>
    </row>
    <row r="387" spans="9:9" ht="13">
      <c r="I387" s="50"/>
    </row>
    <row r="388" spans="9:9" ht="13">
      <c r="I388" s="50"/>
    </row>
    <row r="389" spans="9:9" ht="13">
      <c r="I389" s="50"/>
    </row>
    <row r="390" spans="9:9" ht="13">
      <c r="I390" s="50"/>
    </row>
    <row r="391" spans="9:9" ht="13">
      <c r="I391" s="50"/>
    </row>
    <row r="392" spans="9:9" ht="13">
      <c r="I392" s="50"/>
    </row>
    <row r="393" spans="9:9" ht="13">
      <c r="I393" s="50"/>
    </row>
    <row r="394" spans="9:9" ht="13">
      <c r="I394" s="50"/>
    </row>
    <row r="395" spans="9:9" ht="13">
      <c r="I395" s="50"/>
    </row>
    <row r="396" spans="9:9" ht="13">
      <c r="I396" s="50"/>
    </row>
    <row r="397" spans="9:9" ht="13">
      <c r="I397" s="50"/>
    </row>
    <row r="398" spans="9:9" ht="13">
      <c r="I398" s="50"/>
    </row>
    <row r="399" spans="9:9" ht="13">
      <c r="I399" s="50"/>
    </row>
    <row r="400" spans="9:9" ht="13">
      <c r="I400" s="50"/>
    </row>
    <row r="401" spans="9:9" ht="13">
      <c r="I401" s="50"/>
    </row>
    <row r="402" spans="9:9" ht="13">
      <c r="I402" s="50"/>
    </row>
    <row r="403" spans="9:9" ht="13">
      <c r="I403" s="50"/>
    </row>
    <row r="404" spans="9:9" ht="13">
      <c r="I404" s="50"/>
    </row>
    <row r="405" spans="9:9" ht="13">
      <c r="I405" s="50"/>
    </row>
    <row r="406" spans="9:9" ht="13">
      <c r="I406" s="50"/>
    </row>
    <row r="407" spans="9:9" ht="13">
      <c r="I407" s="50"/>
    </row>
    <row r="408" spans="9:9" ht="13">
      <c r="I408" s="50"/>
    </row>
    <row r="409" spans="9:9" ht="13">
      <c r="I409" s="50"/>
    </row>
    <row r="410" spans="9:9" ht="13">
      <c r="I410" s="50"/>
    </row>
    <row r="411" spans="9:9" ht="13">
      <c r="I411" s="50"/>
    </row>
    <row r="412" spans="9:9" ht="13">
      <c r="I412" s="50"/>
    </row>
    <row r="413" spans="9:9" ht="13">
      <c r="I413" s="50"/>
    </row>
    <row r="414" spans="9:9" ht="13">
      <c r="I414" s="50"/>
    </row>
    <row r="415" spans="9:9" ht="13">
      <c r="I415" s="50"/>
    </row>
    <row r="416" spans="9:9" ht="13">
      <c r="I416" s="50"/>
    </row>
    <row r="417" spans="9:9" ht="13">
      <c r="I417" s="50"/>
    </row>
    <row r="418" spans="9:9" ht="13">
      <c r="I418" s="50"/>
    </row>
    <row r="419" spans="9:9" ht="13">
      <c r="I419" s="50"/>
    </row>
    <row r="420" spans="9:9" ht="13">
      <c r="I420" s="50"/>
    </row>
    <row r="421" spans="9:9" ht="13">
      <c r="I421" s="50"/>
    </row>
    <row r="422" spans="9:9" ht="13">
      <c r="I422" s="50"/>
    </row>
    <row r="423" spans="9:9" ht="13">
      <c r="I423" s="50"/>
    </row>
    <row r="424" spans="9:9" ht="13">
      <c r="I424" s="50"/>
    </row>
    <row r="425" spans="9:9" ht="13">
      <c r="I425" s="50"/>
    </row>
    <row r="426" spans="9:9" ht="13">
      <c r="I426" s="50"/>
    </row>
    <row r="427" spans="9:9" ht="13">
      <c r="I427" s="50"/>
    </row>
    <row r="428" spans="9:9" ht="13">
      <c r="I428" s="50"/>
    </row>
    <row r="429" spans="9:9" ht="13">
      <c r="I429" s="50"/>
    </row>
    <row r="430" spans="9:9" ht="13">
      <c r="I430" s="50"/>
    </row>
    <row r="431" spans="9:9" ht="13">
      <c r="I431" s="50"/>
    </row>
    <row r="432" spans="9:9" ht="13">
      <c r="I432" s="50"/>
    </row>
    <row r="433" spans="9:9" ht="13">
      <c r="I433" s="50"/>
    </row>
    <row r="434" spans="9:9" ht="13">
      <c r="I434" s="50"/>
    </row>
    <row r="435" spans="9:9" ht="13">
      <c r="I435" s="50"/>
    </row>
    <row r="436" spans="9:9" ht="13">
      <c r="I436" s="50"/>
    </row>
    <row r="437" spans="9:9" ht="13">
      <c r="I437" s="50"/>
    </row>
    <row r="438" spans="9:9" ht="13">
      <c r="I438" s="50"/>
    </row>
    <row r="439" spans="9:9" ht="13">
      <c r="I439" s="50"/>
    </row>
    <row r="440" spans="9:9" ht="13">
      <c r="I440" s="50"/>
    </row>
    <row r="441" spans="9:9" ht="13">
      <c r="I441" s="50"/>
    </row>
    <row r="442" spans="9:9" ht="13">
      <c r="I442" s="50"/>
    </row>
    <row r="443" spans="9:9" ht="13">
      <c r="I443" s="50"/>
    </row>
    <row r="444" spans="9:9" ht="13">
      <c r="I444" s="50"/>
    </row>
    <row r="445" spans="9:9" ht="13">
      <c r="I445" s="50"/>
    </row>
    <row r="446" spans="9:9" ht="13">
      <c r="I446" s="50"/>
    </row>
    <row r="447" spans="9:9" ht="13">
      <c r="I447" s="50"/>
    </row>
    <row r="448" spans="9:9" ht="13">
      <c r="I448" s="50"/>
    </row>
    <row r="449" spans="9:9" ht="13">
      <c r="I449" s="50"/>
    </row>
    <row r="450" spans="9:9" ht="13">
      <c r="I450" s="50"/>
    </row>
    <row r="451" spans="9:9" ht="13">
      <c r="I451" s="50"/>
    </row>
    <row r="452" spans="9:9" ht="13">
      <c r="I452" s="50"/>
    </row>
    <row r="453" spans="9:9" ht="13">
      <c r="I453" s="50"/>
    </row>
    <row r="454" spans="9:9" ht="13">
      <c r="I454" s="50"/>
    </row>
    <row r="455" spans="9:9" ht="13">
      <c r="I455" s="50"/>
    </row>
    <row r="456" spans="9:9" ht="13">
      <c r="I456" s="50"/>
    </row>
    <row r="457" spans="9:9" ht="13">
      <c r="I457" s="50"/>
    </row>
    <row r="458" spans="9:9" ht="13">
      <c r="I458" s="50"/>
    </row>
    <row r="459" spans="9:9" ht="13">
      <c r="I459" s="50"/>
    </row>
    <row r="460" spans="9:9" ht="13">
      <c r="I460" s="50"/>
    </row>
    <row r="461" spans="9:9" ht="13">
      <c r="I461" s="50"/>
    </row>
    <row r="462" spans="9:9" ht="13">
      <c r="I462" s="50"/>
    </row>
    <row r="463" spans="9:9" ht="13">
      <c r="I463" s="50"/>
    </row>
    <row r="464" spans="9:9" ht="13">
      <c r="I464" s="50"/>
    </row>
    <row r="465" spans="9:9" ht="13">
      <c r="I465" s="50"/>
    </row>
    <row r="466" spans="9:9" ht="13">
      <c r="I466" s="50"/>
    </row>
    <row r="467" spans="9:9" ht="13">
      <c r="I467" s="50"/>
    </row>
    <row r="468" spans="9:9" ht="13">
      <c r="I468" s="50"/>
    </row>
    <row r="469" spans="9:9" ht="13">
      <c r="I469" s="50"/>
    </row>
    <row r="470" spans="9:9" ht="13">
      <c r="I470" s="50"/>
    </row>
    <row r="471" spans="9:9" ht="13">
      <c r="I471" s="50"/>
    </row>
    <row r="472" spans="9:9" ht="13">
      <c r="I472" s="50"/>
    </row>
    <row r="473" spans="9:9" ht="13">
      <c r="I473" s="50"/>
    </row>
    <row r="474" spans="9:9" ht="13">
      <c r="I474" s="50"/>
    </row>
    <row r="475" spans="9:9" ht="13">
      <c r="I475" s="50"/>
    </row>
    <row r="476" spans="9:9" ht="13">
      <c r="I476" s="50"/>
    </row>
    <row r="477" spans="9:9" ht="13">
      <c r="I477" s="50"/>
    </row>
    <row r="478" spans="9:9" ht="13">
      <c r="I478" s="50"/>
    </row>
    <row r="479" spans="9:9" ht="13">
      <c r="I479" s="50"/>
    </row>
    <row r="480" spans="9:9" ht="13">
      <c r="I480" s="50"/>
    </row>
    <row r="481" spans="9:9" ht="13">
      <c r="I481" s="50"/>
    </row>
    <row r="482" spans="9:9" ht="13">
      <c r="I482" s="50"/>
    </row>
    <row r="483" spans="9:9" ht="13">
      <c r="I483" s="50"/>
    </row>
    <row r="484" spans="9:9" ht="13">
      <c r="I484" s="50"/>
    </row>
    <row r="485" spans="9:9" ht="13">
      <c r="I485" s="50"/>
    </row>
    <row r="486" spans="9:9" ht="13">
      <c r="I486" s="50"/>
    </row>
    <row r="487" spans="9:9" ht="13">
      <c r="I487" s="50"/>
    </row>
    <row r="488" spans="9:9" ht="13">
      <c r="I488" s="50"/>
    </row>
    <row r="489" spans="9:9" ht="13">
      <c r="I489" s="50"/>
    </row>
    <row r="490" spans="9:9" ht="13">
      <c r="I490" s="50"/>
    </row>
    <row r="491" spans="9:9" ht="13">
      <c r="I491" s="50"/>
    </row>
    <row r="492" spans="9:9" ht="13">
      <c r="I492" s="50"/>
    </row>
    <row r="493" spans="9:9" ht="13">
      <c r="I493" s="50"/>
    </row>
    <row r="494" spans="9:9" ht="13">
      <c r="I494" s="50"/>
    </row>
    <row r="495" spans="9:9" ht="13">
      <c r="I495" s="50"/>
    </row>
    <row r="496" spans="9:9" ht="13">
      <c r="I496" s="50"/>
    </row>
    <row r="497" spans="9:9" ht="13">
      <c r="I497" s="50"/>
    </row>
    <row r="498" spans="9:9" ht="13">
      <c r="I498" s="50"/>
    </row>
    <row r="499" spans="9:9" ht="13">
      <c r="I499" s="50"/>
    </row>
    <row r="500" spans="9:9" ht="13">
      <c r="I500" s="50"/>
    </row>
    <row r="501" spans="9:9" ht="13">
      <c r="I501" s="50"/>
    </row>
    <row r="502" spans="9:9" ht="13">
      <c r="I502" s="50"/>
    </row>
    <row r="503" spans="9:9" ht="13">
      <c r="I503" s="50"/>
    </row>
    <row r="504" spans="9:9" ht="13">
      <c r="I504" s="50"/>
    </row>
    <row r="505" spans="9:9" ht="13">
      <c r="I505" s="50"/>
    </row>
    <row r="506" spans="9:9" ht="13">
      <c r="I506" s="50"/>
    </row>
    <row r="507" spans="9:9" ht="13">
      <c r="I507" s="50"/>
    </row>
    <row r="508" spans="9:9" ht="13">
      <c r="I508" s="50"/>
    </row>
    <row r="509" spans="9:9" ht="13">
      <c r="I509" s="50"/>
    </row>
    <row r="510" spans="9:9" ht="13">
      <c r="I510" s="50"/>
    </row>
    <row r="511" spans="9:9" ht="13">
      <c r="I511" s="50"/>
    </row>
    <row r="512" spans="9:9" ht="13">
      <c r="I512" s="50"/>
    </row>
    <row r="513" spans="9:9" ht="13">
      <c r="I513" s="50"/>
    </row>
    <row r="514" spans="9:9" ht="13">
      <c r="I514" s="50"/>
    </row>
    <row r="515" spans="9:9" ht="13">
      <c r="I515" s="50"/>
    </row>
    <row r="516" spans="9:9" ht="13">
      <c r="I516" s="50"/>
    </row>
    <row r="517" spans="9:9" ht="13">
      <c r="I517" s="50"/>
    </row>
    <row r="518" spans="9:9" ht="13">
      <c r="I518" s="50"/>
    </row>
    <row r="519" spans="9:9" ht="13">
      <c r="I519" s="50"/>
    </row>
    <row r="520" spans="9:9" ht="13">
      <c r="I520" s="50"/>
    </row>
    <row r="521" spans="9:9" ht="13">
      <c r="I521" s="50"/>
    </row>
    <row r="522" spans="9:9" ht="13">
      <c r="I522" s="50"/>
    </row>
    <row r="523" spans="9:9" ht="13">
      <c r="I523" s="50"/>
    </row>
    <row r="524" spans="9:9" ht="13">
      <c r="I524" s="50"/>
    </row>
    <row r="525" spans="9:9" ht="13">
      <c r="I525" s="50"/>
    </row>
    <row r="526" spans="9:9" ht="13">
      <c r="I526" s="50"/>
    </row>
    <row r="527" spans="9:9" ht="13">
      <c r="I527" s="50"/>
    </row>
    <row r="528" spans="9:9" ht="13">
      <c r="I528" s="50"/>
    </row>
    <row r="529" spans="9:9" ht="13">
      <c r="I529" s="50"/>
    </row>
    <row r="530" spans="9:9" ht="13">
      <c r="I530" s="50"/>
    </row>
    <row r="531" spans="9:9" ht="13">
      <c r="I531" s="50"/>
    </row>
    <row r="532" spans="9:9" ht="13">
      <c r="I532" s="50"/>
    </row>
    <row r="533" spans="9:9" ht="13">
      <c r="I533" s="50"/>
    </row>
    <row r="534" spans="9:9" ht="13">
      <c r="I534" s="50"/>
    </row>
    <row r="535" spans="9:9" ht="13">
      <c r="I535" s="50"/>
    </row>
    <row r="536" spans="9:9" ht="13">
      <c r="I536" s="50"/>
    </row>
    <row r="537" spans="9:9" ht="13">
      <c r="I537" s="50"/>
    </row>
    <row r="538" spans="9:9" ht="13">
      <c r="I538" s="50"/>
    </row>
    <row r="539" spans="9:9" ht="13">
      <c r="I539" s="50"/>
    </row>
    <row r="540" spans="9:9" ht="13">
      <c r="I540" s="50"/>
    </row>
    <row r="541" spans="9:9" ht="13">
      <c r="I541" s="50"/>
    </row>
    <row r="542" spans="9:9" ht="13">
      <c r="I542" s="50"/>
    </row>
    <row r="543" spans="9:9" ht="13">
      <c r="I543" s="50"/>
    </row>
    <row r="544" spans="9:9" ht="13">
      <c r="I544" s="50"/>
    </row>
    <row r="545" spans="9:9" ht="13">
      <c r="I545" s="50"/>
    </row>
    <row r="546" spans="9:9" ht="13">
      <c r="I546" s="50"/>
    </row>
    <row r="547" spans="9:9" ht="13">
      <c r="I547" s="50"/>
    </row>
    <row r="548" spans="9:9" ht="13">
      <c r="I548" s="50"/>
    </row>
    <row r="549" spans="9:9" ht="13">
      <c r="I549" s="50"/>
    </row>
    <row r="550" spans="9:9" ht="13">
      <c r="I550" s="50"/>
    </row>
    <row r="551" spans="9:9" ht="13">
      <c r="I551" s="50"/>
    </row>
    <row r="552" spans="9:9" ht="13">
      <c r="I552" s="50"/>
    </row>
    <row r="553" spans="9:9" ht="13">
      <c r="I553" s="50"/>
    </row>
    <row r="554" spans="9:9" ht="13">
      <c r="I554" s="50"/>
    </row>
    <row r="555" spans="9:9" ht="13">
      <c r="I555" s="50"/>
    </row>
    <row r="556" spans="9:9" ht="13">
      <c r="I556" s="50"/>
    </row>
    <row r="557" spans="9:9" ht="13">
      <c r="I557" s="50"/>
    </row>
    <row r="558" spans="9:9" ht="13">
      <c r="I558" s="50"/>
    </row>
    <row r="559" spans="9:9" ht="13">
      <c r="I559" s="50"/>
    </row>
    <row r="560" spans="9:9" ht="13">
      <c r="I560" s="50"/>
    </row>
    <row r="561" spans="9:9" ht="13">
      <c r="I561" s="50"/>
    </row>
    <row r="562" spans="9:9" ht="13">
      <c r="I562" s="50"/>
    </row>
    <row r="563" spans="9:9" ht="13">
      <c r="I563" s="50"/>
    </row>
    <row r="564" spans="9:9" ht="13">
      <c r="I564" s="50"/>
    </row>
    <row r="565" spans="9:9" ht="13">
      <c r="I565" s="50"/>
    </row>
    <row r="566" spans="9:9" ht="13">
      <c r="I566" s="50"/>
    </row>
    <row r="567" spans="9:9" ht="13">
      <c r="I567" s="50"/>
    </row>
    <row r="568" spans="9:9" ht="13">
      <c r="I568" s="50"/>
    </row>
    <row r="569" spans="9:9" ht="13">
      <c r="I569" s="50"/>
    </row>
    <row r="570" spans="9:9" ht="13">
      <c r="I570" s="50"/>
    </row>
    <row r="571" spans="9:9" ht="13">
      <c r="I571" s="50"/>
    </row>
    <row r="572" spans="9:9" ht="13">
      <c r="I572" s="50"/>
    </row>
    <row r="573" spans="9:9" ht="13">
      <c r="I573" s="50"/>
    </row>
    <row r="574" spans="9:9" ht="13">
      <c r="I574" s="50"/>
    </row>
    <row r="575" spans="9:9" ht="13">
      <c r="I575" s="50"/>
    </row>
    <row r="576" spans="9:9" ht="13">
      <c r="I576" s="50"/>
    </row>
    <row r="577" spans="9:9" ht="13">
      <c r="I577" s="50"/>
    </row>
    <row r="578" spans="9:9" ht="13">
      <c r="I578" s="50"/>
    </row>
    <row r="579" spans="9:9" ht="13">
      <c r="I579" s="50"/>
    </row>
    <row r="580" spans="9:9" ht="13">
      <c r="I580" s="50"/>
    </row>
    <row r="581" spans="9:9" ht="13">
      <c r="I581" s="50"/>
    </row>
    <row r="582" spans="9:9" ht="13">
      <c r="I582" s="50"/>
    </row>
    <row r="583" spans="9:9" ht="13">
      <c r="I583" s="50"/>
    </row>
    <row r="584" spans="9:9" ht="13">
      <c r="I584" s="50"/>
    </row>
    <row r="585" spans="9:9" ht="13">
      <c r="I585" s="50"/>
    </row>
    <row r="586" spans="9:9" ht="13">
      <c r="I586" s="50"/>
    </row>
    <row r="587" spans="9:9" ht="13">
      <c r="I587" s="50"/>
    </row>
    <row r="588" spans="9:9" ht="13">
      <c r="I588" s="50"/>
    </row>
    <row r="589" spans="9:9" ht="13">
      <c r="I589" s="50"/>
    </row>
    <row r="590" spans="9:9" ht="13">
      <c r="I590" s="50"/>
    </row>
    <row r="591" spans="9:9" ht="13">
      <c r="I591" s="50"/>
    </row>
    <row r="592" spans="9:9" ht="13">
      <c r="I592" s="50"/>
    </row>
    <row r="593" spans="9:9" ht="13">
      <c r="I593" s="50"/>
    </row>
    <row r="594" spans="9:9" ht="13">
      <c r="I594" s="50"/>
    </row>
    <row r="595" spans="9:9" ht="13">
      <c r="I595" s="50"/>
    </row>
    <row r="596" spans="9:9" ht="13">
      <c r="I596" s="50"/>
    </row>
    <row r="597" spans="9:9" ht="13">
      <c r="I597" s="50"/>
    </row>
    <row r="598" spans="9:9" ht="13">
      <c r="I598" s="50"/>
    </row>
    <row r="599" spans="9:9" ht="13">
      <c r="I599" s="50"/>
    </row>
    <row r="600" spans="9:9" ht="13">
      <c r="I600" s="50"/>
    </row>
    <row r="601" spans="9:9" ht="13">
      <c r="I601" s="50"/>
    </row>
    <row r="602" spans="9:9" ht="13">
      <c r="I602" s="50"/>
    </row>
    <row r="603" spans="9:9" ht="13">
      <c r="I603" s="50"/>
    </row>
    <row r="604" spans="9:9" ht="13">
      <c r="I604" s="50"/>
    </row>
    <row r="605" spans="9:9" ht="13">
      <c r="I605" s="50"/>
    </row>
    <row r="606" spans="9:9" ht="13">
      <c r="I606" s="50"/>
    </row>
    <row r="607" spans="9:9" ht="13">
      <c r="I607" s="50"/>
    </row>
    <row r="608" spans="9:9" ht="13">
      <c r="I608" s="50"/>
    </row>
    <row r="609" spans="9:9" ht="13">
      <c r="I609" s="50"/>
    </row>
    <row r="610" spans="9:9" ht="13">
      <c r="I610" s="50"/>
    </row>
    <row r="611" spans="9:9" ht="13">
      <c r="I611" s="50"/>
    </row>
    <row r="612" spans="9:9" ht="13">
      <c r="I612" s="50"/>
    </row>
    <row r="613" spans="9:9" ht="13">
      <c r="I613" s="50"/>
    </row>
    <row r="614" spans="9:9" ht="13">
      <c r="I614" s="50"/>
    </row>
    <row r="615" spans="9:9" ht="13">
      <c r="I615" s="50"/>
    </row>
    <row r="616" spans="9:9" ht="13">
      <c r="I616" s="50"/>
    </row>
    <row r="617" spans="9:9" ht="13">
      <c r="I617" s="50"/>
    </row>
    <row r="618" spans="9:9" ht="13">
      <c r="I618" s="50"/>
    </row>
    <row r="619" spans="9:9" ht="13">
      <c r="I619" s="50"/>
    </row>
    <row r="620" spans="9:9" ht="13">
      <c r="I620" s="50"/>
    </row>
    <row r="621" spans="9:9" ht="13">
      <c r="I621" s="50"/>
    </row>
    <row r="622" spans="9:9" ht="13">
      <c r="I622" s="50"/>
    </row>
    <row r="623" spans="9:9" ht="13">
      <c r="I623" s="50"/>
    </row>
    <row r="624" spans="9:9" ht="13">
      <c r="I624" s="50"/>
    </row>
    <row r="625" spans="9:9" ht="13">
      <c r="I625" s="50"/>
    </row>
    <row r="626" spans="9:9" ht="13">
      <c r="I626" s="50"/>
    </row>
    <row r="627" spans="9:9" ht="13">
      <c r="I627" s="50"/>
    </row>
    <row r="628" spans="9:9" ht="13">
      <c r="I628" s="50"/>
    </row>
    <row r="629" spans="9:9" ht="13">
      <c r="I629" s="50"/>
    </row>
    <row r="630" spans="9:9" ht="13">
      <c r="I630" s="50"/>
    </row>
    <row r="631" spans="9:9" ht="13">
      <c r="I631" s="50"/>
    </row>
    <row r="632" spans="9:9" ht="13">
      <c r="I632" s="50"/>
    </row>
    <row r="633" spans="9:9" ht="13">
      <c r="I633" s="50"/>
    </row>
    <row r="634" spans="9:9" ht="13">
      <c r="I634" s="50"/>
    </row>
    <row r="635" spans="9:9" ht="13">
      <c r="I635" s="50"/>
    </row>
    <row r="636" spans="9:9" ht="13">
      <c r="I636" s="50"/>
    </row>
    <row r="637" spans="9:9" ht="13">
      <c r="I637" s="50"/>
    </row>
    <row r="638" spans="9:9" ht="13">
      <c r="I638" s="50"/>
    </row>
    <row r="639" spans="9:9" ht="13">
      <c r="I639" s="50"/>
    </row>
    <row r="640" spans="9:9" ht="13">
      <c r="I640" s="50"/>
    </row>
    <row r="641" spans="9:9" ht="13">
      <c r="I641" s="50"/>
    </row>
    <row r="642" spans="9:9" ht="13">
      <c r="I642" s="50"/>
    </row>
    <row r="643" spans="9:9" ht="13">
      <c r="I643" s="50"/>
    </row>
    <row r="644" spans="9:9" ht="13">
      <c r="I644" s="50"/>
    </row>
    <row r="645" spans="9:9" ht="13">
      <c r="I645" s="50"/>
    </row>
    <row r="646" spans="9:9" ht="13">
      <c r="I646" s="50"/>
    </row>
    <row r="647" spans="9:9" ht="13">
      <c r="I647" s="50"/>
    </row>
    <row r="648" spans="9:9" ht="13">
      <c r="I648" s="50"/>
    </row>
    <row r="649" spans="9:9" ht="13">
      <c r="I649" s="50"/>
    </row>
    <row r="650" spans="9:9" ht="13">
      <c r="I650" s="50"/>
    </row>
    <row r="651" spans="9:9" ht="13">
      <c r="I651" s="50"/>
    </row>
    <row r="652" spans="9:9" ht="13">
      <c r="I652" s="50"/>
    </row>
    <row r="653" spans="9:9" ht="13">
      <c r="I653" s="50"/>
    </row>
    <row r="654" spans="9:9" ht="13">
      <c r="I654" s="50"/>
    </row>
    <row r="655" spans="9:9" ht="13">
      <c r="I655" s="50"/>
    </row>
    <row r="656" spans="9:9" ht="13">
      <c r="I656" s="50"/>
    </row>
    <row r="657" spans="9:9" ht="13">
      <c r="I657" s="50"/>
    </row>
    <row r="658" spans="9:9" ht="13">
      <c r="I658" s="50"/>
    </row>
    <row r="659" spans="9:9" ht="13">
      <c r="I659" s="50"/>
    </row>
    <row r="660" spans="9:9" ht="13">
      <c r="I660" s="50"/>
    </row>
    <row r="661" spans="9:9" ht="13">
      <c r="I661" s="50"/>
    </row>
    <row r="662" spans="9:9" ht="13">
      <c r="I662" s="50"/>
    </row>
    <row r="663" spans="9:9" ht="13">
      <c r="I663" s="50"/>
    </row>
    <row r="664" spans="9:9" ht="13">
      <c r="I664" s="50"/>
    </row>
    <row r="665" spans="9:9" ht="13">
      <c r="I665" s="50"/>
    </row>
    <row r="666" spans="9:9" ht="13">
      <c r="I666" s="50"/>
    </row>
    <row r="667" spans="9:9" ht="13">
      <c r="I667" s="50"/>
    </row>
    <row r="668" spans="9:9" ht="13">
      <c r="I668" s="50"/>
    </row>
    <row r="669" spans="9:9" ht="13">
      <c r="I669" s="50"/>
    </row>
    <row r="670" spans="9:9" ht="13">
      <c r="I670" s="50"/>
    </row>
    <row r="671" spans="9:9" ht="13">
      <c r="I671" s="50"/>
    </row>
    <row r="672" spans="9:9" ht="13">
      <c r="I672" s="50"/>
    </row>
    <row r="673" spans="9:9" ht="13">
      <c r="I673" s="50"/>
    </row>
    <row r="674" spans="9:9" ht="13">
      <c r="I674" s="50"/>
    </row>
    <row r="675" spans="9:9" ht="13">
      <c r="I675" s="50"/>
    </row>
    <row r="676" spans="9:9" ht="13">
      <c r="I676" s="50"/>
    </row>
    <row r="677" spans="9:9" ht="13">
      <c r="I677" s="50"/>
    </row>
    <row r="678" spans="9:9" ht="13">
      <c r="I678" s="50"/>
    </row>
    <row r="679" spans="9:9" ht="13">
      <c r="I679" s="50"/>
    </row>
    <row r="680" spans="9:9" ht="13">
      <c r="I680" s="50"/>
    </row>
    <row r="681" spans="9:9" ht="13">
      <c r="I681" s="50"/>
    </row>
    <row r="682" spans="9:9" ht="13">
      <c r="I682" s="50"/>
    </row>
    <row r="683" spans="9:9" ht="13">
      <c r="I683" s="50"/>
    </row>
    <row r="684" spans="9:9" ht="13">
      <c r="I684" s="50"/>
    </row>
    <row r="685" spans="9:9" ht="13">
      <c r="I685" s="50"/>
    </row>
    <row r="686" spans="9:9" ht="13">
      <c r="I686" s="50"/>
    </row>
    <row r="687" spans="9:9" ht="13">
      <c r="I687" s="50"/>
    </row>
    <row r="688" spans="9:9" ht="13">
      <c r="I688" s="50"/>
    </row>
    <row r="689" spans="9:9" ht="13">
      <c r="I689" s="50"/>
    </row>
    <row r="690" spans="9:9" ht="13">
      <c r="I690" s="50"/>
    </row>
    <row r="691" spans="9:9" ht="13">
      <c r="I691" s="50"/>
    </row>
    <row r="692" spans="9:9" ht="13">
      <c r="I692" s="50"/>
    </row>
    <row r="693" spans="9:9" ht="13">
      <c r="I693" s="50"/>
    </row>
    <row r="694" spans="9:9" ht="13">
      <c r="I694" s="50"/>
    </row>
    <row r="695" spans="9:9" ht="13">
      <c r="I695" s="50"/>
    </row>
    <row r="696" spans="9:9" ht="13">
      <c r="I696" s="50"/>
    </row>
    <row r="697" spans="9:9" ht="13">
      <c r="I697" s="50"/>
    </row>
    <row r="698" spans="9:9" ht="13">
      <c r="I698" s="50"/>
    </row>
    <row r="699" spans="9:9" ht="13">
      <c r="I699" s="50"/>
    </row>
    <row r="700" spans="9:9" ht="13">
      <c r="I700" s="50"/>
    </row>
    <row r="701" spans="9:9" ht="13">
      <c r="I701" s="50"/>
    </row>
    <row r="702" spans="9:9" ht="13">
      <c r="I702" s="50"/>
    </row>
    <row r="703" spans="9:9" ht="13">
      <c r="I703" s="50"/>
    </row>
    <row r="704" spans="9:9" ht="13">
      <c r="I704" s="50"/>
    </row>
    <row r="705" spans="9:9" ht="13">
      <c r="I705" s="50"/>
    </row>
    <row r="706" spans="9:9" ht="13">
      <c r="I706" s="50"/>
    </row>
    <row r="707" spans="9:9" ht="13">
      <c r="I707" s="50"/>
    </row>
    <row r="708" spans="9:9" ht="13">
      <c r="I708" s="50"/>
    </row>
    <row r="709" spans="9:9" ht="13">
      <c r="I709" s="50"/>
    </row>
    <row r="710" spans="9:9" ht="13">
      <c r="I710" s="50"/>
    </row>
    <row r="711" spans="9:9" ht="13">
      <c r="I711" s="50"/>
    </row>
    <row r="712" spans="9:9" ht="13">
      <c r="I712" s="50"/>
    </row>
    <row r="713" spans="9:9" ht="13">
      <c r="I713" s="50"/>
    </row>
    <row r="714" spans="9:9" ht="13">
      <c r="I714" s="50"/>
    </row>
    <row r="715" spans="9:9" ht="13">
      <c r="I715" s="50"/>
    </row>
    <row r="716" spans="9:9" ht="13">
      <c r="I716" s="50"/>
    </row>
    <row r="717" spans="9:9" ht="13">
      <c r="I717" s="50"/>
    </row>
    <row r="718" spans="9:9" ht="13">
      <c r="I718" s="50"/>
    </row>
    <row r="719" spans="9:9" ht="13">
      <c r="I719" s="50"/>
    </row>
    <row r="720" spans="9:9" ht="13">
      <c r="I720" s="50"/>
    </row>
    <row r="721" spans="9:9" ht="13">
      <c r="I721" s="50"/>
    </row>
    <row r="722" spans="9:9" ht="13">
      <c r="I722" s="50"/>
    </row>
    <row r="723" spans="9:9" ht="13">
      <c r="I723" s="50"/>
    </row>
    <row r="724" spans="9:9" ht="13">
      <c r="I724" s="50"/>
    </row>
    <row r="725" spans="9:9" ht="13">
      <c r="I725" s="50"/>
    </row>
    <row r="726" spans="9:9" ht="13">
      <c r="I726" s="50"/>
    </row>
    <row r="727" spans="9:9" ht="13">
      <c r="I727" s="50"/>
    </row>
    <row r="728" spans="9:9" ht="13">
      <c r="I728" s="50"/>
    </row>
    <row r="729" spans="9:9" ht="13">
      <c r="I729" s="50"/>
    </row>
    <row r="730" spans="9:9" ht="13">
      <c r="I730" s="50"/>
    </row>
    <row r="731" spans="9:9" ht="13">
      <c r="I731" s="50"/>
    </row>
    <row r="732" spans="9:9" ht="13">
      <c r="I732" s="50"/>
    </row>
    <row r="733" spans="9:9" ht="13">
      <c r="I733" s="50"/>
    </row>
    <row r="734" spans="9:9" ht="13">
      <c r="I734" s="50"/>
    </row>
    <row r="735" spans="9:9" ht="13">
      <c r="I735" s="50"/>
    </row>
    <row r="736" spans="9:9" ht="13">
      <c r="I736" s="50"/>
    </row>
    <row r="737" spans="9:9" ht="13">
      <c r="I737" s="50"/>
    </row>
    <row r="738" spans="9:9" ht="13">
      <c r="I738" s="50"/>
    </row>
    <row r="739" spans="9:9" ht="13">
      <c r="I739" s="50"/>
    </row>
    <row r="740" spans="9:9" ht="13">
      <c r="I740" s="50"/>
    </row>
    <row r="741" spans="9:9" ht="13">
      <c r="I741" s="50"/>
    </row>
    <row r="742" spans="9:9" ht="13">
      <c r="I742" s="50"/>
    </row>
    <row r="743" spans="9:9" ht="13">
      <c r="I743" s="50"/>
    </row>
    <row r="744" spans="9:9" ht="13">
      <c r="I744" s="50"/>
    </row>
    <row r="745" spans="9:9" ht="13">
      <c r="I745" s="50"/>
    </row>
    <row r="746" spans="9:9" ht="13">
      <c r="I746" s="50"/>
    </row>
    <row r="747" spans="9:9" ht="13">
      <c r="I747" s="50"/>
    </row>
    <row r="748" spans="9:9" ht="13">
      <c r="I748" s="50"/>
    </row>
    <row r="749" spans="9:9" ht="13">
      <c r="I749" s="50"/>
    </row>
    <row r="750" spans="9:9" ht="13">
      <c r="I750" s="50"/>
    </row>
    <row r="751" spans="9:9" ht="13">
      <c r="I751" s="50"/>
    </row>
    <row r="752" spans="9:9" ht="13">
      <c r="I752" s="50"/>
    </row>
    <row r="753" spans="9:9" ht="13">
      <c r="I753" s="50"/>
    </row>
    <row r="754" spans="9:9" ht="13">
      <c r="I754" s="50"/>
    </row>
    <row r="755" spans="9:9" ht="13">
      <c r="I755" s="50"/>
    </row>
    <row r="756" spans="9:9" ht="13">
      <c r="I756" s="50"/>
    </row>
    <row r="757" spans="9:9" ht="13">
      <c r="I757" s="50"/>
    </row>
    <row r="758" spans="9:9" ht="13">
      <c r="I758" s="50"/>
    </row>
    <row r="759" spans="9:9" ht="13">
      <c r="I759" s="50"/>
    </row>
    <row r="760" spans="9:9" ht="13">
      <c r="I760" s="50"/>
    </row>
    <row r="761" spans="9:9" ht="13">
      <c r="I761" s="50"/>
    </row>
    <row r="762" spans="9:9" ht="13">
      <c r="I762" s="50"/>
    </row>
    <row r="763" spans="9:9" ht="13">
      <c r="I763" s="50"/>
    </row>
    <row r="764" spans="9:9" ht="13">
      <c r="I764" s="50"/>
    </row>
    <row r="765" spans="9:9" ht="13">
      <c r="I765" s="50"/>
    </row>
    <row r="766" spans="9:9" ht="13">
      <c r="I766" s="50"/>
    </row>
    <row r="767" spans="9:9" ht="13">
      <c r="I767" s="50"/>
    </row>
    <row r="768" spans="9:9" ht="13">
      <c r="I768" s="50"/>
    </row>
    <row r="769" spans="9:9" ht="13">
      <c r="I769" s="50"/>
    </row>
    <row r="770" spans="9:9" ht="13">
      <c r="I770" s="50"/>
    </row>
    <row r="771" spans="9:9" ht="13">
      <c r="I771" s="50"/>
    </row>
    <row r="772" spans="9:9" ht="13">
      <c r="I772" s="50"/>
    </row>
    <row r="773" spans="9:9" ht="13">
      <c r="I773" s="50"/>
    </row>
    <row r="774" spans="9:9" ht="13">
      <c r="I774" s="50"/>
    </row>
    <row r="775" spans="9:9" ht="13">
      <c r="I775" s="50"/>
    </row>
    <row r="776" spans="9:9" ht="13">
      <c r="I776" s="50"/>
    </row>
    <row r="777" spans="9:9" ht="13">
      <c r="I777" s="50"/>
    </row>
    <row r="778" spans="9:9" ht="13">
      <c r="I778" s="50"/>
    </row>
    <row r="779" spans="9:9" ht="13">
      <c r="I779" s="50"/>
    </row>
    <row r="780" spans="9:9" ht="13">
      <c r="I780" s="50"/>
    </row>
    <row r="781" spans="9:9" ht="13">
      <c r="I781" s="50"/>
    </row>
    <row r="782" spans="9:9" ht="13">
      <c r="I782" s="50"/>
    </row>
    <row r="783" spans="9:9" ht="13">
      <c r="I783" s="50"/>
    </row>
    <row r="784" spans="9:9" ht="13">
      <c r="I784" s="50"/>
    </row>
    <row r="785" spans="9:9" ht="13">
      <c r="I785" s="50"/>
    </row>
    <row r="786" spans="9:9" ht="13">
      <c r="I786" s="50"/>
    </row>
    <row r="787" spans="9:9" ht="13">
      <c r="I787" s="50"/>
    </row>
    <row r="788" spans="9:9" ht="13">
      <c r="I788" s="50"/>
    </row>
    <row r="789" spans="9:9" ht="13">
      <c r="I789" s="50"/>
    </row>
    <row r="790" spans="9:9" ht="13">
      <c r="I790" s="50"/>
    </row>
    <row r="791" spans="9:9" ht="13">
      <c r="I791" s="50"/>
    </row>
    <row r="792" spans="9:9" ht="13">
      <c r="I792" s="50"/>
    </row>
    <row r="793" spans="9:9" ht="13">
      <c r="I793" s="50"/>
    </row>
    <row r="794" spans="9:9" ht="13">
      <c r="I794" s="50"/>
    </row>
    <row r="795" spans="9:9" ht="13">
      <c r="I795" s="50"/>
    </row>
    <row r="796" spans="9:9" ht="13">
      <c r="I796" s="50"/>
    </row>
    <row r="797" spans="9:9" ht="13">
      <c r="I797" s="50"/>
    </row>
    <row r="798" spans="9:9" ht="13">
      <c r="I798" s="50"/>
    </row>
    <row r="799" spans="9:9" ht="13">
      <c r="I799" s="50"/>
    </row>
    <row r="800" spans="9:9" ht="13">
      <c r="I800" s="50"/>
    </row>
    <row r="801" spans="9:9" ht="13">
      <c r="I801" s="50"/>
    </row>
    <row r="802" spans="9:9" ht="13">
      <c r="I802" s="50"/>
    </row>
    <row r="803" spans="9:9" ht="13">
      <c r="I803" s="50"/>
    </row>
    <row r="804" spans="9:9" ht="13">
      <c r="I804" s="50"/>
    </row>
    <row r="805" spans="9:9" ht="13">
      <c r="I805" s="50"/>
    </row>
    <row r="806" spans="9:9" ht="13">
      <c r="I806" s="50"/>
    </row>
    <row r="807" spans="9:9" ht="13">
      <c r="I807" s="50"/>
    </row>
    <row r="808" spans="9:9" ht="13">
      <c r="I808" s="50"/>
    </row>
    <row r="809" spans="9:9" ht="13">
      <c r="I809" s="50"/>
    </row>
    <row r="810" spans="9:9" ht="13">
      <c r="I810" s="50"/>
    </row>
    <row r="811" spans="9:9" ht="13">
      <c r="I811" s="50"/>
    </row>
    <row r="812" spans="9:9" ht="13">
      <c r="I812" s="50"/>
    </row>
    <row r="813" spans="9:9" ht="13">
      <c r="I813" s="50"/>
    </row>
    <row r="814" spans="9:9" ht="13">
      <c r="I814" s="50"/>
    </row>
    <row r="815" spans="9:9" ht="13">
      <c r="I815" s="50"/>
    </row>
    <row r="816" spans="9:9" ht="13">
      <c r="I816" s="50"/>
    </row>
    <row r="817" spans="9:9" ht="13">
      <c r="I817" s="50"/>
    </row>
    <row r="818" spans="9:9" ht="13">
      <c r="I818" s="50"/>
    </row>
    <row r="819" spans="9:9" ht="13">
      <c r="I819" s="50"/>
    </row>
    <row r="820" spans="9:9" ht="13">
      <c r="I820" s="50"/>
    </row>
    <row r="821" spans="9:9" ht="13">
      <c r="I821" s="50"/>
    </row>
    <row r="822" spans="9:9" ht="13">
      <c r="I822" s="50"/>
    </row>
    <row r="823" spans="9:9" ht="13">
      <c r="I823" s="50"/>
    </row>
    <row r="824" spans="9:9" ht="13">
      <c r="I824" s="50"/>
    </row>
    <row r="825" spans="9:9" ht="13">
      <c r="I825" s="50"/>
    </row>
    <row r="826" spans="9:9" ht="13">
      <c r="I826" s="50"/>
    </row>
    <row r="827" spans="9:9" ht="13">
      <c r="I827" s="50"/>
    </row>
    <row r="828" spans="9:9" ht="13">
      <c r="I828" s="50"/>
    </row>
    <row r="829" spans="9:9" ht="13">
      <c r="I829" s="50"/>
    </row>
    <row r="830" spans="9:9" ht="13">
      <c r="I830" s="50"/>
    </row>
    <row r="831" spans="9:9" ht="13">
      <c r="I831" s="50"/>
    </row>
    <row r="832" spans="9:9" ht="13">
      <c r="I832" s="50"/>
    </row>
    <row r="833" spans="9:9" ht="13">
      <c r="I833" s="50"/>
    </row>
    <row r="834" spans="9:9" ht="13">
      <c r="I834" s="50"/>
    </row>
    <row r="835" spans="9:9" ht="13">
      <c r="I835" s="50"/>
    </row>
    <row r="836" spans="9:9" ht="13">
      <c r="I836" s="50"/>
    </row>
    <row r="837" spans="9:9" ht="13">
      <c r="I837" s="50"/>
    </row>
    <row r="838" spans="9:9" ht="13">
      <c r="I838" s="50"/>
    </row>
    <row r="839" spans="9:9" ht="13">
      <c r="I839" s="50"/>
    </row>
    <row r="840" spans="9:9" ht="13">
      <c r="I840" s="50"/>
    </row>
    <row r="841" spans="9:9" ht="13">
      <c r="I841" s="50"/>
    </row>
    <row r="842" spans="9:9" ht="13">
      <c r="I842" s="50"/>
    </row>
    <row r="843" spans="9:9" ht="13">
      <c r="I843" s="50"/>
    </row>
    <row r="844" spans="9:9" ht="13">
      <c r="I844" s="50"/>
    </row>
    <row r="845" spans="9:9" ht="13">
      <c r="I845" s="50"/>
    </row>
    <row r="846" spans="9:9" ht="13">
      <c r="I846" s="50"/>
    </row>
    <row r="847" spans="9:9" ht="13">
      <c r="I847" s="50"/>
    </row>
    <row r="848" spans="9:9" ht="13">
      <c r="I848" s="50"/>
    </row>
    <row r="849" spans="9:9" ht="13">
      <c r="I849" s="50"/>
    </row>
    <row r="850" spans="9:9" ht="13">
      <c r="I850" s="50"/>
    </row>
    <row r="851" spans="9:9" ht="13">
      <c r="I851" s="50"/>
    </row>
    <row r="852" spans="9:9" ht="13">
      <c r="I852" s="50"/>
    </row>
    <row r="853" spans="9:9" ht="13">
      <c r="I853" s="50"/>
    </row>
    <row r="854" spans="9:9" ht="13">
      <c r="I854" s="50"/>
    </row>
    <row r="855" spans="9:9" ht="13">
      <c r="I855" s="50"/>
    </row>
    <row r="856" spans="9:9" ht="13">
      <c r="I856" s="50"/>
    </row>
    <row r="857" spans="9:9" ht="13">
      <c r="I857" s="50"/>
    </row>
    <row r="858" spans="9:9" ht="13">
      <c r="I858" s="50"/>
    </row>
    <row r="859" spans="9:9" ht="13">
      <c r="I859" s="50"/>
    </row>
    <row r="860" spans="9:9" ht="13">
      <c r="I860" s="50"/>
    </row>
    <row r="861" spans="9:9" ht="13">
      <c r="I861" s="50"/>
    </row>
    <row r="862" spans="9:9" ht="13">
      <c r="I862" s="50"/>
    </row>
    <row r="863" spans="9:9" ht="13">
      <c r="I863" s="50"/>
    </row>
    <row r="864" spans="9:9" ht="13">
      <c r="I864" s="50"/>
    </row>
    <row r="865" spans="9:9" ht="13">
      <c r="I865" s="50"/>
    </row>
    <row r="866" spans="9:9" ht="13">
      <c r="I866" s="50"/>
    </row>
    <row r="867" spans="9:9" ht="13">
      <c r="I867" s="50"/>
    </row>
    <row r="868" spans="9:9" ht="13">
      <c r="I868" s="50"/>
    </row>
    <row r="869" spans="9:9" ht="13">
      <c r="I869" s="50"/>
    </row>
    <row r="870" spans="9:9" ht="13">
      <c r="I870" s="50"/>
    </row>
    <row r="871" spans="9:9" ht="13">
      <c r="I871" s="50"/>
    </row>
    <row r="872" spans="9:9" ht="13">
      <c r="I872" s="50"/>
    </row>
    <row r="873" spans="9:9" ht="13">
      <c r="I873" s="50"/>
    </row>
    <row r="874" spans="9:9" ht="13">
      <c r="I874" s="50"/>
    </row>
    <row r="875" spans="9:9" ht="13">
      <c r="I875" s="50"/>
    </row>
    <row r="876" spans="9:9" ht="13">
      <c r="I876" s="50"/>
    </row>
    <row r="877" spans="9:9" ht="13">
      <c r="I877" s="50"/>
    </row>
    <row r="878" spans="9:9" ht="13">
      <c r="I878" s="50"/>
    </row>
    <row r="879" spans="9:9" ht="13">
      <c r="I879" s="50"/>
    </row>
    <row r="880" spans="9:9" ht="13">
      <c r="I880" s="50"/>
    </row>
    <row r="881" spans="9:9" ht="13">
      <c r="I881" s="50"/>
    </row>
    <row r="882" spans="9:9" ht="13">
      <c r="I882" s="50"/>
    </row>
    <row r="883" spans="9:9" ht="13">
      <c r="I883" s="50"/>
    </row>
    <row r="884" spans="9:9" ht="13">
      <c r="I884" s="50"/>
    </row>
    <row r="885" spans="9:9" ht="13">
      <c r="I885" s="50"/>
    </row>
    <row r="886" spans="9:9" ht="13">
      <c r="I886" s="50"/>
    </row>
    <row r="887" spans="9:9" ht="13">
      <c r="I887" s="50"/>
    </row>
    <row r="888" spans="9:9" ht="13">
      <c r="I888" s="50"/>
    </row>
    <row r="889" spans="9:9" ht="13">
      <c r="I889" s="50"/>
    </row>
    <row r="890" spans="9:9" ht="13">
      <c r="I890" s="50"/>
    </row>
    <row r="891" spans="9:9" ht="13">
      <c r="I891" s="50"/>
    </row>
    <row r="892" spans="9:9" ht="13">
      <c r="I892" s="50"/>
    </row>
    <row r="893" spans="9:9" ht="13">
      <c r="I893" s="50"/>
    </row>
    <row r="894" spans="9:9" ht="13">
      <c r="I894" s="50"/>
    </row>
    <row r="895" spans="9:9" ht="13">
      <c r="I895" s="50"/>
    </row>
    <row r="896" spans="9:9" ht="13">
      <c r="I896" s="50"/>
    </row>
    <row r="897" spans="9:9" ht="13">
      <c r="I897" s="50"/>
    </row>
    <row r="898" spans="9:9" ht="13">
      <c r="I898" s="50"/>
    </row>
    <row r="899" spans="9:9" ht="13">
      <c r="I899" s="50"/>
    </row>
    <row r="900" spans="9:9" ht="13">
      <c r="I900" s="50"/>
    </row>
    <row r="901" spans="9:9" ht="13">
      <c r="I901" s="50"/>
    </row>
    <row r="902" spans="9:9" ht="13">
      <c r="I902" s="50"/>
    </row>
    <row r="903" spans="9:9" ht="13">
      <c r="I903" s="50"/>
    </row>
    <row r="904" spans="9:9" ht="13">
      <c r="I904" s="50"/>
    </row>
    <row r="905" spans="9:9" ht="13">
      <c r="I905" s="50"/>
    </row>
    <row r="906" spans="9:9" ht="13">
      <c r="I906" s="50"/>
    </row>
    <row r="907" spans="9:9" ht="13">
      <c r="I907" s="50"/>
    </row>
    <row r="908" spans="9:9" ht="13">
      <c r="I908" s="50"/>
    </row>
    <row r="909" spans="9:9" ht="13">
      <c r="I909" s="50"/>
    </row>
    <row r="910" spans="9:9" ht="13">
      <c r="I910" s="50"/>
    </row>
    <row r="911" spans="9:9" ht="13">
      <c r="I911" s="50"/>
    </row>
    <row r="912" spans="9:9" ht="13">
      <c r="I912" s="50"/>
    </row>
    <row r="913" spans="9:9" ht="13">
      <c r="I913" s="50"/>
    </row>
    <row r="914" spans="9:9" ht="13">
      <c r="I914" s="50"/>
    </row>
    <row r="915" spans="9:9" ht="13">
      <c r="I915" s="50"/>
    </row>
    <row r="916" spans="9:9" ht="13">
      <c r="I916" s="50"/>
    </row>
    <row r="917" spans="9:9" ht="13">
      <c r="I917" s="50"/>
    </row>
    <row r="918" spans="9:9" ht="13">
      <c r="I918" s="50"/>
    </row>
    <row r="919" spans="9:9" ht="13">
      <c r="I919" s="50"/>
    </row>
    <row r="920" spans="9:9" ht="13">
      <c r="I920" s="50"/>
    </row>
    <row r="921" spans="9:9" ht="13">
      <c r="I921" s="50"/>
    </row>
    <row r="922" spans="9:9" ht="13">
      <c r="I922" s="50"/>
    </row>
    <row r="923" spans="9:9" ht="13">
      <c r="I923" s="50"/>
    </row>
    <row r="924" spans="9:9" ht="13">
      <c r="I924" s="50"/>
    </row>
    <row r="925" spans="9:9" ht="13">
      <c r="I925" s="50"/>
    </row>
    <row r="926" spans="9:9" ht="13">
      <c r="I926" s="50"/>
    </row>
    <row r="927" spans="9:9" ht="13">
      <c r="I927" s="50"/>
    </row>
    <row r="928" spans="9:9" ht="13">
      <c r="I928" s="50"/>
    </row>
    <row r="929" spans="9:9" ht="13">
      <c r="I929" s="50"/>
    </row>
    <row r="930" spans="9:9" ht="13">
      <c r="I930" s="50"/>
    </row>
    <row r="931" spans="9:9" ht="13">
      <c r="I931" s="50"/>
    </row>
    <row r="932" spans="9:9" ht="13">
      <c r="I932" s="50"/>
    </row>
    <row r="933" spans="9:9" ht="13">
      <c r="I933" s="50"/>
    </row>
    <row r="934" spans="9:9" ht="13">
      <c r="I934" s="50"/>
    </row>
    <row r="935" spans="9:9" ht="13">
      <c r="I935" s="50"/>
    </row>
    <row r="936" spans="9:9" ht="13">
      <c r="I936" s="50"/>
    </row>
    <row r="937" spans="9:9" ht="13">
      <c r="I937" s="50"/>
    </row>
    <row r="938" spans="9:9" ht="13">
      <c r="I938" s="50"/>
    </row>
    <row r="939" spans="9:9" ht="13">
      <c r="I939" s="50"/>
    </row>
    <row r="940" spans="9:9" ht="13">
      <c r="I940" s="50"/>
    </row>
    <row r="941" spans="9:9" ht="13">
      <c r="I941" s="50"/>
    </row>
    <row r="942" spans="9:9" ht="13">
      <c r="I942" s="50"/>
    </row>
    <row r="943" spans="9:9" ht="13">
      <c r="I943" s="50"/>
    </row>
    <row r="944" spans="9:9" ht="13">
      <c r="I944" s="50"/>
    </row>
    <row r="945" spans="9:9" ht="13">
      <c r="I945" s="50"/>
    </row>
    <row r="946" spans="9:9" ht="13">
      <c r="I946" s="50"/>
    </row>
    <row r="947" spans="9:9" ht="13">
      <c r="I947" s="50"/>
    </row>
    <row r="948" spans="9:9" ht="13">
      <c r="I948" s="50"/>
    </row>
    <row r="949" spans="9:9" ht="13">
      <c r="I949" s="50"/>
    </row>
    <row r="950" spans="9:9" ht="13">
      <c r="I950" s="50"/>
    </row>
    <row r="951" spans="9:9" ht="13">
      <c r="I951" s="50"/>
    </row>
    <row r="952" spans="9:9" ht="13">
      <c r="I952" s="50"/>
    </row>
    <row r="953" spans="9:9" ht="13">
      <c r="I953" s="50"/>
    </row>
    <row r="954" spans="9:9" ht="13">
      <c r="I954" s="50"/>
    </row>
    <row r="955" spans="9:9" ht="13">
      <c r="I955" s="50"/>
    </row>
    <row r="956" spans="9:9" ht="13">
      <c r="I956" s="50"/>
    </row>
    <row r="957" spans="9:9" ht="13">
      <c r="I957" s="50"/>
    </row>
    <row r="958" spans="9:9" ht="13">
      <c r="I958" s="50"/>
    </row>
    <row r="959" spans="9:9" ht="13">
      <c r="I959" s="50"/>
    </row>
    <row r="960" spans="9:9" ht="13">
      <c r="I960" s="50"/>
    </row>
    <row r="961" spans="9:9" ht="13">
      <c r="I961" s="50"/>
    </row>
    <row r="962" spans="9:9" ht="13">
      <c r="I962" s="50"/>
    </row>
    <row r="963" spans="9:9" ht="13">
      <c r="I963" s="50"/>
    </row>
    <row r="964" spans="9:9" ht="13">
      <c r="I964" s="50"/>
    </row>
    <row r="965" spans="9:9" ht="13">
      <c r="I965" s="50"/>
    </row>
    <row r="966" spans="9:9" ht="13">
      <c r="I966" s="50"/>
    </row>
    <row r="967" spans="9:9" ht="13">
      <c r="I967" s="50"/>
    </row>
    <row r="968" spans="9:9" ht="13">
      <c r="I968" s="50"/>
    </row>
    <row r="969" spans="9:9" ht="13">
      <c r="I969" s="50"/>
    </row>
    <row r="970" spans="9:9" ht="13">
      <c r="I970" s="50"/>
    </row>
    <row r="971" spans="9:9" ht="13">
      <c r="I971" s="50"/>
    </row>
    <row r="972" spans="9:9" ht="13">
      <c r="I972" s="50"/>
    </row>
    <row r="973" spans="9:9" ht="13">
      <c r="I973" s="50"/>
    </row>
    <row r="974" spans="9:9" ht="13">
      <c r="I974" s="50"/>
    </row>
    <row r="975" spans="9:9" ht="13">
      <c r="I975" s="50"/>
    </row>
    <row r="976" spans="9:9" ht="13">
      <c r="I976" s="50"/>
    </row>
    <row r="977" spans="9:9" ht="13">
      <c r="I977" s="50"/>
    </row>
    <row r="978" spans="9:9" ht="13">
      <c r="I978" s="50"/>
    </row>
    <row r="979" spans="9:9" ht="13">
      <c r="I979" s="50"/>
    </row>
    <row r="980" spans="9:9" ht="13">
      <c r="I980" s="50"/>
    </row>
    <row r="981" spans="9:9" ht="13">
      <c r="I981" s="50"/>
    </row>
    <row r="982" spans="9:9" ht="13">
      <c r="I982" s="50"/>
    </row>
    <row r="983" spans="9:9" ht="13">
      <c r="I983" s="50"/>
    </row>
    <row r="984" spans="9:9" ht="13">
      <c r="I984" s="50"/>
    </row>
    <row r="985" spans="9:9" ht="13">
      <c r="I985" s="50"/>
    </row>
    <row r="986" spans="9:9" ht="13">
      <c r="I986" s="50"/>
    </row>
    <row r="987" spans="9:9" ht="13">
      <c r="I987" s="50"/>
    </row>
    <row r="988" spans="9:9" ht="13">
      <c r="I988" s="50"/>
    </row>
    <row r="989" spans="9:9" ht="13">
      <c r="I989" s="50"/>
    </row>
    <row r="990" spans="9:9" ht="13">
      <c r="I990" s="50"/>
    </row>
    <row r="991" spans="9:9" ht="13">
      <c r="I991" s="50"/>
    </row>
    <row r="992" spans="9:9" ht="13">
      <c r="I992" s="50"/>
    </row>
    <row r="993" spans="9:9" ht="13">
      <c r="I993" s="50"/>
    </row>
    <row r="994" spans="9:9" ht="13">
      <c r="I994" s="50"/>
    </row>
    <row r="995" spans="9:9" ht="13">
      <c r="I995" s="50"/>
    </row>
    <row r="996" spans="9:9" ht="13">
      <c r="I996" s="50"/>
    </row>
  </sheetData>
  <autoFilter ref="B1:I998"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7"/>
  <sheetViews>
    <sheetView workbookViewId="0"/>
  </sheetViews>
  <sheetFormatPr baseColWidth="10" defaultColWidth="12.5" defaultRowHeight="15.75" customHeight="1"/>
  <sheetData>
    <row r="1" spans="1:26" ht="15.75" customHeight="1">
      <c r="B1" s="26" t="s">
        <v>921</v>
      </c>
    </row>
    <row r="2" spans="1:26" ht="15.75" customHeight="1">
      <c r="A2" s="26" t="s">
        <v>922</v>
      </c>
      <c r="D2" s="26" t="s">
        <v>946</v>
      </c>
      <c r="I2" s="26" t="s">
        <v>947</v>
      </c>
    </row>
    <row r="3" spans="1:26" ht="15.7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5.75" customHeight="1">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5.75" customHeight="1">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5.75" customHeight="1">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5.75" customHeight="1">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5.75" customHeight="1">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5.75" customHeight="1">
      <c r="A9" s="46" t="s">
        <v>929</v>
      </c>
      <c r="B9" s="48"/>
      <c r="C9" s="47"/>
      <c r="D9" s="47" t="s">
        <v>948</v>
      </c>
      <c r="E9" s="47"/>
      <c r="F9" s="48"/>
      <c r="G9" s="47" t="s">
        <v>949</v>
      </c>
      <c r="H9" s="47" t="s">
        <v>950</v>
      </c>
      <c r="I9" s="47" t="s">
        <v>951</v>
      </c>
      <c r="J9" s="47"/>
      <c r="K9" s="48"/>
      <c r="M9" s="47"/>
      <c r="N9" s="47"/>
      <c r="O9" s="47"/>
      <c r="P9" s="47"/>
      <c r="Q9" s="47"/>
      <c r="R9" s="47"/>
      <c r="S9" s="47"/>
      <c r="T9" s="47"/>
      <c r="U9" s="47"/>
      <c r="V9" s="47"/>
      <c r="W9" s="47"/>
      <c r="X9" s="47"/>
      <c r="Y9" s="47"/>
      <c r="Z9" s="47"/>
    </row>
    <row r="10" spans="1:26" ht="15.75" customHeight="1">
      <c r="A10" s="46" t="s">
        <v>930</v>
      </c>
      <c r="B10" s="47" t="s">
        <v>952</v>
      </c>
      <c r="C10" s="47"/>
      <c r="D10" s="48"/>
      <c r="E10" s="47"/>
      <c r="F10" s="48"/>
      <c r="G10" s="47" t="s">
        <v>953</v>
      </c>
      <c r="H10" s="47"/>
      <c r="I10" s="47" t="s">
        <v>954</v>
      </c>
      <c r="J10" s="48"/>
      <c r="K10" s="47"/>
      <c r="L10" s="47"/>
      <c r="M10" s="47"/>
      <c r="N10" s="47"/>
      <c r="O10" s="47"/>
      <c r="P10" s="47"/>
      <c r="Q10" s="47"/>
      <c r="R10" s="47"/>
      <c r="S10" s="47"/>
      <c r="T10" s="47"/>
      <c r="U10" s="47"/>
      <c r="V10" s="47"/>
      <c r="W10" s="47"/>
      <c r="X10" s="47"/>
      <c r="Y10" s="47"/>
      <c r="Z10" s="47"/>
    </row>
    <row r="11" spans="1:26" ht="15.75" customHeight="1">
      <c r="A11" s="46" t="s">
        <v>931</v>
      </c>
      <c r="B11" s="47"/>
      <c r="C11" s="47" t="s">
        <v>955</v>
      </c>
      <c r="D11" s="47"/>
      <c r="E11" s="47" t="s">
        <v>956</v>
      </c>
      <c r="F11" s="48"/>
      <c r="G11" s="48"/>
      <c r="H11" s="47" t="s">
        <v>957</v>
      </c>
      <c r="I11" s="47"/>
      <c r="J11" s="48"/>
      <c r="K11" s="47" t="s">
        <v>958</v>
      </c>
      <c r="L11" s="47"/>
      <c r="M11" s="47"/>
      <c r="N11" s="47"/>
      <c r="O11" s="47"/>
      <c r="P11" s="47"/>
      <c r="Q11" s="47"/>
      <c r="R11" s="47"/>
      <c r="S11" s="47"/>
      <c r="T11" s="47"/>
      <c r="U11" s="47"/>
      <c r="V11" s="47"/>
      <c r="W11" s="47"/>
      <c r="X11" s="47"/>
      <c r="Y11" s="47"/>
      <c r="Z11" s="47"/>
    </row>
    <row r="12" spans="1:26" ht="15.75" customHeight="1">
      <c r="A12" s="46" t="s">
        <v>932</v>
      </c>
      <c r="B12" s="47" t="s">
        <v>959</v>
      </c>
      <c r="C12" s="47"/>
      <c r="D12" s="48"/>
      <c r="E12" s="48"/>
      <c r="F12" s="47" t="s">
        <v>960</v>
      </c>
      <c r="G12" s="47"/>
      <c r="H12" s="47" t="s">
        <v>961</v>
      </c>
      <c r="I12" s="47" t="s">
        <v>962</v>
      </c>
      <c r="J12" s="47"/>
      <c r="K12" s="47" t="s">
        <v>963</v>
      </c>
      <c r="L12" s="47"/>
      <c r="M12" s="47"/>
      <c r="N12" s="47"/>
      <c r="O12" s="47"/>
      <c r="P12" s="47"/>
      <c r="Q12" s="47"/>
      <c r="R12" s="47"/>
      <c r="S12" s="47"/>
      <c r="T12" s="47"/>
      <c r="U12" s="47"/>
      <c r="V12" s="47"/>
      <c r="W12" s="47"/>
      <c r="X12" s="47"/>
      <c r="Y12" s="47"/>
      <c r="Z12" s="47"/>
    </row>
    <row r="13" spans="1:26" ht="15.75" customHeight="1">
      <c r="A13" s="46" t="s">
        <v>933</v>
      </c>
      <c r="B13" s="47"/>
      <c r="C13" s="47" t="s">
        <v>964</v>
      </c>
      <c r="D13" s="47"/>
      <c r="E13" s="47" t="s">
        <v>965</v>
      </c>
      <c r="F13" s="47"/>
      <c r="G13" s="47"/>
      <c r="H13" s="48"/>
      <c r="I13" s="47"/>
      <c r="J13" s="47" t="s">
        <v>966</v>
      </c>
      <c r="K13" s="47" t="s">
        <v>967</v>
      </c>
      <c r="L13" s="47"/>
      <c r="M13" s="47"/>
      <c r="N13" s="47"/>
      <c r="O13" s="47"/>
      <c r="P13" s="47"/>
      <c r="Q13" s="47"/>
      <c r="R13" s="47"/>
      <c r="S13" s="47"/>
      <c r="T13" s="47"/>
      <c r="U13" s="47"/>
      <c r="V13" s="47"/>
      <c r="W13" s="47"/>
      <c r="X13" s="47"/>
      <c r="Y13" s="47"/>
      <c r="Z13" s="47"/>
    </row>
    <row r="14" spans="1:26" ht="15.75" customHeight="1">
      <c r="A14" s="46" t="s">
        <v>934</v>
      </c>
      <c r="B14" s="47"/>
      <c r="C14" s="47"/>
      <c r="D14" s="47"/>
      <c r="E14" s="47"/>
      <c r="F14" s="47" t="s">
        <v>968</v>
      </c>
      <c r="G14" s="47"/>
      <c r="H14" s="47"/>
      <c r="I14" s="48"/>
      <c r="J14" s="48"/>
      <c r="K14" s="47" t="s">
        <v>969</v>
      </c>
      <c r="L14" s="47"/>
      <c r="M14" s="47"/>
      <c r="N14" s="47"/>
      <c r="O14" s="47"/>
      <c r="P14" s="47"/>
      <c r="Q14" s="47"/>
      <c r="R14" s="47"/>
      <c r="S14" s="47"/>
      <c r="T14" s="47"/>
      <c r="U14" s="47"/>
      <c r="V14" s="47"/>
      <c r="W14" s="47"/>
      <c r="X14" s="47"/>
      <c r="Y14" s="47"/>
      <c r="Z14" s="47"/>
    </row>
    <row r="15" spans="1:26" ht="15.75" customHeight="1">
      <c r="A15" s="46" t="s">
        <v>935</v>
      </c>
      <c r="B15" s="47"/>
      <c r="C15" s="48"/>
      <c r="D15" s="47"/>
      <c r="E15" s="47"/>
      <c r="F15" s="47"/>
      <c r="G15" s="47"/>
      <c r="H15" s="47"/>
      <c r="I15" s="48"/>
      <c r="J15" s="47" t="s">
        <v>970</v>
      </c>
      <c r="K15" s="47" t="s">
        <v>971</v>
      </c>
      <c r="L15" s="47"/>
      <c r="M15" s="47"/>
      <c r="N15" s="47"/>
      <c r="O15" s="47"/>
      <c r="P15" s="47"/>
      <c r="Q15" s="47"/>
      <c r="R15" s="47"/>
      <c r="S15" s="47"/>
      <c r="T15" s="47"/>
      <c r="U15" s="47"/>
      <c r="V15" s="47"/>
      <c r="W15" s="47"/>
      <c r="X15" s="47"/>
      <c r="Y15" s="47"/>
      <c r="Z15" s="47"/>
    </row>
    <row r="16" spans="1:26" ht="15.75" customHeight="1">
      <c r="A16" s="47" t="s">
        <v>936</v>
      </c>
      <c r="B16" s="48"/>
      <c r="C16" s="47" t="s">
        <v>972</v>
      </c>
      <c r="D16" s="47" t="s">
        <v>973</v>
      </c>
      <c r="E16" s="47"/>
      <c r="F16" s="47"/>
      <c r="G16" s="47" t="s">
        <v>974</v>
      </c>
      <c r="H16" s="47"/>
      <c r="I16" s="47" t="s">
        <v>975</v>
      </c>
      <c r="J16" s="48"/>
      <c r="K16" s="47" t="s">
        <v>976</v>
      </c>
      <c r="L16" s="47"/>
      <c r="M16" s="47"/>
      <c r="N16" s="47"/>
      <c r="O16" s="47"/>
      <c r="P16" s="47"/>
      <c r="Q16" s="47"/>
      <c r="R16" s="47"/>
      <c r="S16" s="47"/>
      <c r="T16" s="47"/>
      <c r="U16" s="47"/>
      <c r="V16" s="47"/>
      <c r="W16" s="47"/>
      <c r="X16" s="47"/>
      <c r="Y16" s="47"/>
      <c r="Z16" s="47"/>
    </row>
    <row r="17" spans="1:26" ht="15.75" customHeight="1">
      <c r="A17" s="47" t="s">
        <v>937</v>
      </c>
      <c r="B17" s="47" t="s">
        <v>977</v>
      </c>
      <c r="C17" s="47" t="s">
        <v>978</v>
      </c>
      <c r="D17" s="47"/>
      <c r="E17" s="47"/>
      <c r="F17" s="48"/>
      <c r="G17" s="47"/>
      <c r="H17" s="47"/>
      <c r="I17" s="47" t="s">
        <v>979</v>
      </c>
      <c r="J17" s="47"/>
      <c r="K17" s="47"/>
      <c r="L17" s="47"/>
      <c r="M17" s="47"/>
      <c r="N17" s="47"/>
      <c r="O17" s="47"/>
      <c r="P17" s="47"/>
      <c r="Q17" s="47"/>
      <c r="R17" s="47"/>
      <c r="S17" s="47"/>
      <c r="T17" s="47"/>
      <c r="U17" s="47"/>
      <c r="V17" s="47"/>
      <c r="W17" s="47"/>
      <c r="X17" s="47"/>
      <c r="Y17" s="47"/>
      <c r="Z17" s="47"/>
    </row>
  </sheetData>
  <conditionalFormatting sqref="A3:Z17">
    <cfRule type="endsWith" dxfId="21" priority="1" operator="endsWith" text="1)">
      <formula>RIGHT((A3),LEN("1)"))=("1)")</formula>
    </cfRule>
    <cfRule type="endsWith" dxfId="20" priority="2" operator="endsWith" text="2)">
      <formula>RIGHT((A3),LEN("2)"))=("2)")</formula>
    </cfRule>
    <cfRule type="endsWith" dxfId="19" priority="3" operator="endsWith" text="3)">
      <formula>RIGHT((A3),LEN("3)"))=("3)")</formula>
    </cfRule>
    <cfRule type="endsWith" dxfId="18" priority="4" operator="endsWith" text="4)">
      <formula>RIGHT((A3),LEN("4)"))=("4)")</formula>
    </cfRule>
    <cfRule type="endsWith" dxfId="17" priority="5" operator="endsWith" text="5)">
      <formula>RIGHT((A3),LEN("5)"))=("5)")</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17"/>
  <sheetViews>
    <sheetView workbookViewId="0"/>
  </sheetViews>
  <sheetFormatPr baseColWidth="10" defaultColWidth="12.5" defaultRowHeight="15.75" customHeight="1"/>
  <sheetData>
    <row r="1" spans="1:26" ht="13">
      <c r="B1" s="26" t="s">
        <v>921</v>
      </c>
    </row>
    <row r="2" spans="1:26" ht="13">
      <c r="A2" s="26" t="s">
        <v>922</v>
      </c>
    </row>
    <row r="3" spans="1:26" ht="70.5" customHeight="1">
      <c r="A3" s="46" t="s">
        <v>923</v>
      </c>
      <c r="B3" s="47"/>
      <c r="C3" s="47"/>
      <c r="D3" s="47"/>
      <c r="E3" s="47"/>
      <c r="F3" s="47"/>
      <c r="G3" s="47"/>
      <c r="H3" s="47"/>
      <c r="I3" s="48"/>
      <c r="J3" s="48"/>
      <c r="K3" s="47"/>
      <c r="L3" s="47"/>
      <c r="M3" s="47"/>
      <c r="N3" s="47"/>
      <c r="O3" s="47"/>
      <c r="P3" s="47"/>
      <c r="Q3" s="47"/>
      <c r="R3" s="47"/>
      <c r="S3" s="47"/>
      <c r="T3" s="47"/>
      <c r="U3" s="47"/>
      <c r="V3" s="47"/>
      <c r="W3" s="47"/>
      <c r="X3" s="47"/>
      <c r="Y3" s="47"/>
      <c r="Z3" s="47"/>
    </row>
    <row r="4" spans="1:26" ht="14">
      <c r="A4" s="46" t="s">
        <v>924</v>
      </c>
      <c r="B4" s="48"/>
      <c r="C4" s="48"/>
      <c r="D4" s="48"/>
      <c r="E4" s="47"/>
      <c r="F4" s="47"/>
      <c r="G4" s="48"/>
      <c r="H4" s="47"/>
      <c r="I4" s="47"/>
      <c r="J4" s="47"/>
      <c r="K4" s="47"/>
      <c r="L4" s="47"/>
      <c r="M4" s="47"/>
      <c r="N4" s="47"/>
      <c r="O4" s="47"/>
      <c r="P4" s="47"/>
      <c r="Q4" s="47"/>
      <c r="R4" s="47"/>
      <c r="S4" s="47"/>
      <c r="T4" s="47"/>
      <c r="U4" s="47"/>
      <c r="V4" s="47"/>
      <c r="W4" s="47"/>
      <c r="X4" s="47"/>
      <c r="Y4" s="47"/>
      <c r="Z4" s="47"/>
    </row>
    <row r="5" spans="1:26" ht="14">
      <c r="A5" s="46" t="s">
        <v>925</v>
      </c>
      <c r="B5" s="47"/>
      <c r="C5" s="47"/>
      <c r="D5" s="48"/>
      <c r="E5" s="47"/>
      <c r="F5" s="48"/>
      <c r="G5" s="47"/>
      <c r="H5" s="47"/>
      <c r="I5" s="47"/>
      <c r="J5" s="47"/>
      <c r="K5" s="48"/>
      <c r="L5" s="47"/>
      <c r="M5" s="47"/>
      <c r="N5" s="47"/>
      <c r="O5" s="47"/>
      <c r="P5" s="47"/>
      <c r="Q5" s="47"/>
      <c r="R5" s="47"/>
      <c r="S5" s="47"/>
      <c r="T5" s="47"/>
      <c r="U5" s="47"/>
      <c r="V5" s="47"/>
      <c r="W5" s="47"/>
      <c r="X5" s="47"/>
      <c r="Y5" s="47"/>
      <c r="Z5" s="47"/>
    </row>
    <row r="6" spans="1:26" ht="14">
      <c r="A6" s="46" t="s">
        <v>926</v>
      </c>
      <c r="B6" s="47"/>
      <c r="C6" s="47"/>
      <c r="D6" s="47"/>
      <c r="E6" s="47"/>
      <c r="F6" s="47"/>
      <c r="G6" s="47"/>
      <c r="H6" s="47"/>
      <c r="I6" s="47"/>
      <c r="J6" s="47"/>
      <c r="K6" s="48"/>
      <c r="L6" s="47"/>
      <c r="M6" s="47"/>
      <c r="N6" s="47"/>
      <c r="O6" s="47"/>
      <c r="P6" s="47"/>
      <c r="Q6" s="47"/>
      <c r="R6" s="47"/>
      <c r="S6" s="47"/>
      <c r="T6" s="47"/>
      <c r="U6" s="47"/>
      <c r="V6" s="47"/>
      <c r="W6" s="47"/>
      <c r="X6" s="47"/>
      <c r="Y6" s="47"/>
      <c r="Z6" s="47"/>
    </row>
    <row r="7" spans="1:26" ht="14">
      <c r="A7" s="46" t="s">
        <v>927</v>
      </c>
      <c r="B7" s="47"/>
      <c r="C7" s="47"/>
      <c r="D7" s="47"/>
      <c r="E7" s="47"/>
      <c r="F7" s="47"/>
      <c r="G7" s="47"/>
      <c r="H7" s="47"/>
      <c r="I7" s="47"/>
      <c r="J7" s="47"/>
      <c r="K7" s="47"/>
      <c r="L7" s="47"/>
      <c r="M7" s="47"/>
      <c r="N7" s="47"/>
      <c r="O7" s="47"/>
      <c r="P7" s="47"/>
      <c r="Q7" s="47"/>
      <c r="R7" s="47"/>
      <c r="S7" s="47"/>
      <c r="T7" s="47"/>
      <c r="U7" s="47"/>
      <c r="V7" s="47"/>
      <c r="W7" s="47"/>
      <c r="X7" s="47"/>
      <c r="Y7" s="47"/>
      <c r="Z7" s="47"/>
    </row>
    <row r="8" spans="1:26" ht="14">
      <c r="A8" s="46" t="s">
        <v>928</v>
      </c>
      <c r="B8" s="47"/>
      <c r="C8" s="47"/>
      <c r="D8" s="47"/>
      <c r="E8" s="48"/>
      <c r="F8" s="47"/>
      <c r="G8" s="47"/>
      <c r="H8" s="48"/>
      <c r="I8" s="47"/>
      <c r="J8" s="47"/>
      <c r="K8" s="47"/>
      <c r="L8" s="47"/>
      <c r="M8" s="47"/>
      <c r="N8" s="47"/>
      <c r="O8" s="47"/>
      <c r="P8" s="47"/>
      <c r="Q8" s="47"/>
      <c r="R8" s="47"/>
      <c r="S8" s="47"/>
      <c r="T8" s="47"/>
      <c r="U8" s="47"/>
      <c r="V8" s="47"/>
      <c r="W8" s="47"/>
      <c r="X8" s="47"/>
      <c r="Y8" s="47"/>
      <c r="Z8" s="47"/>
    </row>
    <row r="9" spans="1:26" ht="14">
      <c r="A9" s="46" t="s">
        <v>929</v>
      </c>
      <c r="B9" s="48"/>
      <c r="C9" s="47"/>
      <c r="D9" s="47"/>
      <c r="E9" s="47"/>
      <c r="F9" s="48"/>
      <c r="G9" s="47"/>
      <c r="H9" s="47"/>
      <c r="I9" s="47"/>
      <c r="J9" s="47"/>
      <c r="K9" s="48"/>
      <c r="M9" s="47"/>
      <c r="N9" s="47"/>
      <c r="O9" s="47"/>
      <c r="P9" s="47"/>
      <c r="Q9" s="47"/>
      <c r="R9" s="47"/>
      <c r="S9" s="47"/>
      <c r="T9" s="47"/>
      <c r="U9" s="47"/>
      <c r="V9" s="47"/>
      <c r="W9" s="47"/>
      <c r="X9" s="47"/>
      <c r="Y9" s="47"/>
      <c r="Z9" s="47"/>
    </row>
    <row r="10" spans="1:26" ht="42">
      <c r="A10" s="46" t="s">
        <v>930</v>
      </c>
      <c r="B10" s="47"/>
      <c r="C10" s="47" t="s">
        <v>980</v>
      </c>
      <c r="D10" s="48" t="s">
        <v>981</v>
      </c>
      <c r="E10" s="47"/>
      <c r="F10" s="48" t="s">
        <v>982</v>
      </c>
      <c r="G10" s="47"/>
      <c r="H10" s="47"/>
      <c r="I10" s="47"/>
      <c r="J10" s="48" t="s">
        <v>983</v>
      </c>
      <c r="K10" s="47" t="s">
        <v>984</v>
      </c>
      <c r="L10" s="47"/>
      <c r="M10" s="47"/>
      <c r="N10" s="47"/>
      <c r="O10" s="47"/>
      <c r="P10" s="47"/>
      <c r="Q10" s="47"/>
      <c r="R10" s="47"/>
      <c r="S10" s="47"/>
      <c r="T10" s="47"/>
      <c r="U10" s="47"/>
      <c r="V10" s="47"/>
      <c r="W10" s="47"/>
      <c r="X10" s="47"/>
      <c r="Y10" s="47"/>
      <c r="Z10" s="47"/>
    </row>
    <row r="11" spans="1:26" ht="42">
      <c r="A11" s="46" t="s">
        <v>931</v>
      </c>
      <c r="B11" s="47"/>
      <c r="C11" s="47"/>
      <c r="D11" s="47"/>
      <c r="E11" s="47"/>
      <c r="F11" s="48" t="s">
        <v>985</v>
      </c>
      <c r="G11" s="48" t="s">
        <v>986</v>
      </c>
      <c r="H11" s="47"/>
      <c r="I11" s="47" t="s">
        <v>987</v>
      </c>
      <c r="J11" s="48" t="s">
        <v>988</v>
      </c>
      <c r="K11" s="47"/>
      <c r="L11" s="47"/>
      <c r="M11" s="47"/>
      <c r="N11" s="47"/>
      <c r="O11" s="47"/>
      <c r="P11" s="47"/>
      <c r="Q11" s="47"/>
      <c r="R11" s="47"/>
      <c r="S11" s="47"/>
      <c r="T11" s="47"/>
      <c r="U11" s="47"/>
      <c r="V11" s="47"/>
      <c r="W11" s="47"/>
      <c r="X11" s="47"/>
      <c r="Y11" s="47"/>
      <c r="Z11" s="47"/>
    </row>
    <row r="12" spans="1:26" ht="28">
      <c r="A12" s="46" t="s">
        <v>932</v>
      </c>
      <c r="B12" s="47"/>
      <c r="C12" s="47"/>
      <c r="D12" s="48"/>
      <c r="E12" s="48"/>
      <c r="F12" s="47"/>
      <c r="G12" s="47" t="s">
        <v>989</v>
      </c>
      <c r="H12" s="47"/>
      <c r="I12" s="47"/>
      <c r="J12" s="47"/>
      <c r="K12" s="47"/>
      <c r="L12" s="47"/>
      <c r="M12" s="47"/>
      <c r="N12" s="47"/>
      <c r="O12" s="47"/>
      <c r="P12" s="47"/>
      <c r="Q12" s="47"/>
      <c r="R12" s="47"/>
      <c r="S12" s="47"/>
      <c r="T12" s="47"/>
      <c r="U12" s="47"/>
      <c r="V12" s="47"/>
      <c r="W12" s="47"/>
      <c r="X12" s="47"/>
      <c r="Y12" s="47"/>
      <c r="Z12" s="47"/>
    </row>
    <row r="13" spans="1:26" ht="42">
      <c r="A13" s="46" t="s">
        <v>933</v>
      </c>
      <c r="B13" s="47"/>
      <c r="C13" s="47"/>
      <c r="D13" s="47"/>
      <c r="E13" s="47"/>
      <c r="F13" s="47" t="s">
        <v>990</v>
      </c>
      <c r="G13" s="47" t="s">
        <v>991</v>
      </c>
      <c r="H13" s="48" t="s">
        <v>992</v>
      </c>
      <c r="I13" s="47"/>
      <c r="J13" s="47"/>
      <c r="K13" s="47"/>
      <c r="L13" s="47"/>
      <c r="M13" s="47"/>
      <c r="N13" s="47"/>
      <c r="O13" s="47"/>
      <c r="P13" s="47"/>
      <c r="Q13" s="47"/>
      <c r="R13" s="47"/>
      <c r="S13" s="47"/>
      <c r="T13" s="47"/>
      <c r="U13" s="47"/>
      <c r="V13" s="47"/>
      <c r="W13" s="47"/>
      <c r="X13" s="47"/>
      <c r="Y13" s="47"/>
      <c r="Z13" s="47"/>
    </row>
    <row r="14" spans="1:26" ht="42">
      <c r="A14" s="46" t="s">
        <v>934</v>
      </c>
      <c r="B14" s="47"/>
      <c r="C14" s="47"/>
      <c r="D14" s="47"/>
      <c r="E14" s="47" t="s">
        <v>993</v>
      </c>
      <c r="F14" s="47"/>
      <c r="G14" s="47"/>
      <c r="H14" s="47" t="s">
        <v>994</v>
      </c>
      <c r="I14" s="48" t="s">
        <v>995</v>
      </c>
      <c r="J14" s="48"/>
      <c r="K14" s="47"/>
      <c r="L14" s="47"/>
      <c r="M14" s="47"/>
      <c r="N14" s="47"/>
      <c r="O14" s="47"/>
      <c r="P14" s="47"/>
      <c r="Q14" s="47"/>
      <c r="R14" s="47"/>
      <c r="S14" s="47"/>
      <c r="T14" s="47"/>
      <c r="U14" s="47"/>
      <c r="V14" s="47"/>
      <c r="W14" s="47"/>
      <c r="X14" s="47"/>
      <c r="Y14" s="47"/>
      <c r="Z14" s="47"/>
    </row>
    <row r="15" spans="1:26" ht="42">
      <c r="A15" s="46" t="s">
        <v>935</v>
      </c>
      <c r="B15" s="47"/>
      <c r="C15" s="48"/>
      <c r="D15" s="47"/>
      <c r="E15" s="47" t="s">
        <v>996</v>
      </c>
      <c r="F15" s="47"/>
      <c r="G15" s="47" t="s">
        <v>997</v>
      </c>
      <c r="H15" s="47" t="s">
        <v>998</v>
      </c>
      <c r="I15" s="48" t="s">
        <v>999</v>
      </c>
      <c r="J15" s="47"/>
      <c r="K15" s="47"/>
      <c r="L15" s="47"/>
      <c r="M15" s="47"/>
      <c r="N15" s="47"/>
      <c r="O15" s="47"/>
      <c r="P15" s="47"/>
      <c r="Q15" s="47"/>
      <c r="R15" s="47"/>
      <c r="S15" s="47"/>
      <c r="T15" s="47"/>
      <c r="U15" s="47"/>
      <c r="V15" s="47"/>
      <c r="W15" s="47"/>
      <c r="X15" s="47"/>
      <c r="Y15" s="47"/>
      <c r="Z15" s="47"/>
    </row>
    <row r="16" spans="1:26" ht="42">
      <c r="A16" s="47" t="s">
        <v>936</v>
      </c>
      <c r="B16" s="48"/>
      <c r="C16" s="47"/>
      <c r="D16" s="47"/>
      <c r="E16" s="47" t="s">
        <v>1000</v>
      </c>
      <c r="F16" s="47" t="s">
        <v>1001</v>
      </c>
      <c r="G16" s="47"/>
      <c r="H16" s="47"/>
      <c r="I16" s="47"/>
      <c r="J16" s="48"/>
      <c r="K16" s="47"/>
      <c r="L16" s="47"/>
      <c r="M16" s="47"/>
      <c r="N16" s="47"/>
      <c r="O16" s="47"/>
      <c r="P16" s="47"/>
      <c r="Q16" s="47"/>
      <c r="R16" s="47"/>
      <c r="S16" s="47"/>
      <c r="T16" s="47"/>
      <c r="U16" s="47"/>
      <c r="V16" s="47"/>
      <c r="W16" s="47"/>
      <c r="X16" s="47"/>
      <c r="Y16" s="47"/>
      <c r="Z16" s="47"/>
    </row>
    <row r="17" spans="1:26" ht="42">
      <c r="A17" s="47" t="s">
        <v>937</v>
      </c>
      <c r="B17" s="47"/>
      <c r="C17" s="47"/>
      <c r="D17" s="47" t="s">
        <v>1002</v>
      </c>
      <c r="E17" s="47"/>
      <c r="F17" s="48" t="s">
        <v>1003</v>
      </c>
      <c r="G17" s="47"/>
      <c r="H17" s="47" t="s">
        <v>1004</v>
      </c>
      <c r="I17" s="47"/>
      <c r="J17" s="47" t="s">
        <v>1005</v>
      </c>
      <c r="K17" s="47"/>
      <c r="L17" s="47"/>
      <c r="M17" s="47"/>
      <c r="N17" s="47"/>
      <c r="O17" s="47"/>
      <c r="P17" s="47"/>
      <c r="Q17" s="47"/>
      <c r="R17" s="47"/>
      <c r="S17" s="47"/>
      <c r="T17" s="47"/>
      <c r="U17" s="47"/>
      <c r="V17" s="47"/>
      <c r="W17" s="47"/>
      <c r="X17" s="47"/>
      <c r="Y17" s="47"/>
      <c r="Z17" s="47"/>
    </row>
  </sheetData>
  <conditionalFormatting sqref="A3:Z17">
    <cfRule type="endsWith" dxfId="16" priority="1" operator="endsWith" text="1)">
      <formula>RIGHT((A3),LEN("1)"))=("1)")</formula>
    </cfRule>
    <cfRule type="endsWith" dxfId="15" priority="2" operator="endsWith" text="2)">
      <formula>RIGHT((A3),LEN("2)"))=("2)")</formula>
    </cfRule>
    <cfRule type="endsWith" dxfId="14" priority="3" operator="endsWith" text="3)">
      <formula>RIGHT((A3),LEN("3)"))=("3)")</formula>
    </cfRule>
    <cfRule type="endsWith" dxfId="13" priority="4" operator="endsWith" text="4)">
      <formula>RIGHT((A3),LEN("4)"))=("4)")</formula>
    </cfRule>
    <cfRule type="endsWith" dxfId="12" priority="5" operator="endsWith" text="5)">
      <formula>RIGHT((A3),LEN("5)"))=("5)")</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B1:E6"/>
  <sheetViews>
    <sheetView workbookViewId="0"/>
  </sheetViews>
  <sheetFormatPr baseColWidth="10" defaultColWidth="12.5" defaultRowHeight="15.75" customHeight="1"/>
  <sheetData>
    <row r="1" spans="2:5" ht="15.75" customHeight="1">
      <c r="B1" s="26" t="s">
        <v>16</v>
      </c>
      <c r="C1" s="26" t="s">
        <v>19</v>
      </c>
      <c r="D1" s="26" t="s">
        <v>12</v>
      </c>
      <c r="E1" s="26" t="s">
        <v>22</v>
      </c>
    </row>
    <row r="2" spans="2:5" ht="15.75" customHeight="1">
      <c r="B2">
        <f ca="1">IFERROR(__xludf.DUMMYFUNCTION("PERCENTILE(FILTER('ALL PPR Drafts'!$H2:$H148, 'ALL PPR Drafts'!$F2:$F148 = ""RB""), 0)"),1)</f>
        <v>1</v>
      </c>
      <c r="C2">
        <f ca="1">IFERROR(__xludf.DUMMYFUNCTION("PERCENTILE(FILTER('ALL PPR Drafts'!$H2:$H148, 'ALL PPR Drafts'!$F2:$F148 = ""WR""), 0)"),0.5)</f>
        <v>0.5</v>
      </c>
      <c r="D2">
        <f ca="1">IFERROR(__xludf.DUMMYFUNCTION("PERCENTILE(FILTER('ALL PPR Drafts'!$H2:$H148, 'ALL PPR Drafts'!$F2:$F148 = ""QB""), 0)"),0.7)</f>
        <v>0.7</v>
      </c>
      <c r="E2">
        <f ca="1">IFERROR(__xludf.DUMMYFUNCTION("PERCENTILE(FILTER('ALL PPR Drafts'!$H2:$H148, 'ALL PPR Drafts'!$F2:$F148 = ""TE""), 0)"),2)</f>
        <v>2</v>
      </c>
    </row>
    <row r="3" spans="2:5" ht="15.75" customHeight="1">
      <c r="B3">
        <f ca="1">IFERROR(__xludf.DUMMYFUNCTION("PERCENTILE(FILTER('ALL PPR Drafts'!$H2:$H148, 'ALL PPR Drafts'!$F2:$F148 = ""RB""), 0.25)"),5.7)</f>
        <v>5.7</v>
      </c>
      <c r="C3">
        <f ca="1">IFERROR(__xludf.DUMMYFUNCTION("PERCENTILE(FILTER('ALL PPR Drafts'!$H2:$H148, 'ALL PPR Drafts'!$F2:$F148 = ""WR""), 0.25)"),5.3)</f>
        <v>5.3</v>
      </c>
      <c r="D3">
        <f ca="1">IFERROR(__xludf.DUMMYFUNCTION("PERCENTILE(FILTER('ALL PPR Drafts'!$H2:$H148, 'ALL PPR Drafts'!$F2:$F148 = ""QB""), 0.25)"),7.025)</f>
        <v>7.0250000000000004</v>
      </c>
      <c r="E3">
        <f ca="1">IFERROR(__xludf.DUMMYFUNCTION("PERCENTILE(FILTER('ALL PPR Drafts'!$H2:$H148, 'ALL PPR Drafts'!$F2:$F148 = ""TE""), 0.25)"),5.9)</f>
        <v>5.9</v>
      </c>
    </row>
    <row r="4" spans="2:5" ht="15.75" customHeight="1">
      <c r="B4">
        <f ca="1">IFERROR(__xludf.DUMMYFUNCTION("PERCENTILE(FILTER('ALL PPR Drafts'!$H2:$H148, 'ALL PPR Drafts'!$F2:$F148 = ""RB""), 0.5)"),8.3)</f>
        <v>8.3000000000000007</v>
      </c>
      <c r="C4">
        <f ca="1">IFERROR(__xludf.DUMMYFUNCTION("PERCENTILE(FILTER('ALL PPR Drafts'!$H2:$H148, 'ALL PPR Drafts'!$F2:$F148 = ""WR""), 0.5)"),8.8)</f>
        <v>8.8000000000000007</v>
      </c>
      <c r="D4">
        <f ca="1">IFERROR(__xludf.DUMMYFUNCTION("PERCENTILE(FILTER('ALL PPR Drafts'!$H2:$H148, 'ALL PPR Drafts'!$F2:$F148 = ""QB""), 0.5)"),10.5)</f>
        <v>10.5</v>
      </c>
      <c r="E4">
        <f ca="1">IFERROR(__xludf.DUMMYFUNCTION("PERCENTILE(FILTER('ALL PPR Drafts'!$H2:$H148, 'ALL PPR Drafts'!$F2:$F148 = ""TE""), 0.5)"),12)</f>
        <v>12</v>
      </c>
    </row>
    <row r="5" spans="2:5" ht="15.75" customHeight="1">
      <c r="B5">
        <f ca="1">IFERROR(__xludf.DUMMYFUNCTION("PERCENTILE(FILTER('ALL PPR Drafts'!$H2:$H148, 'ALL PPR Drafts'!$F2:$F148 = ""RB""), 0.75)"),12.9)</f>
        <v>12.9</v>
      </c>
      <c r="C5">
        <f ca="1">IFERROR(__xludf.DUMMYFUNCTION("PERCENTILE(FILTER('ALL PPR Drafts'!$H2:$H148, 'ALL PPR Drafts'!$F2:$F148 = ""WR""), 0.75)"),11.9)</f>
        <v>11.9</v>
      </c>
      <c r="D5">
        <f ca="1">IFERROR(__xludf.DUMMYFUNCTION("PERCENTILE(FILTER('ALL PPR Drafts'!$H2:$H148, 'ALL PPR Drafts'!$F2:$F148 = ""QB""), 0.75)"),11.3)</f>
        <v>11.3</v>
      </c>
      <c r="E5">
        <f ca="1">IFERROR(__xludf.DUMMYFUNCTION("PERCENTILE(FILTER('ALL PPR Drafts'!$H2:$H148, 'ALL PPR Drafts'!$F2:$F148 = ""TE""), 0.75)"),15.7)</f>
        <v>15.7</v>
      </c>
    </row>
    <row r="6" spans="2:5" ht="15.75" customHeight="1">
      <c r="B6">
        <f ca="1">IFERROR(__xludf.DUMMYFUNCTION("PERCENTILE(FILTER('ALL PPR Drafts'!$H2:$H148, 'ALL PPR Drafts'!$F2:$F148 = ""RB""), 1)"),52.3)</f>
        <v>52.3</v>
      </c>
      <c r="C6">
        <f ca="1">IFERROR(__xludf.DUMMYFUNCTION("PERCENTILE(FILTER('ALL PPR Drafts'!$H2:$H148, 'ALL PPR Drafts'!$F2:$F148 = ""WR""), 1)"),49)</f>
        <v>49</v>
      </c>
      <c r="D6">
        <f ca="1">IFERROR(__xludf.DUMMYFUNCTION("PERCENTILE(FILTER('ALL PPR Drafts'!$H2:$H148, 'ALL PPR Drafts'!$F2:$F148 = ""QB""), 1)"),24.7)</f>
        <v>24.7</v>
      </c>
      <c r="E6">
        <f ca="1">IFERROR(__xludf.DUMMYFUNCTION("PERCENTILE(FILTER('ALL PPR Drafts'!$H2:$H148, 'ALL PPR Drafts'!$F2:$F148 = ""TE""), 1)"),32.5)</f>
        <v>32.5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K17"/>
  <sheetViews>
    <sheetView workbookViewId="0"/>
  </sheetViews>
  <sheetFormatPr baseColWidth="10" defaultColWidth="12.5" defaultRowHeight="15.75" customHeight="1"/>
  <cols>
    <col min="2" max="2" width="16.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SORT(
    FILTER(
      IF(
        'ALL PPR Drafts'!C$2:C1000 = """",
        'ALL PPR Drafts'!D$2:D1000 &amp; "" ("" &amp; 'ALL PPR Drafts'!F$2:F1000 &amp; "")"",
        """"
      ),
      (VALUE(#REF!) &gt;= 11) * (VALUE(#REF!) &lt;= 20.99)
    ),
    ROW"&amp;"(#REF!) - ROW(#REF!) + 1, 
    FALSE
  )
)
"),"#REF!")</f>
        <v>#REF!</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51.99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52,
    VALUE(#REF!) &lt;= 61.99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62,
    VALUE(#REF!) &lt;= 71.99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72,
    VALUE(#REF!) &lt;= 81.99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82,
    VALUE(#REF!) &lt;= 93.99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94,
    VALUE(#REF!) &lt;= 103.99
  )
)
"),"#N/A")</f>
        <v>#N/A</v>
      </c>
      <c r="C12" s="47"/>
      <c r="D12" s="47"/>
      <c r="E12" s="47"/>
      <c r="F12" s="47"/>
      <c r="G12" s="47"/>
      <c r="H12" s="47"/>
      <c r="I12" s="47"/>
    </row>
    <row r="13" spans="1:11" ht="15.75" customHeight="1">
      <c r="A13" s="52"/>
      <c r="B13" s="47"/>
      <c r="C13" s="47"/>
      <c r="D13" s="47"/>
      <c r="E13" s="47"/>
      <c r="F13" s="47"/>
      <c r="G13" s="47"/>
      <c r="H13" s="47"/>
      <c r="I13" s="47"/>
    </row>
    <row r="14" spans="1:11" ht="15.75" customHeight="1">
      <c r="A14" s="52"/>
      <c r="B14" s="47"/>
      <c r="C14" s="47"/>
      <c r="D14" s="47"/>
      <c r="E14" s="47"/>
      <c r="F14" s="47"/>
      <c r="G14" s="47"/>
      <c r="H14" s="47"/>
      <c r="I14" s="47"/>
    </row>
    <row r="15" spans="1:11" ht="15.75" customHeight="1">
      <c r="A15" s="52"/>
      <c r="B15" s="47"/>
      <c r="C15" s="47"/>
      <c r="D15" s="47"/>
      <c r="E15" s="47"/>
      <c r="F15" s="47"/>
      <c r="G15" s="47"/>
      <c r="H15" s="47"/>
      <c r="I15" s="47"/>
    </row>
    <row r="16" spans="1:11" ht="15.75" customHeight="1">
      <c r="B16" s="47"/>
      <c r="C16" s="47"/>
      <c r="D16" s="47"/>
      <c r="E16" s="47"/>
      <c r="F16" s="47"/>
      <c r="G16" s="47"/>
      <c r="H16" s="47"/>
      <c r="I16" s="47"/>
    </row>
    <row r="17" spans="2:9" ht="15.75" customHeight="1">
      <c r="B17" s="47"/>
      <c r="C17" s="47"/>
      <c r="D17" s="47"/>
      <c r="E17" s="47"/>
      <c r="F17" s="47"/>
      <c r="G17" s="47"/>
      <c r="H17" s="47"/>
      <c r="I17" s="47"/>
    </row>
  </sheetData>
  <conditionalFormatting sqref="A3:Y17">
    <cfRule type="containsText" dxfId="11" priority="1" operator="containsText" text="QB">
      <formula>NOT(ISERROR(SEARCH(("QB"),(A3))))</formula>
    </cfRule>
    <cfRule type="containsText" dxfId="10" priority="2" operator="containsText" text="WR">
      <formula>NOT(ISERROR(SEARCH(("WR"),(A3))))</formula>
    </cfRule>
    <cfRule type="containsText" dxfId="9" priority="3" operator="containsText" text="RB">
      <formula>NOT(ISERROR(SEARCH(("RB"),(A3))))</formula>
    </cfRule>
    <cfRule type="containsText" dxfId="8" priority="4" operator="containsText" text="TE">
      <formula>NOT(ISERROR(SEARCH(("TE"),(A3))))</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K17"/>
  <sheetViews>
    <sheetView workbookViewId="0"/>
  </sheetViews>
  <sheetFormatPr baseColWidth="10" defaultColWidth="12.5" defaultRowHeight="15.75" customHeight="1"/>
  <cols>
    <col min="2" max="2" width="16.5" customWidth="1"/>
  </cols>
  <sheetData>
    <row r="1" spans="1:11" ht="15.75" customHeight="1">
      <c r="B1" s="26" t="s">
        <v>1006</v>
      </c>
    </row>
    <row r="2" spans="1:11" ht="15.75" customHeight="1">
      <c r="A2" s="26" t="s">
        <v>1007</v>
      </c>
      <c r="B2" s="26">
        <v>1</v>
      </c>
      <c r="C2" s="26">
        <v>2</v>
      </c>
      <c r="D2" s="26">
        <v>3</v>
      </c>
      <c r="E2" s="26">
        <v>4</v>
      </c>
      <c r="F2" s="26">
        <v>5</v>
      </c>
      <c r="G2" s="26">
        <v>6</v>
      </c>
      <c r="H2" s="26">
        <v>7</v>
      </c>
      <c r="I2" s="26">
        <v>8</v>
      </c>
      <c r="J2" s="26">
        <v>9</v>
      </c>
      <c r="K2" s="26">
        <v>10</v>
      </c>
    </row>
    <row r="3" spans="1:11" ht="15.75" customHeight="1">
      <c r="A3" s="52" t="s">
        <v>1008</v>
      </c>
      <c r="B3" s="47" t="str">
        <f ca="1">IFERROR(__xludf.DUMMYFUNCTION("TRANSPOSE(
  FILTER(
    IF(
      'ALL PPR Drafts'!C$2:C1000 = """",
      'ALL PPR Drafts'!D$2:D1000 &amp; "" ("" &amp; 'ALL PPR Drafts'!F$2:F1000 &amp; "")"",
      """"
    ),
    VALUE(#REF!) &gt;= 1,
    VALUE(#REF!) &lt;= 10.99
  )
)
"),"#N/A")</f>
        <v>#N/A</v>
      </c>
      <c r="C3" s="47"/>
      <c r="D3" s="47"/>
      <c r="E3" s="47"/>
      <c r="F3" s="47"/>
      <c r="G3" s="47"/>
      <c r="H3" s="47"/>
      <c r="I3" s="47"/>
    </row>
    <row r="4" spans="1:11" ht="15.75" customHeight="1">
      <c r="A4" s="52" t="s">
        <v>1009</v>
      </c>
      <c r="B4" s="47" t="str">
        <f ca="1">IFERROR(__xludf.DUMMYFUNCTION("TRANSPOSE(
  FILTER(
    IF(
      'ALL PPR Drafts'!C$2:C1000 = """",
      'ALL PPR Drafts'!D$2:D1000 &amp; "" ("" &amp; 'ALL PPR Drafts'!F$2:F1000 &amp; "")"",
      """"
    ),
    VALUE(#REF!) &gt;= 11,
    VALUE(#REF!) &lt;= 20.99
  )
)
"),"#N/A")</f>
        <v>#N/A</v>
      </c>
      <c r="C4" s="47"/>
      <c r="D4" s="47"/>
      <c r="E4" s="47"/>
      <c r="F4" s="47"/>
      <c r="G4" s="47"/>
      <c r="H4" s="47"/>
      <c r="I4" s="47"/>
    </row>
    <row r="5" spans="1:11" ht="15.75" customHeight="1">
      <c r="A5" s="52" t="s">
        <v>1010</v>
      </c>
      <c r="B5" s="47" t="str">
        <f ca="1">IFERROR(__xludf.DUMMYFUNCTION("TRANSPOSE(
  FILTER(
    IF(
      'ALL PPR Drafts'!C$2:C1000 = """",
      'ALL PPR Drafts'!D$2:D1000 &amp; "" ("" &amp; 'ALL PPR Drafts'!F$2:F1000 &amp; "")"",
      """"
    ),
    VALUE(#REF!) &gt;= 21,
    VALUE(#REF!) &lt;= 30.99
  )
)
"),"#N/A")</f>
        <v>#N/A</v>
      </c>
      <c r="C5" s="47"/>
      <c r="D5" s="47"/>
      <c r="E5" s="47"/>
      <c r="F5" s="47"/>
      <c r="G5" s="47"/>
      <c r="H5" s="47"/>
      <c r="I5" s="47"/>
    </row>
    <row r="6" spans="1:11" ht="15.75" customHeight="1">
      <c r="A6" s="52" t="s">
        <v>1011</v>
      </c>
      <c r="B6" s="47" t="str">
        <f ca="1">IFERROR(__xludf.DUMMYFUNCTION("TRANSPOSE(
  FILTER(
    IF(
      'ALL PPR Drafts'!C$2:C1000 = """",
      'ALL PPR Drafts'!D$2:D1000 &amp; "" ("" &amp; 'ALL PPR Drafts'!F$2:F1000 &amp; "")"",
      """"
    ),
    VALUE(#REF!) &gt;= 31,
    VALUE(#REF!) &lt;= 40.99
  )
)
"),"#N/A")</f>
        <v>#N/A</v>
      </c>
      <c r="C6" s="47"/>
      <c r="D6" s="47"/>
      <c r="E6" s="47"/>
      <c r="F6" s="47"/>
      <c r="G6" s="47"/>
      <c r="H6" s="47"/>
      <c r="I6" s="47"/>
    </row>
    <row r="7" spans="1:11" ht="15.75" customHeight="1">
      <c r="A7" s="52" t="s">
        <v>1012</v>
      </c>
      <c r="B7" s="47" t="str">
        <f ca="1">IFERROR(__xludf.DUMMYFUNCTION("TRANSPOSE(
  FILTER(
    IF(
      'ALL PPR Drafts'!C$2:C1000 = """",
      'ALL PPR Drafts'!D$2:D1000 &amp; "" ("" &amp; 'ALL PPR Drafts'!F$2:F1000 &amp; "")"",
      """"
    ),
    VALUE(#REF!) &gt;= 41,
    VALUE(#REF!) &lt;= 50.99
  )
)
"),"#N/A")</f>
        <v>#N/A</v>
      </c>
      <c r="C7" s="47"/>
      <c r="D7" s="47"/>
      <c r="E7" s="47"/>
      <c r="F7" s="47"/>
      <c r="G7" s="47"/>
      <c r="H7" s="47"/>
      <c r="I7" s="47"/>
    </row>
    <row r="8" spans="1:11" ht="15.75" customHeight="1">
      <c r="A8" s="52" t="s">
        <v>1013</v>
      </c>
      <c r="B8" s="47" t="str">
        <f ca="1">IFERROR(__xludf.DUMMYFUNCTION("TRANSPOSE(
  FILTER(
    IF(
      'ALL PPR Drafts'!C$2:C1000 = """",
      'ALL PPR Drafts'!D$2:D1000 &amp; "" ("" &amp; 'ALL PPR Drafts'!F$2:F1000 &amp; "")"",
      """"
    ),
    VALUE(#REF!) &gt;= 51,
    VALUE(#REF!) &lt;= 60.99
  )
)
"),"#N/A")</f>
        <v>#N/A</v>
      </c>
      <c r="C8" s="47"/>
      <c r="D8" s="47"/>
      <c r="E8" s="47"/>
      <c r="F8" s="47"/>
      <c r="G8" s="47"/>
      <c r="H8" s="47"/>
      <c r="I8" s="47"/>
    </row>
    <row r="9" spans="1:11" ht="15.75" customHeight="1">
      <c r="A9" s="52" t="s">
        <v>1014</v>
      </c>
      <c r="B9" s="47" t="str">
        <f ca="1">IFERROR(__xludf.DUMMYFUNCTION("TRANSPOSE(
  FILTER(
    IF(
      'ALL PPR Drafts'!C$2:C1000 = """",
      'ALL PPR Drafts'!D$2:D1000 &amp; "" ("" &amp; 'ALL PPR Drafts'!F$2:F1000 &amp; "")"",
      """"
    ),
    VALUE(#REF!) &gt;= 61,
    VALUE(#REF!) &lt;= 70.99
  )
)
"),"#N/A")</f>
        <v>#N/A</v>
      </c>
      <c r="C9" s="47"/>
      <c r="D9" s="47"/>
      <c r="E9" s="47"/>
      <c r="F9" s="47"/>
      <c r="G9" s="47"/>
      <c r="H9" s="47"/>
      <c r="I9" s="47"/>
    </row>
    <row r="10" spans="1:11" ht="15.75" customHeight="1">
      <c r="A10" s="52" t="s">
        <v>1015</v>
      </c>
      <c r="B10" s="47" t="str">
        <f ca="1">IFERROR(__xludf.DUMMYFUNCTION("TRANSPOSE(
  FILTER(
    IF(
      'ALL PPR Drafts'!C$2:C1000 = """",
      'ALL PPR Drafts'!D$2:D1000 &amp; "" ("" &amp; 'ALL PPR Drafts'!F$2:F1000 &amp; "")"",
      """"
    ),
    VALUE(#REF!) &gt;= 71,
    VALUE(#REF!) &lt;= 80.99
  )
)
"),"#N/A")</f>
        <v>#N/A</v>
      </c>
      <c r="C10" s="47"/>
      <c r="D10" s="47"/>
      <c r="E10" s="47"/>
      <c r="F10" s="47"/>
      <c r="G10" s="47"/>
      <c r="H10" s="47"/>
      <c r="I10" s="47"/>
    </row>
    <row r="11" spans="1:11" ht="15.75" customHeight="1">
      <c r="A11" s="52" t="s">
        <v>1016</v>
      </c>
      <c r="B11" s="47" t="str">
        <f ca="1">IFERROR(__xludf.DUMMYFUNCTION("TRANSPOSE(
  FILTER(
    IF(
      'ALL PPR Drafts'!C$2:C1000 = """",
      'ALL PPR Drafts'!D$2:D1000 &amp; "" ("" &amp; 'ALL PPR Drafts'!F$2:F1000 &amp; "")"",
      """"
    ),
    VALUE(#REF!) &gt;= 81,
    VALUE(#REF!) &lt;= 90.99
  )
)
"),"#N/A")</f>
        <v>#N/A</v>
      </c>
      <c r="C11" s="47"/>
      <c r="D11" s="47"/>
      <c r="E11" s="47"/>
      <c r="F11" s="47"/>
      <c r="G11" s="47"/>
      <c r="H11" s="47"/>
      <c r="I11" s="47"/>
    </row>
    <row r="12" spans="1:11" ht="15.75" customHeight="1">
      <c r="A12" s="52" t="s">
        <v>1017</v>
      </c>
      <c r="B12" s="47" t="str">
        <f ca="1">IFERROR(__xludf.DUMMYFUNCTION("TRANSPOSE(
  FILTER(
    IF(
      'ALL PPR Drafts'!C$2:C1000 = """",
      'ALL PPR Drafts'!D$2:D1000 &amp; "" ("" &amp; 'ALL PPR Drafts'!F$2:F1000 &amp; "")"",
      """"
    ),
    VALUE(#REF!) &gt;= 91,
    VALUE(#REF!) &lt;= 100.99
  )
)
"),"#N/A")</f>
        <v>#N/A</v>
      </c>
      <c r="C12" s="47"/>
      <c r="D12" s="47"/>
      <c r="E12" s="47"/>
      <c r="F12" s="47"/>
      <c r="G12" s="47"/>
      <c r="H12" s="47"/>
      <c r="I12" s="47"/>
    </row>
    <row r="13" spans="1:11" ht="15.75" customHeight="1">
      <c r="A13" s="52"/>
      <c r="B13" s="47" t="str">
        <f ca="1">IFERROR(__xludf.DUMMYFUNCTION("TRANSPOSE(
  FILTER(
    IF(
      'ALL PPR Drafts'!C$2:C1000 = """",
      'ALL PPR Drafts'!D$2:D1000 &amp; "" ("" &amp; 'ALL PPR Drafts'!F$2:F1000 &amp; "")"",
      """"
    ),
    VALUE(#REF!) &gt;= 101,
    VALUE(#REF!) &lt;= 110.99
  )
)
"),"#N/A")</f>
        <v>#N/A</v>
      </c>
      <c r="C13" s="47"/>
      <c r="D13" s="47"/>
      <c r="E13" s="47"/>
      <c r="F13" s="47"/>
      <c r="G13" s="47"/>
      <c r="H13" s="47"/>
      <c r="I13" s="47"/>
    </row>
    <row r="14" spans="1:11" ht="15.75" customHeight="1">
      <c r="A14" s="52"/>
      <c r="B14" s="47" t="str">
        <f ca="1">IFERROR(__xludf.DUMMYFUNCTION("TRANSPOSE(
  FILTER(
    IF(
      'ALL PPR Drafts'!C$2:C1000 = """",
      'ALL PPR Drafts'!D$2:D1000 &amp; "" ("" &amp; 'ALL PPR Drafts'!F$2:F1000 &amp; "")"",
      """"
    ),
    VALUE(#REF!) &gt;= 111,
    VALUE(#REF!) &lt;= 120.99
  )
)
"),"#N/A")</f>
        <v>#N/A</v>
      </c>
      <c r="C14" s="47"/>
      <c r="D14" s="47"/>
      <c r="E14" s="47"/>
      <c r="F14" s="47"/>
      <c r="G14" s="47"/>
      <c r="H14" s="47"/>
      <c r="I14" s="47"/>
    </row>
    <row r="15" spans="1:11" ht="15.75" customHeight="1">
      <c r="A15" s="52"/>
      <c r="B15" s="47" t="str">
        <f ca="1">IFERROR(__xludf.DUMMYFUNCTION("TRANSPOSE(
  FILTER(
    IF(
      'ALL PPR Drafts'!C$2:C1000 = """",
      'ALL PPR Drafts'!D$2:D1000 &amp; "" ("" &amp; 'ALL PPR Drafts'!F$2:F1000 &amp; "")"",
      """"
    ),
    VALUE(#REF!) &gt;= 121,
    VALUE(#REF!) &lt;= 130.99
  )
)
"),"#N/A")</f>
        <v>#N/A</v>
      </c>
      <c r="C15" s="47"/>
      <c r="D15" s="47"/>
      <c r="E15" s="47"/>
      <c r="F15" s="47"/>
      <c r="G15" s="47"/>
      <c r="H15" s="47"/>
      <c r="I15" s="47"/>
    </row>
    <row r="16" spans="1:11" ht="15.75" customHeight="1">
      <c r="B16" s="47" t="str">
        <f ca="1">IFERROR(__xludf.DUMMYFUNCTION("TRANSPOSE(
  FILTER(
    IF(
      'ALL PPR Drafts'!C$2:C1000 = """",
      'ALL PPR Drafts'!D$2:D1000 &amp; "" ("" &amp; 'ALL PPR Drafts'!F$2:F1000 &amp; "")"",
      """"
    ),
    VALUE(#REF!) &gt;= 131,
    VALUE(#REF!) &lt;= 140.99
  )
)
"),"#N/A")</f>
        <v>#N/A</v>
      </c>
      <c r="C16" s="47"/>
      <c r="D16" s="47"/>
      <c r="E16" s="47"/>
      <c r="F16" s="47"/>
      <c r="G16" s="47"/>
      <c r="H16" s="47"/>
      <c r="I16" s="47"/>
    </row>
    <row r="17" spans="2:9" ht="15.75" customHeight="1">
      <c r="B17" s="47" t="str">
        <f ca="1">IFERROR(__xludf.DUMMYFUNCTION("TRANSPOSE(
  FILTER(
    IF(
      'ALL PPR Drafts'!C$2:C1000 = """",
      'ALL PPR Drafts'!D$2:D1000 &amp; "" ("" &amp; 'ALL PPR Drafts'!F$2:F1000 &amp; "")"",
      """"
    ),
    VALUE(#REF!) &gt;= 141,
    VALUE(#REF!) &lt;= 150.99
  )
)
"),"#N/A")</f>
        <v>#N/A</v>
      </c>
      <c r="C17" s="47"/>
      <c r="D17" s="47"/>
      <c r="E17" s="47"/>
      <c r="F17" s="47"/>
      <c r="G17" s="47"/>
      <c r="H17" s="47"/>
      <c r="I17" s="47"/>
    </row>
  </sheetData>
  <conditionalFormatting sqref="A3:Z17">
    <cfRule type="containsText" dxfId="7" priority="1" operator="containsText" text="QB">
      <formula>NOT(ISERROR(SEARCH(("QB"),(A3))))</formula>
    </cfRule>
    <cfRule type="containsText" dxfId="6" priority="2" operator="containsText" text="WR">
      <formula>NOT(ISERROR(SEARCH(("WR"),(A3))))</formula>
    </cfRule>
    <cfRule type="containsText" dxfId="5" priority="3" operator="containsText" text="RB">
      <formula>NOT(ISERROR(SEARCH(("RB"),(A3))))</formula>
    </cfRule>
    <cfRule type="containsText" dxfId="4" priority="4" operator="containsText" text="TE">
      <formula>NOT(ISERROR(SEARCH(("TE"),(A3))))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O17"/>
  <sheetViews>
    <sheetView workbookViewId="0"/>
  </sheetViews>
  <sheetFormatPr baseColWidth="10" defaultColWidth="12.5" defaultRowHeight="15.75" customHeight="1"/>
  <cols>
    <col min="2" max="2" width="16.5" customWidth="1"/>
  </cols>
  <sheetData>
    <row r="1" spans="1:15" ht="15.75" customHeight="1">
      <c r="B1" s="26" t="s">
        <v>921</v>
      </c>
    </row>
    <row r="2" spans="1:15" ht="15.75" customHeight="1">
      <c r="A2" s="26" t="s">
        <v>922</v>
      </c>
    </row>
    <row r="3" spans="1:15" ht="15.75" customHeight="1">
      <c r="A3" s="52" t="s">
        <v>923</v>
      </c>
      <c r="B3" s="47" t="str">
        <f ca="1">IFERROR(__xludf.DUMMYFUNCTION("TRANSPOSE(
  FILTER(
    IF(
      'ALL PPR Drafts'!C$2:C1000 = """",
      'ALL PPR Drafts'!D$2:D1000 &amp; "" ("" &amp; 'ALL PPR Drafts'!F$2:F1000 &amp; "")"",
      """"
    ),
    VALUE('ALL PPR Drafts'!G$2:G1000) &gt;= 1,
    VALUE('ALL PPR Drafts'!G$2:G1000) &lt;= 10"&amp;"
  )
)
"),"")</f>
        <v/>
      </c>
      <c r="C3" s="47" t="str">
        <f ca="1">IFERROR(__xludf.DUMMYFUNCTION("""COMPUTED_VALUE"""),"")</f>
        <v/>
      </c>
      <c r="D3" s="47" t="str">
        <f ca="1">IFERROR(__xludf.DUMMYFUNCTION("""COMPUTED_VALUE"""),"")</f>
        <v/>
      </c>
      <c r="E3" s="47" t="str">
        <f ca="1">IFERROR(__xludf.DUMMYFUNCTION("""COMPUTED_VALUE"""),"")</f>
        <v/>
      </c>
      <c r="F3" s="47" t="str">
        <f ca="1">IFERROR(__xludf.DUMMYFUNCTION("""COMPUTED_VALUE"""),"")</f>
        <v/>
      </c>
      <c r="G3" s="47" t="str">
        <f ca="1">IFERROR(__xludf.DUMMYFUNCTION("""COMPUTED_VALUE"""),"")</f>
        <v/>
      </c>
      <c r="H3" s="47" t="str">
        <f ca="1">IFERROR(__xludf.DUMMYFUNCTION("""COMPUTED_VALUE"""),"")</f>
        <v/>
      </c>
      <c r="I3" s="47" t="str">
        <f ca="1">IFERROR(__xludf.DUMMYFUNCTION("""COMPUTED_VALUE"""),"")</f>
        <v/>
      </c>
      <c r="J3" t="str">
        <f ca="1">IFERROR(__xludf.DUMMYFUNCTION("""COMPUTED_VALUE"""),"")</f>
        <v/>
      </c>
    </row>
    <row r="4" spans="1:15" ht="15.75" customHeight="1">
      <c r="A4" s="52" t="s">
        <v>924</v>
      </c>
      <c r="B4" s="47" t="str">
        <f ca="1">IFERROR(__xludf.DUMMYFUNCTION("TRANSPOSE(
  FILTER(
    IF(
      'ALL PPR Drafts'!C$2:C1000 = """",
      'ALL PPR Drafts'!D$2:D1000 &amp; "" ("" &amp; 'ALL PPR Drafts'!F$2:F1000 &amp; "")"",
      """"
    ),
    VALUE('ALL PPR Drafts'!G$2:G1000) &gt;= 11,
    VALUE('ALL PPR Drafts'!G$2:G1000) &lt;= 2"&amp;"0
  )
)
"),"")</f>
        <v/>
      </c>
      <c r="C4" s="47" t="str">
        <f ca="1">IFERROR(__xludf.DUMMYFUNCTION("""COMPUTED_VALUE"""),"")</f>
        <v/>
      </c>
      <c r="D4" s="47" t="str">
        <f ca="1">IFERROR(__xludf.DUMMYFUNCTION("""COMPUTED_VALUE"""),"")</f>
        <v/>
      </c>
      <c r="E4" s="47" t="str">
        <f ca="1">IFERROR(__xludf.DUMMYFUNCTION("""COMPUTED_VALUE"""),"")</f>
        <v/>
      </c>
      <c r="F4" s="47" t="str">
        <f ca="1">IFERROR(__xludf.DUMMYFUNCTION("""COMPUTED_VALUE"""),"")</f>
        <v/>
      </c>
      <c r="G4" s="47" t="str">
        <f ca="1">IFERROR(__xludf.DUMMYFUNCTION("""COMPUTED_VALUE"""),"")</f>
        <v/>
      </c>
      <c r="H4" s="47" t="str">
        <f ca="1">IFERROR(__xludf.DUMMYFUNCTION("""COMPUTED_VALUE"""),"")</f>
        <v/>
      </c>
      <c r="I4" s="47"/>
    </row>
    <row r="5" spans="1:15" ht="15.75" customHeight="1">
      <c r="A5" s="52" t="s">
        <v>925</v>
      </c>
      <c r="B5" s="47" t="str">
        <f ca="1">IFERROR(__xludf.DUMMYFUNCTION("TRANSPOSE(
  FILTER(
    IF(
      'ALL PPR Drafts'!C$2:C1000 = """",
      'ALL PPR Drafts'!D$2:D1000 &amp; "" ("" &amp; 'ALL PPR Drafts'!F$2:F1000 &amp; "")"",
      """"
    ),
    VALUE('ALL PPR Drafts'!G$2:G1000) &gt;= 21,
    VALUE('ALL PPR Drafts'!G$2:G1000) &lt;= 3"&amp;"0
  )
)
"),"")</f>
        <v/>
      </c>
      <c r="C5" s="47" t="str">
        <f ca="1">IFERROR(__xludf.DUMMYFUNCTION("""COMPUTED_VALUE"""),"")</f>
        <v/>
      </c>
      <c r="D5" s="47" t="str">
        <f ca="1">IFERROR(__xludf.DUMMYFUNCTION("""COMPUTED_VALUE"""),"")</f>
        <v/>
      </c>
      <c r="E5" s="47" t="str">
        <f ca="1">IFERROR(__xludf.DUMMYFUNCTION("""COMPUTED_VALUE"""),"Derrick Henry (RB)")</f>
        <v>Derrick Henry (RB)</v>
      </c>
      <c r="F5" s="47" t="str">
        <f ca="1">IFERROR(__xludf.DUMMYFUNCTION("""COMPUTED_VALUE"""),"")</f>
        <v/>
      </c>
      <c r="G5" s="47" t="str">
        <f ca="1">IFERROR(__xludf.DUMMYFUNCTION("""COMPUTED_VALUE"""),"")</f>
        <v/>
      </c>
      <c r="H5" s="47" t="str">
        <f ca="1">IFERROR(__xludf.DUMMYFUNCTION("""COMPUTED_VALUE"""),"Lamar Jackson (QB)")</f>
        <v>Lamar Jackson (QB)</v>
      </c>
      <c r="I5" s="47" t="str">
        <f ca="1">IFERROR(__xludf.DUMMYFUNCTION("""COMPUTED_VALUE"""),"Tee Higgins (WR)")</f>
        <v>Tee Higgins (WR)</v>
      </c>
      <c r="J5" t="str">
        <f ca="1">IFERROR(__xludf.DUMMYFUNCTION("""COMPUTED_VALUE"""),"Kenneth Walker III (RB)")</f>
        <v>Kenneth Walker III (RB)</v>
      </c>
    </row>
    <row r="6" spans="1:15" ht="15.75" customHeight="1">
      <c r="A6" s="52" t="s">
        <v>926</v>
      </c>
      <c r="B6" s="47" t="str">
        <f ca="1">IFERROR(__xludf.DUMMYFUNCTION("TRANSPOSE(
  FILTER(
    IF(
      'ALL PPR Drafts'!C$2:C1000 = """",
      'ALL PPR Drafts'!D$2:D1000 &amp; "" ("" &amp; 'ALL PPR Drafts'!F$2:F1000 &amp; "")"",
      """"
    ),
    VALUE('ALL PPR Drafts'!G$2:G1000) &gt;= 31,
    VALUE('ALL PPR Drafts'!G$2:G1000) &lt;= 4"&amp;"0
  )
)
"),"Josh Jacobs (RB)")</f>
        <v>Josh Jacobs (RB)</v>
      </c>
      <c r="C6" s="47" t="str">
        <f ca="1">IFERROR(__xludf.DUMMYFUNCTION("""COMPUTED_VALUE"""),"")</f>
        <v/>
      </c>
      <c r="D6" s="47" t="str">
        <f ca="1">IFERROR(__xludf.DUMMYFUNCTION("""COMPUTED_VALUE"""),"")</f>
        <v/>
      </c>
      <c r="E6" s="47" t="str">
        <f ca="1">IFERROR(__xludf.DUMMYFUNCTION("""COMPUTED_VALUE"""),"Davante Adams (WR)")</f>
        <v>Davante Adams (WR)</v>
      </c>
      <c r="F6" s="47"/>
      <c r="G6" s="47"/>
      <c r="H6" s="47"/>
      <c r="I6" s="47"/>
    </row>
    <row r="7" spans="1:15" ht="15.75" customHeight="1">
      <c r="A7" s="52" t="s">
        <v>927</v>
      </c>
      <c r="B7" s="47" t="str">
        <f ca="1">IFERROR(__xludf.DUMMYFUNCTION("TRANSPOSE(
  FILTER(
    IF(
      'ALL PPR Drafts'!C$2:C1000 = """",
      'ALL PPR Drafts'!D$2:D1000 &amp; "" ("" &amp; 'ALL PPR Drafts'!F$2:F1000 &amp; "")"",
      """"
    ),
    VALUE('ALL PPR Drafts'!G$2:G1000) &gt;= 41,
    VALUE('ALL PPR Drafts'!G$2:G1000) &lt;= 5"&amp;"0
  )
)
"),"Breece Hall (RB)")</f>
        <v>Breece Hall (RB)</v>
      </c>
      <c r="C7" s="47" t="str">
        <f ca="1">IFERROR(__xludf.DUMMYFUNCTION("""COMPUTED_VALUE"""),"Tucker Kraft (TE)")</f>
        <v>Tucker Kraft (TE)</v>
      </c>
      <c r="D7" s="47" t="str">
        <f ca="1">IFERROR(__xludf.DUMMYFUNCTION("""COMPUTED_VALUE"""),"")</f>
        <v/>
      </c>
      <c r="E7" s="47" t="str">
        <f ca="1">IFERROR(__xludf.DUMMYFUNCTION("""COMPUTED_VALUE"""),"Zay Flowers (WR)")</f>
        <v>Zay Flowers (WR)</v>
      </c>
      <c r="F7" s="47" t="str">
        <f ca="1">IFERROR(__xludf.DUMMYFUNCTION("""COMPUTED_VALUE"""),"Joe Burrow (QB)")</f>
        <v>Joe Burrow (QB)</v>
      </c>
      <c r="G7" s="47" t="str">
        <f ca="1">IFERROR(__xludf.DUMMYFUNCTION("""COMPUTED_VALUE"""),"Javonte Williams (RB)")</f>
        <v>Javonte Williams (RB)</v>
      </c>
      <c r="H7" s="47" t="str">
        <f ca="1">IFERROR(__xludf.DUMMYFUNCTION("""COMPUTED_VALUE"""),"Travis Etienne Jr. (RB)")</f>
        <v>Travis Etienne Jr. (RB)</v>
      </c>
      <c r="I7" s="47" t="str">
        <f ca="1">IFERROR(__xludf.DUMMYFUNCTION("""COMPUTED_VALUE"""),"Jameson Williams (WR)")</f>
        <v>Jameson Williams (WR)</v>
      </c>
      <c r="J7" t="str">
        <f ca="1">IFERROR(__xludf.DUMMYFUNCTION("""COMPUTED_VALUE"""),"Jayden Daniels (QB)")</f>
        <v>Jayden Daniels (QB)</v>
      </c>
      <c r="K7" t="str">
        <f ca="1">IFERROR(__xludf.DUMMYFUNCTION("""COMPUTED_VALUE"""),"Carnell Tate (WR)")</f>
        <v>Carnell Tate (WR)</v>
      </c>
      <c r="L7" t="str">
        <f ca="1">IFERROR(__xludf.DUMMYFUNCTION("""COMPUTED_VALUE"""),"Bucky Irving (RB)")</f>
        <v>Bucky Irving (RB)</v>
      </c>
      <c r="M7" t="str">
        <f ca="1">IFERROR(__xludf.DUMMYFUNCTION("""COMPUTED_VALUE"""),"Ladd McConkey (WR)")</f>
        <v>Ladd McConkey (WR)</v>
      </c>
      <c r="N7" t="str">
        <f ca="1">IFERROR(__xludf.DUMMYFUNCTION("""COMPUTED_VALUE"""),"Terry McLaurin (WR)")</f>
        <v>Terry McLaurin (WR)</v>
      </c>
      <c r="O7" t="str">
        <f ca="1">IFERROR(__xludf.DUMMYFUNCTION("""COMPUTED_VALUE"""),"Colston Loveland (TE)")</f>
        <v>Colston Loveland (TE)</v>
      </c>
    </row>
    <row r="8" spans="1:15" ht="15.75" customHeight="1">
      <c r="A8" s="52" t="s">
        <v>928</v>
      </c>
      <c r="B8" s="47" t="str">
        <f ca="1">IFERROR(__xludf.DUMMYFUNCTION("TRANSPOSE(
  FILTER(
    IF(
      'ALL PPR Drafts'!C$2:C1000 = """",
      'ALL PPR Drafts'!D$2:D1000 &amp; "" ("" &amp; 'ALL PPR Drafts'!F$2:F1000 &amp; "")"",
      """"
    ),
    VALUE('ALL PPR Drafts'!G$2:G1000) &gt;= 51,
    VALUE('ALL PPR Drafts'!G$2:G1000) &lt;= 6"&amp;"0
  )
)
"),"Jaylen Waddle (WR)")</f>
        <v>Jaylen Waddle (WR)</v>
      </c>
      <c r="C8" s="47" t="str">
        <f ca="1">IFERROR(__xludf.DUMMYFUNCTION("""COMPUTED_VALUE"""),"Christian Watson (WR)")</f>
        <v>Christian Watson (WR)</v>
      </c>
      <c r="D8" s="47" t="str">
        <f ca="1">IFERROR(__xludf.DUMMYFUNCTION("""COMPUTED_VALUE"""),"TreVeyon Henderson (RB)")</f>
        <v>TreVeyon Henderson (RB)</v>
      </c>
      <c r="E8" s="47" t="str">
        <f ca="1">IFERROR(__xludf.DUMMYFUNCTION("""COMPUTED_VALUE"""),"Jalen Hurts (QB)")</f>
        <v>Jalen Hurts (QB)</v>
      </c>
      <c r="F8" s="47" t="str">
        <f ca="1">IFERROR(__xludf.DUMMYFUNCTION("""COMPUTED_VALUE"""),"Luther Burden III (WR)")</f>
        <v>Luther Burden III (WR)</v>
      </c>
      <c r="G8" s="47" t="str">
        <f ca="1">IFERROR(__xludf.DUMMYFUNCTION("""COMPUTED_VALUE"""),"Emeka Egbuka (WR)")</f>
        <v>Emeka Egbuka (WR)</v>
      </c>
      <c r="H8" s="47" t="str">
        <f ca="1">IFERROR(__xludf.DUMMYFUNCTION("""COMPUTED_VALUE"""),"Mike Evans (WR)")</f>
        <v>Mike Evans (WR)</v>
      </c>
      <c r="I8" s="47" t="str">
        <f ca="1">IFERROR(__xludf.DUMMYFUNCTION("""COMPUTED_VALUE"""),"DeVonta Smith (WR)")</f>
        <v>DeVonta Smith (WR)</v>
      </c>
      <c r="J8" t="str">
        <f ca="1">IFERROR(__xludf.DUMMYFUNCTION("""COMPUTED_VALUE"""),"D'Andre Swift (RB)")</f>
        <v>D'Andre Swift (RB)</v>
      </c>
    </row>
    <row r="9" spans="1:15" ht="15.75" customHeight="1">
      <c r="A9" s="52" t="s">
        <v>929</v>
      </c>
      <c r="B9" s="47" t="str">
        <f ca="1">IFERROR(__xludf.DUMMYFUNCTION("TRANSPOSE(
  FILTER(
    IF(
      'ALL PPR Drafts'!C$2:C1000 = """",
      'ALL PPR Drafts'!D$2:D1000 &amp; "" ("" &amp; 'ALL PPR Drafts'!F$2:F1000 &amp; "")"",
      """"
    ),
    VALUE('ALL PPR Drafts'!G$2:G1000) &gt;= 61,
    VALUE('ALL PPR Drafts'!G$2:G1000) &lt;= 7"&amp;"0
  )
)
"),"Quinshon Judkins (RB)")</f>
        <v>Quinshon Judkins (RB)</v>
      </c>
      <c r="C9" s="47" t="str">
        <f ca="1">IFERROR(__xludf.DUMMYFUNCTION("""COMPUTED_VALUE"""),"Makai Lemon (WR)")</f>
        <v>Makai Lemon (WR)</v>
      </c>
      <c r="D9" s="47" t="str">
        <f ca="1">IFERROR(__xludf.DUMMYFUNCTION("""COMPUTED_VALUE"""),"David Montgomery (RB)")</f>
        <v>David Montgomery (RB)</v>
      </c>
      <c r="E9" s="47" t="str">
        <f ca="1">IFERROR(__xludf.DUMMYFUNCTION("""COMPUTED_VALUE"""),"DJ Moore (WR)")</f>
        <v>DJ Moore (WR)</v>
      </c>
      <c r="F9" s="47" t="str">
        <f ca="1">IFERROR(__xludf.DUMMYFUNCTION("""COMPUTED_VALUE"""),"Bhayshul Tuten (RB)")</f>
        <v>Bhayshul Tuten (RB)</v>
      </c>
      <c r="G9" s="47" t="str">
        <f ca="1">IFERROR(__xludf.DUMMYFUNCTION("""COMPUTED_VALUE"""),"Jordyn Tyson (WR)")</f>
        <v>Jordyn Tyson (WR)</v>
      </c>
      <c r="H9" s="47" t="str">
        <f ca="1">IFERROR(__xludf.DUMMYFUNCTION("""COMPUTED_VALUE"""),"Rome Odunze (WR)")</f>
        <v>Rome Odunze (WR)</v>
      </c>
      <c r="I9" s="47" t="str">
        <f ca="1">IFERROR(__xludf.DUMMYFUNCTION("""COMPUTED_VALUE"""),"RJ Harvey (RB)")</f>
        <v>RJ Harvey (RB)</v>
      </c>
      <c r="J9" t="str">
        <f ca="1">IFERROR(__xludf.DUMMYFUNCTION("""COMPUTED_VALUE"""),"Tyler Warren (TE)")</f>
        <v>Tyler Warren (TE)</v>
      </c>
      <c r="K9" t="str">
        <f ca="1">IFERROR(__xludf.DUMMYFUNCTION("""COMPUTED_VALUE"""),"Alec Pierce (WR)")</f>
        <v>Alec Pierce (WR)</v>
      </c>
      <c r="L9" t="str">
        <f ca="1">IFERROR(__xludf.DUMMYFUNCTION("""COMPUTED_VALUE"""),"Jaxson Dart (QB)")</f>
        <v>Jaxson Dart (QB)</v>
      </c>
    </row>
    <row r="10" spans="1:15" ht="15.75" customHeight="1">
      <c r="A10" s="52" t="s">
        <v>930</v>
      </c>
      <c r="B10" s="47" t="str">
        <f ca="1">IFERROR(__xludf.DUMMYFUNCTION("TRANSPOSE(
  FILTER(
    IF(
      'ALL PPR Drafts'!C$2:C1000 = """",
      'ALL PPR Drafts'!D$2:D1000 &amp; "" ("" &amp; 'ALL PPR Drafts'!F$2:F1000 &amp; "")"",
      """"
    ),
    VALUE('ALL PPR Drafts'!G$2:G1000) &gt;= 71,
    VALUE('ALL PPR Drafts'!G$2:G1000) &lt;= 8"&amp;"0
  )
)
"),"Caleb Williams (QB)")</f>
        <v>Caleb Williams (QB)</v>
      </c>
      <c r="C10" s="47" t="str">
        <f ca="1">IFERROR(__xludf.DUMMYFUNCTION("""COMPUTED_VALUE"""),"Jaylen Warren (RB)")</f>
        <v>Jaylen Warren (RB)</v>
      </c>
      <c r="D10" s="47" t="str">
        <f ca="1">IFERROR(__xludf.DUMMYFUNCTION("""COMPUTED_VALUE"""),"Courtland Sutton (WR)")</f>
        <v>Courtland Sutton (WR)</v>
      </c>
      <c r="E10" s="47" t="str">
        <f ca="1">IFERROR(__xludf.DUMMYFUNCTION("""COMPUTED_VALUE"""),"Harold Fannin Jr. (TE)")</f>
        <v>Harold Fannin Jr. (TE)</v>
      </c>
      <c r="F10" s="47" t="str">
        <f ca="1">IFERROR(__xludf.DUMMYFUNCTION("""COMPUTED_VALUE"""),"DK Metcalf (WR)")</f>
        <v>DK Metcalf (WR)</v>
      </c>
      <c r="G10" s="47" t="str">
        <f ca="1">IFERROR(__xludf.DUMMYFUNCTION("""COMPUTED_VALUE"""),"Justin Herbert (QB)")</f>
        <v>Justin Herbert (QB)</v>
      </c>
      <c r="H10" s="47" t="str">
        <f ca="1">IFERROR(__xludf.DUMMYFUNCTION("""COMPUTED_VALUE"""),"Kyle Monangai (RB)")</f>
        <v>Kyle Monangai (RB)</v>
      </c>
      <c r="I10" s="47"/>
    </row>
    <row r="11" spans="1:15" ht="15.75" customHeight="1">
      <c r="A11" s="52" t="s">
        <v>931</v>
      </c>
      <c r="B11" s="47" t="str">
        <f ca="1">IFERROR(__xludf.DUMMYFUNCTION("TRANSPOSE(
  FILTER(
    IF(
      'ALL PPR Drafts'!C$2:C1000 = """",
      'ALL PPR Drafts'!D$2:D1000 &amp; "" ("" &amp; 'ALL PPR Drafts'!F$2:F1000 &amp; "")"",
      """"
    ),
    VALUE('ALL PPR Drafts'!G$2:G1000) &gt;= 81,
    VALUE('ALL PPR Drafts'!G$2:G1000) &lt;= 9"&amp;"0
  )
)
"),"Rico Dowdle (RB)")</f>
        <v>Rico Dowdle (RB)</v>
      </c>
      <c r="C11" s="47" t="str">
        <f ca="1">IFERROR(__xludf.DUMMYFUNCTION("""COMPUTED_VALUE"""),"Marvin Harrison Jr. (WR)")</f>
        <v>Marvin Harrison Jr. (WR)</v>
      </c>
      <c r="D11" s="47" t="str">
        <f ca="1">IFERROR(__xludf.DUMMYFUNCTION("""COMPUTED_VALUE"""),"Rhamondre Stevenson (RB)")</f>
        <v>Rhamondre Stevenson (RB)</v>
      </c>
      <c r="E11" s="47" t="str">
        <f ca="1">IFERROR(__xludf.DUMMYFUNCTION("""COMPUTED_VALUE"""),"Sam LaPorta (TE)")</f>
        <v>Sam LaPorta (TE)</v>
      </c>
      <c r="F11" s="47" t="str">
        <f ca="1">IFERROR(__xludf.DUMMYFUNCTION("""COMPUTED_VALUE"""),"Trevor Lawrence (QB)")</f>
        <v>Trevor Lawrence (QB)</v>
      </c>
      <c r="G11" s="47" t="str">
        <f ca="1">IFERROR(__xludf.DUMMYFUNCTION("""COMPUTED_VALUE"""),"Kyle Pitts Sr. (TE)")</f>
        <v>Kyle Pitts Sr. (TE)</v>
      </c>
      <c r="H11" s="47" t="str">
        <f ca="1">IFERROR(__xludf.DUMMYFUNCTION("""COMPUTED_VALUE"""),"Dak Prescott (QB)")</f>
        <v>Dak Prescott (QB)</v>
      </c>
      <c r="I11" s="47" t="str">
        <f ca="1">IFERROR(__xludf.DUMMYFUNCTION("""COMPUTED_VALUE"""),"Tyler Allgeier (RB)")</f>
        <v>Tyler Allgeier (RB)</v>
      </c>
    </row>
    <row r="12" spans="1:15" ht="15.75" customHeight="1">
      <c r="A12" s="52" t="s">
        <v>932</v>
      </c>
      <c r="B12" s="47" t="str">
        <f ca="1">IFERROR(__xludf.DUMMYFUNCTION("TRANSPOSE(
  FILTER(
    IF(
      'ALL PPR Drafts'!C$2:C1000 = """",
      'ALL PPR Drafts'!D$2:D1000 &amp; "" ("" &amp; 'ALL PPR Drafts'!F$2:F1000 &amp; "")"",
      """"
    ),
    VALUE('ALL PPR Drafts'!G$2:G1000) &gt;= 91,
    VALUE('ALL PPR Drafts'!G$2:G1000) &lt;= 1"&amp;"00
  )
)
"),"Patrick Mahomes II (QB)")</f>
        <v>Patrick Mahomes II (QB)</v>
      </c>
      <c r="C12" s="47" t="str">
        <f ca="1">IFERROR(__xludf.DUMMYFUNCTION("""COMPUTED_VALUE"""),"Chuba Hubbard (RB)")</f>
        <v>Chuba Hubbard (RB)</v>
      </c>
      <c r="D12" s="47" t="str">
        <f ca="1">IFERROR(__xludf.DUMMYFUNCTION("""COMPUTED_VALUE"""),"Michael Wilson (WR)")</f>
        <v>Michael Wilson (WR)</v>
      </c>
      <c r="E12" s="47" t="str">
        <f ca="1">IFERROR(__xludf.DUMMYFUNCTION("""COMPUTED_VALUE"""),"Jordan Addison (WR)")</f>
        <v>Jordan Addison (WR)</v>
      </c>
      <c r="F12" s="47" t="str">
        <f ca="1">IFERROR(__xludf.DUMMYFUNCTION("""COMPUTED_VALUE"""),"Zach Charbonnet (RB)")</f>
        <v>Zach Charbonnet (RB)</v>
      </c>
      <c r="G12" s="47" t="str">
        <f ca="1">IFERROR(__xludf.DUMMYFUNCTION("""COMPUTED_VALUE"""),"Chris Godwin Jr. (WR)")</f>
        <v>Chris Godwin Jr. (WR)</v>
      </c>
      <c r="H12" s="47"/>
      <c r="I12" s="47"/>
    </row>
    <row r="13" spans="1:15" ht="15.75" customHeight="1">
      <c r="A13" s="52" t="s">
        <v>933</v>
      </c>
      <c r="B13" s="47" t="str">
        <f ca="1">IFERROR(__xludf.DUMMYFUNCTION("TRANSPOSE(
  FILTER(
    IF(
      'ALL PPR Drafts'!C$2:C1000 = """",
      'ALL PPR Drafts'!D$2:D1000 &amp; "" ("" &amp; 'ALL PPR Drafts'!F$2:F1000 &amp; "")"",
      """"
    ),
    VALUE('ALL PPR Drafts'!G$2:G1000) &gt;= 101,
    VALUE('ALL PPR Drafts'!G$2:G1000) &lt;= "&amp;"110
  )
)
"),"J.K. Dobbins (RB)")</f>
        <v>J.K. Dobbins (RB)</v>
      </c>
      <c r="C13" s="47" t="str">
        <f ca="1">IFERROR(__xludf.DUMMYFUNCTION("""COMPUTED_VALUE"""),"Dalton Kincaid (TE)")</f>
        <v>Dalton Kincaid (TE)</v>
      </c>
      <c r="D13" s="47" t="str">
        <f ca="1">IFERROR(__xludf.DUMMYFUNCTION("""COMPUTED_VALUE"""),"Jacory Croskey-Merritt (RB)")</f>
        <v>Jacory Croskey-Merritt (RB)</v>
      </c>
      <c r="E13" s="47" t="str">
        <f ca="1">IFERROR(__xludf.DUMMYFUNCTION("""COMPUTED_VALUE"""),"Bo Nix (QB)")</f>
        <v>Bo Nix (QB)</v>
      </c>
      <c r="F13" s="47" t="str">
        <f ca="1">IFERROR(__xludf.DUMMYFUNCTION("""COMPUTED_VALUE"""),"Matthew Stafford (QB)")</f>
        <v>Matthew Stafford (QB)</v>
      </c>
      <c r="G13" s="47" t="str">
        <f ca="1">IFERROR(__xludf.DUMMYFUNCTION("""COMPUTED_VALUE"""),"Ricky Pearsall (WR)")</f>
        <v>Ricky Pearsall (WR)</v>
      </c>
      <c r="H13" s="47" t="str">
        <f ca="1">IFERROR(__xludf.DUMMYFUNCTION("""COMPUTED_VALUE"""),"Parker Washington (WR)")</f>
        <v>Parker Washington (WR)</v>
      </c>
      <c r="I13" s="47" t="str">
        <f ca="1">IFERROR(__xludf.DUMMYFUNCTION("""COMPUTED_VALUE"""),"Quentin Johnston (WR)")</f>
        <v>Quentin Johnston (WR)</v>
      </c>
      <c r="J13" t="str">
        <f ca="1">IFERROR(__xludf.DUMMYFUNCTION("""COMPUTED_VALUE"""),"Oronde Gadsden II (TE)")</f>
        <v>Oronde Gadsden II (TE)</v>
      </c>
      <c r="K13" t="str">
        <f ca="1">IFERROR(__xludf.DUMMYFUNCTION("""COMPUTED_VALUE"""),"Michael Pittman Jr. (WR)")</f>
        <v>Michael Pittman Jr. (WR)</v>
      </c>
      <c r="L13" t="str">
        <f ca="1">IFERROR(__xludf.DUMMYFUNCTION("""COMPUTED_VALUE"""),"Woody Marks (RB)")</f>
        <v>Woody Marks (RB)</v>
      </c>
    </row>
    <row r="14" spans="1:15" ht="15.75" customHeight="1">
      <c r="A14" s="52" t="s">
        <v>934</v>
      </c>
      <c r="B14" s="47" t="str">
        <f ca="1">IFERROR(__xludf.DUMMYFUNCTION("TRANSPOSE(
  FILTER(
    IF(
      'ALL PPR Drafts'!C$2:C1000 = """",
      'ALL PPR Drafts'!D$2:D1000 &amp; "" ("" &amp; 'ALL PPR Drafts'!F$2:F1000 &amp; "")"",
      """"
    ),
    VALUE('ALL PPR Drafts'!G$2:G1000) &gt;= 111,
    VALUE('ALL PPR Drafts'!G$2:G1000) &lt;= "&amp;"120
  )
)
"),"Jordan Love (QB)")</f>
        <v>Jordan Love (QB)</v>
      </c>
      <c r="C14" s="47" t="str">
        <f ca="1">IFERROR(__xludf.DUMMYFUNCTION("""COMPUTED_VALUE"""),"Brandon Aiyuk (WR)")</f>
        <v>Brandon Aiyuk (WR)</v>
      </c>
      <c r="D14" s="47" t="str">
        <f ca="1">IFERROR(__xludf.DUMMYFUNCTION("""COMPUTED_VALUE"""),"Jakobi Meyers (WR)")</f>
        <v>Jakobi Meyers (WR)</v>
      </c>
      <c r="E14" s="47" t="str">
        <f ca="1">IFERROR(__xludf.DUMMYFUNCTION("""COMPUTED_VALUE"""),"Jared Goff (QB)")</f>
        <v>Jared Goff (QB)</v>
      </c>
      <c r="F14" s="47" t="str">
        <f ca="1">IFERROR(__xludf.DUMMYFUNCTION("""COMPUTED_VALUE"""),"Aaron Jones Sr. (RB)")</f>
        <v>Aaron Jones Sr. (RB)</v>
      </c>
      <c r="G14" s="47" t="str">
        <f ca="1">IFERROR(__xludf.DUMMYFUNCTION("""COMPUTED_VALUE"""),"Jake Ferguson (TE)")</f>
        <v>Jake Ferguson (TE)</v>
      </c>
      <c r="H14" s="47" t="str">
        <f ca="1">IFERROR(__xludf.DUMMYFUNCTION("""COMPUTED_VALUE"""),"Wan'Dale Robinson (WR)")</f>
        <v>Wan'Dale Robinson (WR)</v>
      </c>
      <c r="I14" s="47" t="str">
        <f ca="1">IFERROR(__xludf.DUMMYFUNCTION("""COMPUTED_VALUE"""),"Denzel Boston (WR)")</f>
        <v>Denzel Boston (WR)</v>
      </c>
      <c r="J14" t="str">
        <f ca="1">IFERROR(__xludf.DUMMYFUNCTION("""COMPUTED_VALUE"""),"Jordan Mason (RB)")</f>
        <v>Jordan Mason (RB)</v>
      </c>
    </row>
    <row r="15" spans="1:15" ht="15.75" customHeight="1">
      <c r="A15" s="52" t="s">
        <v>935</v>
      </c>
      <c r="B15" s="47" t="str">
        <f ca="1">IFERROR(__xludf.DUMMYFUNCTION("TRANSPOSE(
  FILTER(
    IF(
      'ALL PPR Drafts'!C$2:C1000 = """",
      'ALL PPR Drafts'!D$2:D1000 &amp; "" ("" &amp; 'ALL PPR Drafts'!F$2:F1000 &amp; "")"",
      """"
    ),
    VALUE('ALL PPR Drafts'!G$2:G1000) &gt;= 121,
    VALUE('ALL PPR Drafts'!G$2:G1000) &lt;= "&amp;"130
  )
)
"),"Juwan Johnson (TE)")</f>
        <v>Juwan Johnson (TE)</v>
      </c>
      <c r="C15" s="47" t="str">
        <f ca="1">IFERROR(__xludf.DUMMYFUNCTION("""COMPUTED_VALUE"""),"James Conner (RB)")</f>
        <v>James Conner (RB)</v>
      </c>
      <c r="D15" s="47" t="str">
        <f ca="1">IFERROR(__xludf.DUMMYFUNCTION("""COMPUTED_VALUE"""),"Jayden Higgins (WR)")</f>
        <v>Jayden Higgins (WR)</v>
      </c>
      <c r="E15" s="47" t="str">
        <f ca="1">IFERROR(__xludf.DUMMYFUNCTION("""COMPUTED_VALUE"""),"Jauan Jennings (WR)")</f>
        <v>Jauan Jennings (WR)</v>
      </c>
      <c r="F15" s="47" t="str">
        <f ca="1">IFERROR(__xludf.DUMMYFUNCTION("""COMPUTED_VALUE"""),"Malik Willis (QB)")</f>
        <v>Malik Willis (QB)</v>
      </c>
      <c r="G15" s="47" t="str">
        <f ca="1">IFERROR(__xludf.DUMMYFUNCTION("""COMPUTED_VALUE"""),"Brenton Strange (TE)")</f>
        <v>Brenton Strange (TE)</v>
      </c>
      <c r="H15" s="47" t="str">
        <f ca="1">IFERROR(__xludf.DUMMYFUNCTION("""COMPUTED_VALUE"""),"Tyler Shough (QB)")</f>
        <v>Tyler Shough (QB)</v>
      </c>
      <c r="I15" s="47" t="str">
        <f ca="1">IFERROR(__xludf.DUMMYFUNCTION("""COMPUTED_VALUE"""),"Kyler Murray (QB)")</f>
        <v>Kyler Murray (QB)</v>
      </c>
      <c r="J15" t="str">
        <f ca="1">IFERROR(__xludf.DUMMYFUNCTION("""COMPUTED_VALUE"""),"Baker Mayfield (QB)")</f>
        <v>Baker Mayfield (QB)</v>
      </c>
      <c r="K15" t="str">
        <f ca="1">IFERROR(__xludf.DUMMYFUNCTION("""COMPUTED_VALUE"""),"Travis Kelce (TE)")</f>
        <v>Travis Kelce (TE)</v>
      </c>
      <c r="L15" t="str">
        <f ca="1">IFERROR(__xludf.DUMMYFUNCTION("""COMPUTED_VALUE"""),"K.C. Concepcion (WR)")</f>
        <v>K.C. Concepcion (WR)</v>
      </c>
    </row>
    <row r="16" spans="1:15" ht="15.75" customHeight="1">
      <c r="A16" s="26" t="s">
        <v>936</v>
      </c>
      <c r="B16" s="47" t="str">
        <f ca="1">IFERROR(__xludf.DUMMYFUNCTION("TRANSPOSE(
  FILTER(
    IF(
      'ALL PPR Drafts'!C$2:C1000 = """",
      'ALL PPR Drafts'!D$2:D1000 &amp; "" ("" &amp; 'ALL PPR Drafts'!F$2:F1000 &amp; "")"",
      """"
    ),
    VALUE('ALL PPR Drafts'!G$2:G1000) &gt;= 131,
    VALUE('ALL PPR Drafts'!G$2:G1000) &lt;= "&amp;"140
  )
)
"),"Dallas Goedert (TE)")</f>
        <v>Dallas Goedert (TE)</v>
      </c>
      <c r="C16" s="47" t="str">
        <f ca="1">IFERROR(__xludf.DUMMYFUNCTION("""COMPUTED_VALUE"""),"Jadarian Price (RB)")</f>
        <v>Jadarian Price (RB)</v>
      </c>
      <c r="D16" s="47" t="str">
        <f ca="1">IFERROR(__xludf.DUMMYFUNCTION("""COMPUTED_VALUE"""),"Braelon Allen (RB)")</f>
        <v>Braelon Allen (RB)</v>
      </c>
      <c r="E16" s="47" t="str">
        <f ca="1">IFERROR(__xludf.DUMMYFUNCTION("""COMPUTED_VALUE"""),"Jayden Reed (WR)")</f>
        <v>Jayden Reed (WR)</v>
      </c>
      <c r="F16" s="47" t="str">
        <f ca="1">IFERROR(__xludf.DUMMYFUNCTION("""COMPUTED_VALUE"""),"Kenneth Gainwell (RB)")</f>
        <v>Kenneth Gainwell (RB)</v>
      </c>
      <c r="G16" s="47" t="str">
        <f ca="1">IFERROR(__xludf.DUMMYFUNCTION("""COMPUTED_VALUE"""),"Romeo Doubs (WR)")</f>
        <v>Romeo Doubs (WR)</v>
      </c>
      <c r="H16" s="47" t="str">
        <f ca="1">IFERROR(__xludf.DUMMYFUNCTION("""COMPUTED_VALUE"""),"Tyrone Tracy Jr. (RB)")</f>
        <v>Tyrone Tracy Jr. (RB)</v>
      </c>
      <c r="I16" s="47" t="str">
        <f ca="1">IFERROR(__xludf.DUMMYFUNCTION("""COMPUTED_VALUE"""),"George Kittle (TE)")</f>
        <v>George Kittle (TE)</v>
      </c>
      <c r="J16" t="str">
        <f ca="1">IFERROR(__xludf.DUMMYFUNCTION("""COMPUTED_VALUE"""),"Hunter Henry (TE)")</f>
        <v>Hunter Henry (TE)</v>
      </c>
      <c r="K16" t="str">
        <f ca="1">IFERROR(__xludf.DUMMYFUNCTION("""COMPUTED_VALUE"""),"Xavier Worthy (WR)")</f>
        <v>Xavier Worthy (WR)</v>
      </c>
      <c r="L16" t="str">
        <f ca="1">IFERROR(__xludf.DUMMYFUNCTION("""COMPUTED_VALUE"""),"Khalil Shakir (WR)")</f>
        <v>Khalil Shakir (WR)</v>
      </c>
    </row>
    <row r="17" spans="1:11" ht="15.75" customHeight="1">
      <c r="A17" s="26" t="s">
        <v>937</v>
      </c>
      <c r="B17" s="47" t="str">
        <f ca="1">IFERROR(__xludf.DUMMYFUNCTION("TRANSPOSE(
  FILTER(
    IF(
      'ALL PPR Drafts'!C$2:C1000 = """",
      'ALL PPR Drafts'!D$2:D1000 &amp; "" ("" &amp; 'ALL PPR Drafts'!F$2:F1000 &amp; "")"",
      """"
    ),
    VALUE('ALL PPR Drafts'!G$2:G1000) &gt;= 141,
    VALUE('ALL PPR Drafts'!G$2:G1000) &lt;= "&amp;"150
  )
)
"),"C.J. Stroud (QB)")</f>
        <v>C.J. Stroud (QB)</v>
      </c>
      <c r="C17" s="47" t="str">
        <f ca="1">IFERROR(__xludf.DUMMYFUNCTION("""COMPUTED_VALUE"""),"Josh Downs (WR)")</f>
        <v>Josh Downs (WR)</v>
      </c>
      <c r="D17" s="47" t="str">
        <f ca="1">IFERROR(__xludf.DUMMYFUNCTION("""COMPUTED_VALUE"""),"Emmett Johnson (RB)")</f>
        <v>Emmett Johnson (RB)</v>
      </c>
      <c r="E17" s="47" t="str">
        <f ca="1">IFERROR(__xludf.DUMMYFUNCTION("""COMPUTED_VALUE"""),"Rachaad White (RB)")</f>
        <v>Rachaad White (RB)</v>
      </c>
      <c r="F17" s="47" t="str">
        <f ca="1">IFERROR(__xludf.DUMMYFUNCTION("""COMPUTED_VALUE"""),"Stefon Diggs (WR)")</f>
        <v>Stefon Diggs (WR)</v>
      </c>
      <c r="G17" s="47" t="str">
        <f ca="1">IFERROR(__xludf.DUMMYFUNCTION("""COMPUTED_VALUE"""),"Alvin Kamara (RB)")</f>
        <v>Alvin Kamara (RB)</v>
      </c>
      <c r="H17" s="47" t="str">
        <f ca="1">IFERROR(__xludf.DUMMYFUNCTION("""COMPUTED_VALUE"""),"Tank Bigsby (RB)")</f>
        <v>Tank Bigsby (RB)</v>
      </c>
      <c r="I17" s="47" t="str">
        <f ca="1">IFERROR(__xludf.DUMMYFUNCTION("""COMPUTED_VALUE"""),"Sam Darnold (QB)")</f>
        <v>Sam Darnold (QB)</v>
      </c>
      <c r="J17" t="str">
        <f ca="1">IFERROR(__xludf.DUMMYFUNCTION("""COMPUTED_VALUE"""),"Houston Texans (DS)")</f>
        <v>Houston Texans (DS)</v>
      </c>
      <c r="K17" t="str">
        <f ca="1">IFERROR(__xludf.DUMMYFUNCTION("""COMPUTED_VALUE"""),"Jonathon Brooks (RB)")</f>
        <v>Jonathon Brooks (RB)</v>
      </c>
    </row>
  </sheetData>
  <conditionalFormatting sqref="A3:HZ17">
    <cfRule type="containsText" dxfId="3" priority="1" operator="containsText" text="QB">
      <formula>NOT(ISERROR(SEARCH(("QB"),(A3))))</formula>
    </cfRule>
    <cfRule type="containsText" dxfId="2" priority="2" operator="containsText" text="WR">
      <formula>NOT(ISERROR(SEARCH(("WR"),(A3))))</formula>
    </cfRule>
    <cfRule type="containsText" dxfId="1" priority="3" operator="containsText" text="RB">
      <formula>NOT(ISERROR(SEARCH(("RB"),(A3))))</formula>
    </cfRule>
    <cfRule type="containsText" dxfId="0" priority="4" operator="containsText" text="TE">
      <formula>NOT(ISERROR(SEARCH(("TE"),(A3))))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Main</vt:lpstr>
      <vt:lpstr>Team</vt:lpstr>
      <vt:lpstr>Picks</vt:lpstr>
      <vt:lpstr>Fantasypro</vt:lpstr>
      <vt:lpstr>Keeper</vt:lpstr>
      <vt:lpstr>Draft</vt:lpstr>
      <vt:lpstr>Tiers_Risk</vt:lpstr>
      <vt:lpstr>ALL PPR Drafts</vt:lpstr>
      <vt:lpstr>WR tier</vt:lpstr>
      <vt:lpstr>RB tier</vt:lpstr>
      <vt:lpstr>Risk Analysis </vt:lpstr>
      <vt:lpstr>Drafts Order_AVG</vt:lpstr>
      <vt:lpstr>Drafts Order_ECR</vt:lpstr>
      <vt:lpstr>Tiers_AVG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Iacob Gagné-Montcalm</cp:lastModifiedBy>
  <dcterms:created xsi:type="dcterms:W3CDTF">2026-05-21T17:32:52Z</dcterms:created>
  <dcterms:modified xsi:type="dcterms:W3CDTF">2026-06-06T12:24:26Z</dcterms:modified>
</cp:coreProperties>
</file>