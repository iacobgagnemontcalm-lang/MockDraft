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6220" tabRatio="600" firstSheet="0" activeTab="4" autoFilterDateGrouping="1"/>
  </bookViews>
  <sheets>
    <sheet name="Main" sheetId="1" state="visible" r:id="rId1"/>
    <sheet name="Team" sheetId="2" state="visible" r:id="rId2"/>
    <sheet name="Picks" sheetId="3" state="visible" r:id="rId3"/>
    <sheet name="Fantasypro" sheetId="4" state="visible" r:id="rId4"/>
    <sheet name="Keeper" sheetId="5" state="visible" r:id="rId5"/>
    <sheet name="Draft" sheetId="6" state="visible" r:id="rId6"/>
    <sheet name="Tiers_Risk" sheetId="7" state="visible" r:id="rId7"/>
    <sheet name="ALL PPR Drafts" sheetId="8" state="visible" r:id="rId8"/>
    <sheet name="WR tier" sheetId="9" state="hidden" r:id="rId9"/>
    <sheet name="RB tier" sheetId="10" state="hidden" r:id="rId10"/>
    <sheet name="Risk Analysis " sheetId="11" state="visible" r:id="rId11"/>
    <sheet name="Drafts Order_AVG" sheetId="12" state="visible" r:id="rId12"/>
    <sheet name="Drafts Order_ECR" sheetId="13" state="visible" r:id="rId13"/>
    <sheet name="Tiers_AVG" sheetId="14" state="visible" r:id="rId14"/>
  </sheets>
  <definedNames>
    <definedName name="_xlnm._FilterDatabase" localSheetId="7" hidden="1">'ALL PPR Drafts'!$B$1:$I$998</definedName>
  </definedNames>
  <calcPr calcId="191029" fullCalcOnLoad="1"/>
</workbook>
</file>

<file path=xl/styles.xml><?xml version="1.0" encoding="utf-8"?>
<styleSheet xmlns="http://schemas.openxmlformats.org/spreadsheetml/2006/main">
  <numFmts count="1">
    <numFmt numFmtId="164" formatCode="m/d/yyyy"/>
  </numFmts>
  <fonts count="32">
    <font>
      <name val="Arial"/>
      <color rgb="FF000000"/>
      <sz val="10"/>
    </font>
    <font>
      <name val="Arial"/>
      <family val="2"/>
      <sz val="10"/>
    </font>
    <font>
      <name val="Arial"/>
      <family val="2"/>
      <b val="1"/>
      <sz val="18"/>
    </font>
    <font>
      <name val="Arial"/>
      <family val="2"/>
      <b val="1"/>
      <sz val="12"/>
    </font>
    <font>
      <name val="Arial"/>
      <family val="2"/>
      <sz val="10"/>
    </font>
    <font>
      <name val="Arial"/>
      <family val="2"/>
      <b val="1"/>
      <sz val="12"/>
    </font>
    <font>
      <name val="Arial"/>
      <family val="2"/>
      <b val="1"/>
      <color rgb="FF000000"/>
      <sz val="16"/>
      <u val="single"/>
    </font>
    <font>
      <name val="Arial"/>
      <family val="2"/>
      <b val="1"/>
      <color rgb="FF000000"/>
      <sz val="16"/>
      <u val="single"/>
    </font>
    <font>
      <name val="Arial"/>
      <family val="2"/>
      <b val="1"/>
      <color rgb="FF000000"/>
      <sz val="16"/>
      <u val="single"/>
    </font>
    <font>
      <name val="Arial"/>
      <family val="2"/>
      <color rgb="FF000000"/>
      <sz val="10"/>
    </font>
    <font>
      <name val="Arial"/>
      <family val="2"/>
      <b val="1"/>
      <color rgb="FF000000"/>
      <sz val="10"/>
      <u val="single"/>
    </font>
    <font>
      <name val="Arial"/>
      <family val="2"/>
      <b val="1"/>
      <color rgb="FF000000"/>
      <sz val="10"/>
      <u val="single"/>
    </font>
    <font>
      <name val="Arial"/>
      <family val="2"/>
      <b val="1"/>
      <color rgb="FF000000"/>
      <sz val="10"/>
      <u val="single"/>
    </font>
    <font>
      <name val="Arial"/>
      <family val="2"/>
      <b val="1"/>
      <color rgb="FF000000"/>
      <sz val="10"/>
      <u val="single"/>
    </font>
    <font>
      <name val="Arial"/>
      <family val="2"/>
      <b val="1"/>
      <color rgb="FF000000"/>
      <sz val="10"/>
      <u val="single"/>
    </font>
    <font>
      <name val="Arial"/>
      <family val="2"/>
      <b val="1"/>
      <color rgb="FF000000"/>
      <sz val="10"/>
      <u val="single"/>
    </font>
    <font>
      <name val="Arial"/>
      <family val="2"/>
      <b val="1"/>
      <color rgb="FF000000"/>
      <sz val="10"/>
      <u val="single"/>
    </font>
    <font>
      <name val="Arial"/>
      <family val="2"/>
      <b val="1"/>
      <color rgb="FF000000"/>
      <sz val="10"/>
      <u val="single"/>
    </font>
    <font>
      <name val="Arial"/>
      <family val="2"/>
      <b val="1"/>
      <color rgb="FF000000"/>
      <sz val="10"/>
      <u val="single"/>
    </font>
    <font>
      <name val="Arial"/>
      <family val="2"/>
      <b val="1"/>
      <color rgb="FF000000"/>
      <sz val="10"/>
      <u val="single"/>
    </font>
    <font>
      <name val="Arial"/>
      <family val="2"/>
      <b val="1"/>
      <color rgb="FF000000"/>
      <sz val="10"/>
      <u val="single"/>
    </font>
    <font>
      <name val="Arial"/>
      <family val="2"/>
      <b val="1"/>
      <color rgb="FF000000"/>
      <sz val="10"/>
      <u val="single"/>
    </font>
    <font>
      <name val="Arial"/>
      <family val="2"/>
      <color rgb="FF0000FF"/>
      <sz val="10"/>
      <u val="single"/>
    </font>
    <font>
      <name val="Arial"/>
      <family val="2"/>
      <b val="1"/>
      <sz val="10"/>
    </font>
    <font>
      <name val="Muli"/>
      <b val="1"/>
      <color rgb="FFFFFFFF"/>
      <sz val="10"/>
    </font>
    <font>
      <name val="Lato"/>
      <color rgb="FF000000"/>
      <sz val="12"/>
    </font>
    <font>
      <name val="&quot;Helvetica Neue&quot;"/>
      <b val="1"/>
      <color rgb="FF000000"/>
      <sz val="10"/>
    </font>
    <font>
      <name val="&quot;Helvetica Neue&quot;"/>
      <color rgb="FF000000"/>
      <sz val="10"/>
    </font>
    <font>
      <name val="Calibri"/>
      <family val="2"/>
      <b val="1"/>
      <sz val="11"/>
    </font>
    <font>
      <name val="Calibri"/>
      <family val="2"/>
      <sz val="11"/>
    </font>
    <font>
      <name val="Arial"/>
      <family val="2"/>
      <sz val="12"/>
    </font>
    <font>
      <name val="Arial"/>
      <family val="2"/>
      <color rgb="FF1155CC"/>
      <sz val="10"/>
      <u val="single"/>
    </font>
  </fonts>
  <fills count="22">
    <fill>
      <patternFill/>
    </fill>
    <fill>
      <patternFill patternType="gray125"/>
    </fill>
    <fill>
      <patternFill patternType="solid">
        <fgColor rgb="FF00B0F0"/>
        <bgColor rgb="FF00B0F0"/>
      </patternFill>
    </fill>
    <fill>
      <patternFill patternType="solid">
        <fgColor rgb="FF56B4E9"/>
        <bgColor rgb="FF56B4E9"/>
      </patternFill>
    </fill>
    <fill>
      <patternFill patternType="solid">
        <fgColor rgb="FFFF5700"/>
        <bgColor rgb="FFFF5700"/>
      </patternFill>
    </fill>
    <fill>
      <patternFill patternType="solid">
        <fgColor rgb="FFFFFF00"/>
        <bgColor rgb="FFFFFF00"/>
      </patternFill>
    </fill>
    <fill>
      <patternFill patternType="solid">
        <fgColor rgb="FFEA9999"/>
        <bgColor rgb="FFEA9999"/>
      </patternFill>
    </fill>
    <fill>
      <patternFill patternType="solid">
        <fgColor rgb="FFF4CCCC"/>
        <bgColor rgb="FFF4CCCC"/>
      </patternFill>
    </fill>
    <fill>
      <patternFill patternType="solid">
        <fgColor rgb="FFFE6100"/>
        <bgColor rgb="FFFE6100"/>
      </patternFill>
    </fill>
    <fill>
      <patternFill patternType="solid">
        <fgColor rgb="FF92D050"/>
        <bgColor rgb="FF92D050"/>
      </patternFill>
    </fill>
    <fill>
      <patternFill patternType="solid">
        <fgColor rgb="FFC9DAF8"/>
        <bgColor rgb="FFC9DAF8"/>
      </patternFill>
    </fill>
    <fill>
      <patternFill patternType="solid">
        <fgColor rgb="FFFFF2CC"/>
        <bgColor rgb="FFFFF2CC"/>
      </patternFill>
    </fill>
    <fill>
      <patternFill patternType="solid">
        <fgColor rgb="FFFFC000"/>
        <bgColor rgb="FFFFC000"/>
      </patternFill>
    </fill>
    <fill>
      <patternFill patternType="solid">
        <fgColor rgb="FFB4A7D6"/>
        <bgColor rgb="FFB4A7D6"/>
      </patternFill>
    </fill>
    <fill>
      <patternFill patternType="solid">
        <fgColor rgb="FF6D9EEB"/>
        <bgColor rgb="FF6D9EEB"/>
      </patternFill>
    </fill>
    <fill>
      <patternFill patternType="solid">
        <fgColor rgb="FFD9EAD3"/>
        <bgColor rgb="FFD9EAD3"/>
      </patternFill>
    </fill>
    <fill>
      <patternFill patternType="solid">
        <fgColor rgb="FFB6D7A8"/>
        <bgColor rgb="FFB6D7A8"/>
      </patternFill>
    </fill>
    <fill>
      <patternFill patternType="solid">
        <fgColor rgb="FF3D85C6"/>
        <bgColor rgb="FF3D85C6"/>
      </patternFill>
    </fill>
    <fill>
      <patternFill patternType="solid">
        <fgColor rgb="FFF9CB9C"/>
        <bgColor rgb="FFF9CB9C"/>
      </patternFill>
    </fill>
    <fill>
      <patternFill patternType="solid">
        <fgColor rgb="FF102131"/>
        <bgColor rgb="FF102131"/>
      </patternFill>
    </fill>
    <fill>
      <patternFill patternType="solid">
        <fgColor rgb="FFBDC0BF"/>
        <bgColor rgb="FFBDC0BF"/>
      </patternFill>
    </fill>
    <fill>
      <patternFill patternType="solid">
        <fgColor rgb="FFDBDBDB"/>
        <bgColor rgb="FFDBDBDB"/>
      </patternFill>
    </fill>
  </fills>
  <borders count="9">
    <border>
      <left/>
      <right/>
      <top/>
      <bottom/>
      <diagonal/>
    </border>
    <border>
      <left/>
      <right/>
      <top/>
      <bottom style="thin">
        <color rgb="FF000000"/>
      </bottom>
      <diagonal/>
    </border>
    <border>
      <left/>
      <right/>
      <top/>
      <bottom/>
      <diagonal/>
    </border>
    <border>
      <left style="thin">
        <color rgb="FFA5A5A5"/>
      </left>
      <right style="thin">
        <color rgb="FFA5A5A5"/>
      </right>
      <top style="thin">
        <color rgb="FFA5A5A5"/>
      </top>
      <bottom style="thin">
        <color rgb="FF3F3F3F"/>
      </bottom>
      <diagonal/>
    </border>
    <border>
      <left/>
      <right style="thin">
        <color rgb="FFA5A5A5"/>
      </right>
      <top style="thin">
        <color rgb="FFA5A5A5"/>
      </top>
      <bottom style="thin">
        <color rgb="FF3F3F3F"/>
      </bottom>
      <diagonal/>
    </border>
    <border>
      <left style="thin">
        <color rgb="FFA5A5A5"/>
      </left>
      <right style="thin">
        <color rgb="FF3F3F3F"/>
      </right>
      <top/>
      <bottom style="thin">
        <color rgb="FFA5A5A5"/>
      </bottom>
      <diagonal/>
    </border>
    <border>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style="thin">
        <color rgb="FF000000"/>
      </left>
      <right style="thin">
        <color rgb="FF000000"/>
      </right>
      <top style="thin">
        <color rgb="FF000000"/>
      </top>
      <bottom style="thin">
        <color rgb="FF000000"/>
      </bottom>
      <diagonal/>
    </border>
  </borders>
  <cellStyleXfs count="1">
    <xf numFmtId="0" fontId="0" fillId="0" borderId="2"/>
  </cellStyleXfs>
  <cellXfs count="60">
    <xf numFmtId="0" fontId="0" fillId="0" borderId="0" pivotButton="0" quotePrefix="0" xfId="0"/>
    <xf numFmtId="0" fontId="1" fillId="0" borderId="0" applyAlignment="1" pivotButton="0" quotePrefix="0" xfId="0">
      <alignment vertical="center"/>
    </xf>
    <xf numFmtId="0" fontId="3" fillId="0" borderId="1" applyAlignment="1" pivotButton="0" quotePrefix="0" xfId="0">
      <alignment vertical="center"/>
    </xf>
    <xf numFmtId="0" fontId="4" fillId="0" borderId="1" applyAlignment="1" pivotButton="0" quotePrefix="0" xfId="0">
      <alignment vertical="center"/>
    </xf>
    <xf numFmtId="0" fontId="5" fillId="0" borderId="0" applyAlignment="1" pivotButton="0" quotePrefix="0" xfId="0">
      <alignment horizontal="center" vertical="center"/>
    </xf>
    <xf numFmtId="0" fontId="6" fillId="2" borderId="0" applyAlignment="1" pivotButton="0" quotePrefix="0" xfId="0">
      <alignment horizontal="center" vertical="center"/>
    </xf>
    <xf numFmtId="0" fontId="7" fillId="3" borderId="0" applyAlignment="1" pivotButton="0" quotePrefix="0" xfId="0">
      <alignment horizontal="center" vertical="center"/>
    </xf>
    <xf numFmtId="0" fontId="8" fillId="4" borderId="0" applyAlignment="1" pivotButton="0" quotePrefix="0" xfId="0">
      <alignment horizontal="center" vertical="center"/>
    </xf>
    <xf numFmtId="0" fontId="3" fillId="0" borderId="0" applyAlignment="1" pivotButton="0" quotePrefix="0" xfId="0">
      <alignment vertical="center"/>
    </xf>
    <xf numFmtId="0" fontId="4" fillId="0" borderId="0" applyAlignment="1" pivotButton="0" quotePrefix="0" xfId="0">
      <alignment vertical="center"/>
    </xf>
    <xf numFmtId="0" fontId="3" fillId="0" borderId="1" applyAlignment="1" pivotButton="0" quotePrefix="0" xfId="0">
      <alignment horizontal="center" vertical="center"/>
    </xf>
    <xf numFmtId="0" fontId="4" fillId="3" borderId="0" applyAlignment="1" pivotButton="0" quotePrefix="0" xfId="0">
      <alignment vertical="center"/>
    </xf>
    <xf numFmtId="0" fontId="9" fillId="5" borderId="0" applyAlignment="1" pivotButton="0" quotePrefix="0" xfId="0">
      <alignment vertical="center"/>
    </xf>
    <xf numFmtId="0" fontId="10" fillId="6" borderId="0" applyAlignment="1" pivotButton="0" quotePrefix="0" xfId="0">
      <alignment horizontal="center" vertical="center"/>
    </xf>
    <xf numFmtId="0" fontId="11" fillId="7" borderId="0" applyAlignment="1" pivotButton="0" quotePrefix="0" xfId="0">
      <alignment horizontal="center" vertical="center"/>
    </xf>
    <xf numFmtId="0" fontId="4" fillId="8" borderId="0" applyAlignment="1" pivotButton="0" quotePrefix="0" xfId="0">
      <alignment vertical="center"/>
    </xf>
    <xf numFmtId="0" fontId="9" fillId="9" borderId="0" applyAlignment="1" pivotButton="0" quotePrefix="0" xfId="0">
      <alignment vertical="center"/>
    </xf>
    <xf numFmtId="0" fontId="12" fillId="10" borderId="0" applyAlignment="1" pivotButton="0" quotePrefix="0" xfId="0">
      <alignment horizontal="center" vertical="center"/>
    </xf>
    <xf numFmtId="0" fontId="9" fillId="2" borderId="0" applyAlignment="1" pivotButton="0" quotePrefix="0" xfId="0">
      <alignment vertical="center"/>
    </xf>
    <xf numFmtId="0" fontId="13" fillId="11" borderId="0" applyAlignment="1" pivotButton="0" quotePrefix="0" xfId="0">
      <alignment horizontal="center" vertical="center"/>
    </xf>
    <xf numFmtId="0" fontId="9" fillId="12" borderId="0" applyAlignment="1" pivotButton="0" quotePrefix="0" xfId="0">
      <alignment vertical="center"/>
    </xf>
    <xf numFmtId="0" fontId="14" fillId="13" borderId="0" applyAlignment="1" pivotButton="0" quotePrefix="0" xfId="0">
      <alignment horizontal="center" vertical="center"/>
    </xf>
    <xf numFmtId="0" fontId="15" fillId="13" borderId="0" applyAlignment="1" pivotButton="0" quotePrefix="0" xfId="0">
      <alignment horizontal="center" vertical="center"/>
    </xf>
    <xf numFmtId="164" fontId="1" fillId="0" borderId="0" applyAlignment="1" pivotButton="0" quotePrefix="0" xfId="0">
      <alignment horizontal="center" vertical="center"/>
    </xf>
    <xf numFmtId="0" fontId="4" fillId="0" borderId="2" applyAlignment="1" pivotButton="0" quotePrefix="0" xfId="0">
      <alignment vertical="center"/>
    </xf>
    <xf numFmtId="0" fontId="16" fillId="14" borderId="0" applyAlignment="1" pivotButton="0" quotePrefix="0" xfId="0">
      <alignment horizontal="center" vertical="center"/>
    </xf>
    <xf numFmtId="0" fontId="1" fillId="0" borderId="0" pivotButton="0" quotePrefix="0" xfId="0"/>
    <xf numFmtId="0" fontId="17" fillId="14" borderId="0" applyAlignment="1" pivotButton="0" quotePrefix="0" xfId="0">
      <alignment horizontal="center" vertical="center"/>
    </xf>
    <xf numFmtId="0" fontId="18" fillId="15" borderId="0" applyAlignment="1" pivotButton="0" quotePrefix="0" xfId="0">
      <alignment horizontal="center" vertical="center"/>
    </xf>
    <xf numFmtId="0" fontId="1" fillId="0" borderId="1" applyAlignment="1" pivotButton="0" quotePrefix="0" xfId="0">
      <alignment vertical="center"/>
    </xf>
    <xf numFmtId="0" fontId="19" fillId="16" borderId="0" applyAlignment="1" pivotButton="0" quotePrefix="0" xfId="0">
      <alignment horizontal="center"/>
    </xf>
    <xf numFmtId="0" fontId="20" fillId="17" borderId="0" applyAlignment="1" pivotButton="0" quotePrefix="0" xfId="0">
      <alignment horizontal="center"/>
    </xf>
    <xf numFmtId="0" fontId="21" fillId="18" borderId="0" applyAlignment="1" pivotButton="0" quotePrefix="0" xfId="0">
      <alignment horizontal="center"/>
    </xf>
    <xf numFmtId="0" fontId="22" fillId="0" borderId="0" applyAlignment="1" pivotButton="0" quotePrefix="0" xfId="0">
      <alignment vertical="center"/>
    </xf>
    <xf numFmtId="0" fontId="24" fillId="19" borderId="0" pivotButton="0" quotePrefix="0" xfId="0"/>
    <xf numFmtId="0" fontId="25" fillId="19" borderId="0" pivotButton="0" quotePrefix="0" xfId="0"/>
    <xf numFmtId="0" fontId="26" fillId="20" borderId="3" applyAlignment="1" pivotButton="0" quotePrefix="0" xfId="0">
      <alignment vertical="top"/>
    </xf>
    <xf numFmtId="0" fontId="26" fillId="20" borderId="4" applyAlignment="1" pivotButton="0" quotePrefix="0" xfId="0">
      <alignment vertical="top"/>
    </xf>
    <xf numFmtId="0" fontId="26" fillId="21" borderId="5" applyAlignment="1" pivotButton="0" quotePrefix="0" xfId="0">
      <alignment horizontal="right" vertical="top"/>
    </xf>
    <xf numFmtId="0" fontId="27" fillId="0" borderId="6" applyAlignment="1" pivotButton="0" quotePrefix="0" xfId="0">
      <alignment horizontal="right" vertical="top"/>
    </xf>
    <xf numFmtId="0" fontId="27" fillId="0" borderId="6" applyAlignment="1" pivotButton="0" quotePrefix="0" xfId="0">
      <alignment vertical="top"/>
    </xf>
    <xf numFmtId="0" fontId="27" fillId="0" borderId="7" applyAlignment="1" pivotButton="0" quotePrefix="0" xfId="0">
      <alignment vertical="top"/>
    </xf>
    <xf numFmtId="0" fontId="27" fillId="0" borderId="7" applyAlignment="1" pivotButton="0" quotePrefix="0" xfId="0">
      <alignment horizontal="right" vertical="top"/>
    </xf>
    <xf numFmtId="0" fontId="26" fillId="21" borderId="5" applyAlignment="1" pivotButton="0" quotePrefix="0" xfId="0">
      <alignment vertical="top"/>
    </xf>
    <xf numFmtId="0" fontId="28" fillId="0" borderId="8" applyAlignment="1" pivotButton="0" quotePrefix="0" xfId="0">
      <alignment horizontal="center" vertical="top"/>
    </xf>
    <xf numFmtId="0" fontId="29" fillId="0" borderId="0" pivotButton="0" quotePrefix="0" xfId="0"/>
    <xf numFmtId="49" fontId="1" fillId="0" borderId="0" applyAlignment="1" pivotButton="0" quotePrefix="0" xfId="0">
      <alignment wrapText="1"/>
    </xf>
    <xf numFmtId="0" fontId="1" fillId="0" borderId="0" applyAlignment="1" pivotButton="0" quotePrefix="0" xfId="0">
      <alignment wrapText="1"/>
    </xf>
    <xf numFmtId="0" fontId="23" fillId="0" borderId="0" applyAlignment="1" pivotButton="0" quotePrefix="0" xfId="0">
      <alignment wrapText="1"/>
    </xf>
    <xf numFmtId="0" fontId="30" fillId="0" borderId="0" applyAlignment="1" pivotButton="0" quotePrefix="0" xfId="0">
      <alignment wrapText="1"/>
    </xf>
    <xf numFmtId="0" fontId="4" fillId="0" borderId="0" pivotButton="0" quotePrefix="0" xfId="0"/>
    <xf numFmtId="0" fontId="4" fillId="0" borderId="0" applyAlignment="1" pivotButton="0" quotePrefix="0" xfId="0">
      <alignment horizontal="center"/>
    </xf>
    <xf numFmtId="49" fontId="1" fillId="0" borderId="0" pivotButton="0" quotePrefix="0" xfId="0"/>
    <xf numFmtId="0" fontId="2" fillId="0" borderId="0" applyAlignment="1" pivotButton="0" quotePrefix="0" xfId="0">
      <alignment vertical="center"/>
    </xf>
    <xf numFmtId="0" fontId="0" fillId="0" borderId="0" pivotButton="0" quotePrefix="0" xfId="0"/>
    <xf numFmtId="0" fontId="4" fillId="0" borderId="0" applyAlignment="1" pivotButton="0" quotePrefix="0" xfId="0">
      <alignment vertical="center" wrapText="1"/>
    </xf>
    <xf numFmtId="0" fontId="23" fillId="0" borderId="0" applyAlignment="1" pivotButton="0" quotePrefix="0" xfId="0">
      <alignment vertical="center" wrapText="1"/>
    </xf>
    <xf numFmtId="0" fontId="2" fillId="0" borderId="2" applyAlignment="1" pivotButton="0" quotePrefix="0" xfId="0">
      <alignment vertical="center"/>
    </xf>
    <xf numFmtId="0" fontId="4" fillId="0" borderId="2" applyAlignment="1" pivotButton="0" quotePrefix="0" xfId="0">
      <alignment vertical="center" wrapText="1"/>
    </xf>
    <xf numFmtId="0" fontId="23" fillId="0" borderId="2" applyAlignment="1" pivotButton="0" quotePrefix="0" xfId="0">
      <alignment vertical="center" wrapText="1"/>
    </xf>
  </cellXfs>
  <cellStyles count="1">
    <cellStyle name="Normal" xfId="0" builtinId="0"/>
  </cellStyles>
  <dxfs count="27">
    <dxf>
      <fill>
        <patternFill patternType="solid">
          <fgColor rgb="FFF1C232"/>
          <bgColor rgb="FFF1C232"/>
        </patternFill>
      </fill>
    </dxf>
    <dxf>
      <fill>
        <patternFill patternType="solid">
          <fgColor rgb="FF6AA84F"/>
          <bgColor rgb="FF6AA84F"/>
        </patternFill>
      </fill>
    </dxf>
    <dxf>
      <fill>
        <patternFill patternType="solid">
          <fgColor rgb="FF6D9EEB"/>
          <bgColor rgb="FF6D9EEB"/>
        </patternFill>
      </fill>
    </dxf>
    <dxf>
      <fill>
        <patternFill patternType="solid">
          <fgColor rgb="FFFFFF00"/>
          <bgColor rgb="FFFFFF00"/>
        </patternFill>
      </fill>
    </dxf>
    <dxf>
      <fill>
        <patternFill patternType="solid">
          <fgColor rgb="FFF1C232"/>
          <bgColor rgb="FFF1C232"/>
        </patternFill>
      </fill>
    </dxf>
    <dxf>
      <fill>
        <patternFill patternType="solid">
          <fgColor rgb="FF6AA84F"/>
          <bgColor rgb="FF6AA84F"/>
        </patternFill>
      </fill>
    </dxf>
    <dxf>
      <fill>
        <patternFill patternType="solid">
          <fgColor rgb="FF6D9EEB"/>
          <bgColor rgb="FF6D9EEB"/>
        </patternFill>
      </fill>
    </dxf>
    <dxf>
      <fill>
        <patternFill patternType="solid">
          <fgColor rgb="FFFFFF00"/>
          <bgColor rgb="FFFFFF00"/>
        </patternFill>
      </fill>
    </dxf>
    <dxf>
      <fill>
        <patternFill patternType="solid">
          <fgColor rgb="FFF1C232"/>
          <bgColor rgb="FFF1C232"/>
        </patternFill>
      </fill>
    </dxf>
    <dxf>
      <fill>
        <patternFill patternType="solid">
          <fgColor rgb="FF6AA84F"/>
          <bgColor rgb="FF6AA84F"/>
        </patternFill>
      </fill>
    </dxf>
    <dxf>
      <fill>
        <patternFill patternType="solid">
          <fgColor rgb="FF6D9EEB"/>
          <bgColor rgb="FF6D9EEB"/>
        </patternFill>
      </fill>
    </dxf>
    <dxf>
      <fill>
        <patternFill patternType="solid">
          <fgColor rgb="FFFFFF00"/>
          <bgColor rgb="FFFFFF00"/>
        </patternFill>
      </fill>
    </dxf>
    <dxf>
      <fill>
        <patternFill patternType="solid">
          <fgColor rgb="FFFE7F1D"/>
          <bgColor rgb="FFFE7F1D"/>
        </patternFill>
      </fill>
    </dxf>
    <dxf>
      <fill>
        <patternFill patternType="solid">
          <fgColor rgb="FFE06666"/>
          <bgColor rgb="FFE06666"/>
        </patternFill>
      </fill>
    </dxf>
    <dxf>
      <fill>
        <patternFill patternType="solid">
          <fgColor rgb="FFFFE599"/>
          <bgColor rgb="FFFFE599"/>
        </patternFill>
      </fill>
    </dxf>
    <dxf>
      <font>
        <color rgb="FF000000"/>
      </font>
      <fill>
        <patternFill patternType="solid">
          <fgColor rgb="FFB6D7A8"/>
          <bgColor rgb="FFB6D7A8"/>
        </patternFill>
      </fill>
    </dxf>
    <dxf>
      <fill>
        <patternFill patternType="solid">
          <fgColor rgb="FF4A86E8"/>
          <bgColor rgb="FF4A86E8"/>
        </patternFill>
      </fill>
    </dxf>
    <dxf>
      <fill>
        <patternFill patternType="solid">
          <fgColor rgb="FFFE7F1D"/>
          <bgColor rgb="FFFE7F1D"/>
        </patternFill>
      </fill>
    </dxf>
    <dxf>
      <fill>
        <patternFill patternType="solid">
          <fgColor rgb="FFE06666"/>
          <bgColor rgb="FFE06666"/>
        </patternFill>
      </fill>
    </dxf>
    <dxf>
      <fill>
        <patternFill patternType="solid">
          <fgColor rgb="FFFFE599"/>
          <bgColor rgb="FFFFE599"/>
        </patternFill>
      </fill>
    </dxf>
    <dxf>
      <font>
        <color rgb="FF000000"/>
      </font>
      <fill>
        <patternFill patternType="solid">
          <fgColor rgb="FFB6D7A8"/>
          <bgColor rgb="FFB6D7A8"/>
        </patternFill>
      </fill>
    </dxf>
    <dxf>
      <fill>
        <patternFill patternType="solid">
          <fgColor rgb="FF4A86E8"/>
          <bgColor rgb="FF4A86E8"/>
        </patternFill>
      </fill>
    </dxf>
    <dxf>
      <fill>
        <patternFill patternType="solid">
          <fgColor rgb="FFFE7F1D"/>
          <bgColor rgb="FFFE7F1D"/>
        </patternFill>
      </fill>
    </dxf>
    <dxf>
      <fill>
        <patternFill patternType="solid">
          <fgColor rgb="FFE06666"/>
          <bgColor rgb="FFE06666"/>
        </patternFill>
      </fill>
    </dxf>
    <dxf>
      <fill>
        <patternFill patternType="solid">
          <fgColor rgb="FFFFE599"/>
          <bgColor rgb="FFFFE599"/>
        </patternFill>
      </fill>
    </dxf>
    <dxf>
      <font>
        <color rgb="FF000000"/>
      </font>
      <fill>
        <patternFill patternType="solid">
          <fgColor rgb="FFB6D7A8"/>
          <bgColor rgb="FFB6D7A8"/>
        </patternFill>
      </fill>
    </dxf>
    <dxf>
      <fill>
        <patternFill patternType="solid">
          <fgColor rgb="FF4A86E8"/>
          <bgColor rgb="FF4A86E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twitter.com/KyleKrajewski" TargetMode="External" Id="rId1" /><Relationship Type="http://schemas.openxmlformats.org/officeDocument/2006/relationships/hyperlink" Target="https://firstseed.beehiiv.com/" TargetMode="External" Id="rId2" /><Relationship Type="http://schemas.openxmlformats.org/officeDocument/2006/relationships/hyperlink" Target="https://www.reddit.com/user/JuiceBoxOne" TargetMode="External" Id="rId3" /><Relationship Type="http://schemas.openxmlformats.org/officeDocument/2006/relationships/hyperlink" Target="https://docs.google.com/spreadsheets/d/1HTixsrRtIIpnUafVkOIhET83vCFjKXSUGiG24-5jTHY/copy" TargetMode="External" Id="rId4" /><Relationship Type="http://schemas.openxmlformats.org/officeDocument/2006/relationships/hyperlink" Target="https://sleeper.app/" TargetMode="External" Id="rId5" /></Relationships>
</file>

<file path=xl/worksheets/sheet1.xml><?xml version="1.0" encoding="utf-8"?>
<worksheet xmlns="http://schemas.openxmlformats.org/spreadsheetml/2006/main">
  <sheetPr>
    <outlinePr summaryBelow="0" summaryRight="0"/>
    <pageSetUpPr/>
  </sheetPr>
  <dimension ref="A1:Z998"/>
  <sheetViews>
    <sheetView showGridLines="0" workbookViewId="0">
      <selection activeCell="A1" sqref="A1"/>
    </sheetView>
  </sheetViews>
  <sheetFormatPr baseColWidth="10" defaultColWidth="12.5" defaultRowHeight="15.75" customHeight="1"/>
  <cols>
    <col width="1.83203125" customWidth="1" style="54" min="1" max="1"/>
    <col width="16.5" customWidth="1" style="54" min="2" max="2"/>
    <col width="8.5" customWidth="1" style="54" min="7" max="7"/>
    <col width="18.5" customWidth="1" style="54" min="8" max="8"/>
    <col width="23.33203125" customWidth="1" style="54" min="10" max="10"/>
  </cols>
  <sheetData>
    <row r="1" ht="23" customHeight="1" s="54">
      <c r="A1" s="1" t="n"/>
      <c r="B1" s="57" t="inlineStr">
        <is>
          <t>Abusing Fantasy Draft Rankings - 2025</t>
        </is>
      </c>
      <c r="G1" s="1" t="n"/>
      <c r="H1" s="1" t="n"/>
      <c r="I1" s="1" t="n"/>
      <c r="J1" s="1" t="n"/>
      <c r="K1" s="1" t="n"/>
      <c r="L1" s="1" t="n"/>
      <c r="M1" s="1" t="n"/>
      <c r="N1" s="1" t="n"/>
      <c r="O1" s="1" t="n"/>
      <c r="P1" s="1" t="n"/>
      <c r="Q1" s="1" t="n"/>
      <c r="R1" s="1" t="n"/>
      <c r="S1" s="1" t="n"/>
      <c r="T1" s="1" t="n"/>
      <c r="U1" s="1" t="n"/>
      <c r="V1" s="1" t="n"/>
      <c r="W1" s="1" t="n"/>
      <c r="X1" s="1" t="n"/>
      <c r="Y1" s="1" t="n"/>
      <c r="Z1" s="1" t="n"/>
    </row>
    <row r="2" ht="11.25" customHeight="1" s="54">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7.25" customHeight="1" s="54">
      <c r="A3" s="1" t="n"/>
      <c r="B3" s="2" t="inlineStr">
        <is>
          <t>Finding Values</t>
        </is>
      </c>
      <c r="C3" s="3" t="n"/>
      <c r="D3" s="3" t="n"/>
      <c r="E3" s="3" t="n"/>
      <c r="F3" s="3" t="n"/>
      <c r="G3" s="1" t="n"/>
      <c r="H3" s="4" t="inlineStr">
        <is>
          <t>Contact for questions:</t>
        </is>
      </c>
      <c r="I3" s="1" t="n"/>
      <c r="J3" s="4" t="inlineStr">
        <is>
          <t>Extras</t>
        </is>
      </c>
      <c r="K3" s="1" t="n"/>
      <c r="L3" s="1" t="n"/>
      <c r="M3" s="1" t="n"/>
      <c r="N3" s="1" t="n"/>
      <c r="O3" s="1" t="n"/>
      <c r="P3" s="1" t="n"/>
      <c r="Q3" s="1" t="n"/>
      <c r="R3" s="1" t="n"/>
      <c r="S3" s="1" t="n"/>
      <c r="T3" s="1" t="n"/>
      <c r="U3" s="1" t="n"/>
      <c r="V3" s="1" t="n"/>
      <c r="W3" s="1" t="n"/>
      <c r="X3" s="1" t="n"/>
      <c r="Y3" s="1" t="n"/>
      <c r="Z3" s="1" t="n"/>
    </row>
    <row r="4" ht="37.5" customHeight="1" s="54">
      <c r="A4" s="1" t="n"/>
      <c r="B4" s="58" t="inlineStr">
        <is>
          <t>During drafts, the rankings you see will automatically be sorted by the host site's draft rankings. In each tab, the colored tabs will portray how much higher or lower the draft site has the player ranked. Typically if they're ranked higher on the site, they're going to be drafted higher, and vice versa if they are ranked lower - the site ranks influence the draft. These pages will help you during the draft to figure out if it's too early to take a player based on FantasyPros rankings.</t>
        </is>
      </c>
      <c r="G4" s="1" t="n"/>
      <c r="H4" s="5" t="inlineStr">
        <is>
          <t>Twitter</t>
        </is>
      </c>
      <c r="I4" s="1" t="n"/>
      <c r="J4" s="6" t="inlineStr">
        <is>
          <t>Newsletter</t>
        </is>
      </c>
      <c r="K4" s="1" t="n"/>
      <c r="L4" s="1" t="n"/>
      <c r="M4" s="1" t="n"/>
      <c r="N4" s="1" t="n"/>
      <c r="O4" s="1" t="n"/>
      <c r="P4" s="1" t="n"/>
      <c r="Q4" s="1" t="n"/>
      <c r="R4" s="1" t="n"/>
      <c r="S4" s="1" t="n"/>
      <c r="T4" s="1" t="n"/>
      <c r="U4" s="1" t="n"/>
      <c r="V4" s="1" t="n"/>
      <c r="W4" s="1" t="n"/>
      <c r="X4" s="1" t="n"/>
      <c r="Y4" s="1" t="n"/>
      <c r="Z4" s="1" t="n"/>
    </row>
    <row r="5" ht="37.5" customHeight="1" s="54">
      <c r="A5" s="1" t="n"/>
      <c r="G5" s="1" t="n"/>
      <c r="H5" s="7" t="inlineStr">
        <is>
          <t>Reddit</t>
        </is>
      </c>
      <c r="I5" s="1" t="n"/>
      <c r="J5" s="1" t="n"/>
      <c r="K5" s="1" t="n"/>
      <c r="L5" s="1" t="n"/>
      <c r="M5" s="1" t="n"/>
      <c r="N5" s="1" t="n"/>
      <c r="O5" s="1" t="n"/>
      <c r="P5" s="1" t="n"/>
      <c r="Q5" s="1" t="n"/>
      <c r="R5" s="1" t="n"/>
      <c r="S5" s="1" t="n"/>
      <c r="T5" s="1" t="n"/>
      <c r="U5" s="1" t="n"/>
      <c r="V5" s="1" t="n"/>
      <c r="W5" s="1" t="n"/>
      <c r="X5" s="1" t="n"/>
      <c r="Y5" s="1" t="n"/>
      <c r="Z5" s="1" t="n"/>
    </row>
    <row r="6" ht="11.25" customHeight="1" s="54">
      <c r="A6" s="1" t="n"/>
      <c r="B6" s="8" t="n"/>
      <c r="C6" s="9" t="n"/>
      <c r="D6" s="9" t="n"/>
      <c r="E6" s="9" t="n"/>
      <c r="F6" s="9" t="n"/>
      <c r="G6" s="1" t="n"/>
      <c r="H6" s="1" t="n"/>
      <c r="I6" s="1" t="n"/>
      <c r="J6" s="1" t="n"/>
      <c r="K6" s="1" t="n"/>
      <c r="L6" s="1" t="n"/>
      <c r="M6" s="1" t="n"/>
      <c r="N6" s="1" t="n"/>
      <c r="O6" s="1" t="n"/>
      <c r="P6" s="1" t="n"/>
      <c r="Q6" s="1" t="n"/>
      <c r="R6" s="1" t="n"/>
      <c r="S6" s="1" t="n"/>
      <c r="T6" s="1" t="n"/>
      <c r="U6" s="1" t="n"/>
      <c r="V6" s="1" t="n"/>
      <c r="W6" s="1" t="n"/>
      <c r="X6" s="1" t="n"/>
      <c r="Y6" s="1" t="n"/>
      <c r="Z6" s="1" t="n"/>
    </row>
    <row r="7" ht="17.25" customHeight="1" s="54">
      <c r="A7" s="1" t="n"/>
      <c r="B7" s="2" t="inlineStr">
        <is>
          <t>Color Codes</t>
        </is>
      </c>
      <c r="C7" s="3" t="n"/>
      <c r="D7" s="3" t="n"/>
      <c r="E7" s="3" t="n"/>
      <c r="F7" s="3" t="n"/>
      <c r="G7" s="1" t="n"/>
      <c r="H7" s="10" t="inlineStr">
        <is>
          <t>Jump To Page</t>
        </is>
      </c>
      <c r="I7" s="1" t="n"/>
      <c r="J7" s="10" t="inlineStr">
        <is>
          <t>All Draft Comparisons</t>
        </is>
      </c>
      <c r="K7" s="1" t="n"/>
      <c r="L7" s="1" t="n"/>
      <c r="M7" s="1" t="n"/>
      <c r="N7" s="1" t="n"/>
      <c r="O7" s="1" t="n"/>
      <c r="P7" s="1" t="n"/>
      <c r="Q7" s="1" t="n"/>
      <c r="R7" s="1" t="n"/>
      <c r="S7" s="1" t="n"/>
      <c r="T7" s="1" t="n"/>
      <c r="U7" s="1" t="n"/>
      <c r="V7" s="1" t="n"/>
      <c r="W7" s="1" t="n"/>
      <c r="X7" s="1" t="n"/>
      <c r="Y7" s="1" t="n"/>
      <c r="Z7" s="1" t="n"/>
    </row>
    <row r="8" ht="17.25" customHeight="1" s="54">
      <c r="A8" s="1" t="n"/>
      <c r="B8" s="11" t="inlineStr">
        <is>
          <t>Good Value (Blue)</t>
        </is>
      </c>
      <c r="C8" s="9" t="n"/>
      <c r="D8" s="12" t="inlineStr">
        <is>
          <t>QB</t>
        </is>
      </c>
      <c r="E8" s="9" t="n"/>
      <c r="F8" s="9" t="n"/>
      <c r="G8" s="1" t="n"/>
      <c r="H8" s="13" t="inlineStr">
        <is>
          <t>ESPN Standard</t>
        </is>
      </c>
      <c r="I8" s="1" t="n"/>
      <c r="J8" s="14" t="inlineStr">
        <is>
          <t>Standard</t>
        </is>
      </c>
      <c r="K8" s="1" t="n"/>
      <c r="L8" s="1" t="n"/>
      <c r="M8" s="1" t="n"/>
      <c r="N8" s="1" t="n"/>
      <c r="O8" s="1" t="n"/>
      <c r="P8" s="1" t="n"/>
      <c r="Q8" s="1" t="n"/>
      <c r="R8" s="1" t="n"/>
      <c r="S8" s="1" t="n"/>
      <c r="T8" s="1" t="n"/>
      <c r="U8" s="1" t="n"/>
      <c r="V8" s="1" t="n"/>
      <c r="W8" s="1" t="n"/>
      <c r="X8" s="1" t="n"/>
      <c r="Y8" s="1" t="n"/>
      <c r="Z8" s="1" t="n"/>
    </row>
    <row r="9" ht="17.25" customHeight="1" s="54">
      <c r="A9" s="1" t="n"/>
      <c r="B9" s="15" t="inlineStr">
        <is>
          <t>Poor Value (Orange)</t>
        </is>
      </c>
      <c r="C9" s="9" t="n"/>
      <c r="D9" s="16" t="inlineStr">
        <is>
          <t>RB</t>
        </is>
      </c>
      <c r="E9" s="9" t="n"/>
      <c r="F9" s="9" t="n"/>
      <c r="G9" s="1" t="n"/>
      <c r="H9" s="13" t="inlineStr">
        <is>
          <t>ESPN .5PPR</t>
        </is>
      </c>
      <c r="I9" s="1" t="n"/>
      <c r="J9" s="17" t="inlineStr">
        <is>
          <t>Half PPR</t>
        </is>
      </c>
      <c r="K9" s="1" t="n"/>
      <c r="L9" s="1" t="n"/>
      <c r="M9" s="1" t="n"/>
      <c r="N9" s="1" t="n"/>
      <c r="O9" s="1" t="n"/>
      <c r="P9" s="1" t="n"/>
      <c r="Q9" s="1" t="n"/>
      <c r="R9" s="1" t="n"/>
      <c r="S9" s="1" t="n"/>
      <c r="T9" s="1" t="n"/>
      <c r="U9" s="1" t="n"/>
      <c r="V9" s="1" t="n"/>
      <c r="W9" s="1" t="n"/>
      <c r="X9" s="1" t="n"/>
      <c r="Y9" s="1" t="n"/>
      <c r="Z9" s="1" t="n"/>
    </row>
    <row r="10" ht="17.25" customHeight="1" s="54">
      <c r="A10" s="1" t="n"/>
      <c r="B10" s="9" t="n"/>
      <c r="C10" s="9" t="n"/>
      <c r="D10" s="18" t="inlineStr">
        <is>
          <t>WR</t>
        </is>
      </c>
      <c r="E10" s="9" t="n"/>
      <c r="F10" s="9" t="n"/>
      <c r="G10" s="1" t="n"/>
      <c r="H10" s="13" t="inlineStr">
        <is>
          <t>ESPN PPR</t>
        </is>
      </c>
      <c r="I10" s="1" t="n"/>
      <c r="J10" s="19" t="inlineStr">
        <is>
          <t>PPR</t>
        </is>
      </c>
      <c r="K10" s="1" t="n"/>
      <c r="L10" s="1" t="n"/>
      <c r="M10" s="1" t="n"/>
      <c r="N10" s="1" t="n"/>
      <c r="O10" s="1" t="n"/>
      <c r="P10" s="1" t="n"/>
      <c r="Q10" s="1" t="n"/>
      <c r="R10" s="1" t="n"/>
      <c r="S10" s="1" t="n"/>
      <c r="T10" s="1" t="n"/>
      <c r="U10" s="1" t="n"/>
      <c r="V10" s="1" t="n"/>
      <c r="W10" s="1" t="n"/>
      <c r="X10" s="1" t="n"/>
      <c r="Y10" s="1" t="n"/>
      <c r="Z10" s="1" t="n"/>
    </row>
    <row r="11" ht="17.25" customHeight="1" s="54">
      <c r="A11" s="1" t="n"/>
      <c r="B11" s="9" t="n"/>
      <c r="C11" s="9" t="n"/>
      <c r="D11" s="20" t="inlineStr">
        <is>
          <t>TE</t>
        </is>
      </c>
      <c r="E11" s="9" t="n"/>
      <c r="F11" s="9" t="n"/>
      <c r="G11" s="1" t="n"/>
      <c r="H11" s="21" t="inlineStr">
        <is>
          <t>Yahoo Standard</t>
        </is>
      </c>
      <c r="I11" s="1" t="n"/>
      <c r="J11" s="1" t="n"/>
      <c r="K11" s="1" t="n"/>
      <c r="L11" s="1" t="n"/>
      <c r="M11" s="1" t="n"/>
      <c r="N11" s="1" t="n"/>
      <c r="O11" s="1" t="n"/>
      <c r="P11" s="1" t="n"/>
      <c r="Q11" s="1" t="n"/>
      <c r="R11" s="1" t="n"/>
      <c r="S11" s="1" t="n"/>
      <c r="T11" s="1" t="n"/>
      <c r="U11" s="1" t="n"/>
      <c r="V11" s="1" t="n"/>
      <c r="W11" s="1" t="n"/>
      <c r="X11" s="1" t="n"/>
      <c r="Y11" s="1" t="n"/>
      <c r="Z11" s="1" t="n"/>
    </row>
    <row r="12" ht="17.25" customHeight="1" s="54">
      <c r="A12" s="1" t="n"/>
      <c r="B12" s="9" t="n"/>
      <c r="C12" s="9" t="n"/>
      <c r="D12" s="9" t="n"/>
      <c r="E12" s="9" t="n"/>
      <c r="F12" s="9" t="n"/>
      <c r="G12" s="1" t="n"/>
      <c r="H12" s="22" t="inlineStr">
        <is>
          <t>Yahoo .5PPR</t>
        </is>
      </c>
      <c r="I12" s="1" t="n"/>
      <c r="J12" s="10" t="inlineStr">
        <is>
          <t>Date of Last Update</t>
        </is>
      </c>
      <c r="K12" s="1" t="n"/>
      <c r="L12" s="1" t="n"/>
      <c r="M12" s="1" t="n"/>
      <c r="N12" s="1" t="n"/>
      <c r="O12" s="1" t="n"/>
      <c r="P12" s="1" t="n"/>
      <c r="Q12" s="1" t="n"/>
      <c r="R12" s="1" t="n"/>
      <c r="S12" s="1" t="n"/>
      <c r="T12" s="1" t="n"/>
      <c r="U12" s="1" t="n"/>
      <c r="V12" s="1" t="n"/>
      <c r="W12" s="1" t="n"/>
      <c r="X12" s="1" t="n"/>
      <c r="Y12" s="1" t="n"/>
      <c r="Z12" s="1" t="n"/>
    </row>
    <row r="13" ht="17.25" customHeight="1" s="54">
      <c r="A13" s="1" t="n"/>
      <c r="B13" s="2" t="inlineStr">
        <is>
          <t>Extras</t>
        </is>
      </c>
      <c r="C13" s="3" t="n"/>
      <c r="D13" s="3" t="n"/>
      <c r="E13" s="3" t="n"/>
      <c r="F13" s="3" t="n"/>
      <c r="G13" s="1" t="n"/>
      <c r="H13" s="22" t="inlineStr">
        <is>
          <t>Yahoo PPR</t>
        </is>
      </c>
      <c r="I13" s="1" t="n"/>
      <c r="J13" s="23" t="n">
        <v>45841</v>
      </c>
      <c r="K13" s="1" t="n"/>
      <c r="L13" s="1" t="n"/>
      <c r="M13" s="1" t="n"/>
      <c r="N13" s="1" t="n"/>
      <c r="O13" s="1" t="n"/>
      <c r="P13" s="1" t="n"/>
      <c r="Q13" s="1" t="n"/>
      <c r="R13" s="1" t="n"/>
      <c r="S13" s="1" t="n"/>
      <c r="T13" s="1" t="n"/>
      <c r="U13" s="1" t="n"/>
      <c r="V13" s="1" t="n"/>
      <c r="W13" s="1" t="n"/>
      <c r="X13" s="1" t="n"/>
      <c r="Y13" s="1" t="n"/>
      <c r="Z13" s="1" t="n"/>
    </row>
    <row r="14" ht="17.25" customHeight="1" s="54">
      <c r="A14" s="1" t="n"/>
      <c r="B14" s="24" t="inlineStr">
        <is>
          <t>- Insert an x to the left of player names to cross that player off, marking them as drafted.</t>
        </is>
      </c>
      <c r="C14" s="24" t="n"/>
      <c r="D14" s="24" t="n"/>
      <c r="E14" s="24" t="n"/>
      <c r="F14" s="9" t="n"/>
      <c r="G14" s="1" t="n"/>
      <c r="H14" s="25" t="inlineStr">
        <is>
          <t>Sleeper Standard</t>
        </is>
      </c>
      <c r="I14" s="1" t="n"/>
      <c r="J14" s="1" t="n"/>
      <c r="K14" s="1" t="n"/>
      <c r="L14" s="1" t="n"/>
      <c r="M14" s="1" t="n"/>
      <c r="N14" s="1" t="n"/>
      <c r="O14" s="1" t="n"/>
      <c r="P14" s="1" t="n"/>
      <c r="Q14" s="1" t="n"/>
      <c r="R14" s="1" t="n"/>
      <c r="S14" s="1" t="n"/>
      <c r="T14" s="1" t="n"/>
      <c r="U14" s="1" t="n"/>
      <c r="V14" s="1" t="n"/>
      <c r="W14" s="1" t="n"/>
      <c r="X14" s="1" t="n"/>
      <c r="Y14" s="1" t="n"/>
      <c r="Z14" s="1" t="n"/>
    </row>
    <row r="15" ht="17.25" customHeight="1" s="54">
      <c r="A15" s="1" t="n"/>
      <c r="B15" s="26" t="inlineStr">
        <is>
          <t xml:space="preserve">   - In order to edit the sheet, make a copy by going to File &gt; Make a copy</t>
        </is>
      </c>
      <c r="C15" s="1" t="n"/>
      <c r="D15" s="1" t="n"/>
      <c r="E15" s="1" t="n"/>
      <c r="F15" s="1" t="n"/>
      <c r="G15" s="1" t="n"/>
      <c r="H15" s="27" t="inlineStr">
        <is>
          <t>Sleeper .5PPR</t>
        </is>
      </c>
      <c r="I15" s="1" t="n"/>
      <c r="J15" s="10" t="inlineStr">
        <is>
          <t>Make a Copy</t>
        </is>
      </c>
      <c r="K15" s="1" t="n"/>
      <c r="L15" s="1" t="n"/>
      <c r="M15" s="1" t="n"/>
      <c r="N15" s="1" t="n"/>
      <c r="O15" s="1" t="n"/>
      <c r="P15" s="1" t="n"/>
      <c r="Q15" s="1" t="n"/>
      <c r="R15" s="1" t="n"/>
      <c r="S15" s="1" t="n"/>
      <c r="T15" s="1" t="n"/>
      <c r="U15" s="1" t="n"/>
      <c r="V15" s="1" t="n"/>
      <c r="W15" s="1" t="n"/>
      <c r="X15" s="1" t="n"/>
      <c r="Y15" s="1" t="n"/>
      <c r="Z15" s="1" t="n"/>
    </row>
    <row r="16" ht="17.25" customHeight="1" s="54">
      <c r="A16" s="1" t="n"/>
      <c r="B16" s="1" t="n"/>
      <c r="C16" s="1" t="n"/>
      <c r="D16" s="1" t="n"/>
      <c r="E16" s="1" t="n"/>
      <c r="F16" s="1" t="n"/>
      <c r="G16" s="1" t="n"/>
      <c r="H16" s="27" t="inlineStr">
        <is>
          <t>Sleeper PPR</t>
        </is>
      </c>
      <c r="I16" s="1" t="n"/>
      <c r="J16" s="28" t="inlineStr">
        <is>
          <t>Copy</t>
        </is>
      </c>
      <c r="K16" s="1" t="n"/>
      <c r="L16" s="1" t="n"/>
      <c r="M16" s="1" t="n"/>
      <c r="N16" s="1" t="n"/>
      <c r="O16" s="1" t="n"/>
      <c r="P16" s="1" t="n"/>
      <c r="Q16" s="1" t="n"/>
      <c r="R16" s="1" t="n"/>
      <c r="S16" s="1" t="n"/>
      <c r="T16" s="1" t="n"/>
      <c r="U16" s="1" t="n"/>
      <c r="V16" s="1" t="n"/>
      <c r="W16" s="1" t="n"/>
      <c r="X16" s="1" t="n"/>
      <c r="Y16" s="1" t="n"/>
      <c r="Z16" s="1" t="n"/>
    </row>
    <row r="17" ht="17.25" customHeight="1" s="54">
      <c r="A17" s="1" t="n"/>
      <c r="B17" s="2" t="inlineStr">
        <is>
          <t>Sources</t>
        </is>
      </c>
      <c r="C17" s="29" t="n"/>
      <c r="D17" s="29" t="n"/>
      <c r="E17" s="29" t="n"/>
      <c r="F17" s="29" t="n"/>
      <c r="G17" s="1" t="n"/>
      <c r="H17" s="30" t="inlineStr">
        <is>
          <t>NFL</t>
        </is>
      </c>
      <c r="J17" s="1" t="n"/>
      <c r="K17" s="1" t="n"/>
      <c r="L17" s="1" t="n"/>
      <c r="M17" s="1" t="n"/>
      <c r="N17" s="1" t="n"/>
      <c r="O17" s="1" t="n"/>
      <c r="P17" s="1" t="n"/>
      <c r="Q17" s="1" t="n"/>
      <c r="R17" s="1" t="n"/>
      <c r="S17" s="1" t="n"/>
      <c r="T17" s="1" t="n"/>
      <c r="U17" s="1" t="n"/>
      <c r="V17" s="1" t="n"/>
      <c r="W17" s="1" t="n"/>
      <c r="X17" s="1" t="n"/>
      <c r="Y17" s="1" t="n"/>
      <c r="Z17" s="1" t="n"/>
    </row>
    <row r="18" ht="17.25" customHeight="1" s="54">
      <c r="A18" s="1" t="n"/>
      <c r="B18" s="1" t="inlineStr">
        <is>
          <t>- ESPN draft rankings come from their mock drafts</t>
        </is>
      </c>
      <c r="C18" s="1" t="n"/>
      <c r="D18" s="1" t="n"/>
      <c r="E18" s="1" t="n"/>
      <c r="F18" s="1" t="n"/>
      <c r="G18" s="1" t="n"/>
      <c r="H18" s="31" t="inlineStr">
        <is>
          <t>CBS PPR</t>
        </is>
      </c>
      <c r="J18" s="1" t="n"/>
      <c r="K18" s="1" t="n"/>
      <c r="L18" s="1" t="n"/>
      <c r="M18" s="1" t="n"/>
      <c r="N18" s="1" t="n"/>
      <c r="O18" s="1" t="n"/>
      <c r="P18" s="1" t="n"/>
      <c r="Q18" s="1" t="n"/>
      <c r="R18" s="1" t="n"/>
      <c r="S18" s="1" t="n"/>
      <c r="T18" s="1" t="n"/>
      <c r="U18" s="1" t="n"/>
      <c r="V18" s="1" t="n"/>
      <c r="W18" s="1" t="n"/>
      <c r="X18" s="1" t="n"/>
      <c r="Y18" s="1" t="n"/>
      <c r="Z18" s="1" t="n"/>
    </row>
    <row r="19" ht="17.25" customHeight="1" s="54">
      <c r="A19" s="1" t="n"/>
      <c r="B19" s="1" t="inlineStr">
        <is>
          <t>- Yahoo x-rank draft rankings come from their mock drafts</t>
        </is>
      </c>
      <c r="C19" s="1" t="n"/>
      <c r="D19" s="1" t="n"/>
      <c r="E19" s="1" t="n"/>
      <c r="F19" s="1" t="n"/>
      <c r="G19" s="1" t="n"/>
      <c r="H19" s="32" t="inlineStr">
        <is>
          <t>Fleaflicker</t>
        </is>
      </c>
      <c r="J19" s="1" t="n"/>
      <c r="K19" s="1" t="n"/>
      <c r="L19" s="1" t="n"/>
      <c r="M19" s="1" t="n"/>
      <c r="N19" s="1" t="n"/>
      <c r="O19" s="1" t="n"/>
      <c r="P19" s="1" t="n"/>
      <c r="Q19" s="1" t="n"/>
      <c r="R19" s="1" t="n"/>
      <c r="S19" s="1" t="n"/>
      <c r="T19" s="1" t="n"/>
      <c r="U19" s="1" t="n"/>
      <c r="V19" s="1" t="n"/>
      <c r="W19" s="1" t="n"/>
      <c r="X19" s="1" t="n"/>
      <c r="Y19" s="1" t="n"/>
      <c r="Z19" s="1" t="n"/>
    </row>
    <row r="20" ht="17.25" customHeight="1" s="54">
      <c r="A20" s="1" t="n"/>
      <c r="B20" s="33" t="inlineStr">
        <is>
          <t>- Sleeper draft rankings come from their public ADP sheets</t>
        </is>
      </c>
      <c r="C20" s="1" t="n"/>
      <c r="D20" s="1" t="n"/>
      <c r="E20" s="1" t="n"/>
      <c r="F20" s="1" t="n"/>
      <c r="G20" s="1" t="n"/>
      <c r="H20" s="1" t="n"/>
      <c r="J20" s="1" t="n"/>
      <c r="K20" s="1" t="n"/>
      <c r="L20" s="1" t="n"/>
      <c r="M20" s="1" t="n"/>
      <c r="N20" s="1" t="n"/>
      <c r="O20" s="1" t="n"/>
      <c r="P20" s="1" t="n"/>
      <c r="Q20" s="1" t="n"/>
      <c r="R20" s="1" t="n"/>
      <c r="S20" s="1" t="n"/>
      <c r="T20" s="1" t="n"/>
      <c r="U20" s="1" t="n"/>
      <c r="V20" s="1" t="n"/>
      <c r="W20" s="1" t="n"/>
      <c r="X20" s="1" t="n"/>
      <c r="Y20" s="1" t="n"/>
      <c r="Z20" s="1" t="n"/>
    </row>
    <row r="21" ht="17.25" customHeight="1" s="54">
      <c r="A21" s="1" t="n"/>
      <c r="C21" s="1" t="n"/>
      <c r="D21" s="1" t="n"/>
      <c r="E21" s="1" t="n"/>
      <c r="F21" s="1" t="n"/>
      <c r="G21" s="1" t="n"/>
      <c r="I21" s="1" t="n"/>
      <c r="J21" s="1" t="n"/>
      <c r="K21" s="1" t="n"/>
      <c r="L21" s="1" t="n"/>
      <c r="M21" s="1" t="n"/>
      <c r="N21" s="1" t="n"/>
      <c r="O21" s="1" t="n"/>
      <c r="P21" s="1" t="n"/>
      <c r="Q21" s="1" t="n"/>
      <c r="R21" s="1" t="n"/>
      <c r="S21" s="1" t="n"/>
      <c r="T21" s="1" t="n"/>
      <c r="U21" s="1" t="n"/>
      <c r="V21" s="1" t="n"/>
      <c r="W21" s="1" t="n"/>
      <c r="X21" s="1" t="n"/>
      <c r="Y21" s="1" t="n"/>
      <c r="Z21" s="1" t="n"/>
    </row>
    <row r="22" ht="17.25" customHeight="1" s="54">
      <c r="A22" s="1" t="n"/>
      <c r="B22" s="2" t="inlineStr">
        <is>
          <t>New in 2025</t>
        </is>
      </c>
      <c r="C22" s="29" t="n"/>
      <c r="D22" s="29" t="n"/>
      <c r="E22" s="29" t="n"/>
      <c r="F22" s="29" t="n"/>
      <c r="G22" s="1" t="n"/>
      <c r="I22" s="1" t="n"/>
      <c r="J22" s="1" t="n"/>
      <c r="K22" s="1" t="n"/>
      <c r="L22" s="1" t="n"/>
      <c r="M22" s="1" t="n"/>
      <c r="N22" s="1" t="n"/>
      <c r="O22" s="1" t="n"/>
      <c r="P22" s="1" t="n"/>
      <c r="Q22" s="1" t="n"/>
      <c r="R22" s="1" t="n"/>
      <c r="S22" s="1" t="n"/>
      <c r="T22" s="1" t="n"/>
      <c r="U22" s="1" t="n"/>
      <c r="V22" s="1" t="n"/>
      <c r="W22" s="1" t="n"/>
      <c r="X22" s="1" t="n"/>
      <c r="Y22" s="1" t="n"/>
      <c r="Z22" s="1" t="n"/>
    </row>
    <row r="23" ht="17.25" customHeight="1" s="54">
      <c r="A23" s="1" t="n"/>
      <c r="B23" s="59" t="inlineStr">
        <is>
          <t>Landmine Score: A 0-10 scale rating how risky a player is in your draft room, based on how much earlier they’re ranked on your platform versus expert consensus.
0 = Great value
10 = Landmine, avoid</t>
        </is>
      </c>
      <c r="G23" s="1" t="n"/>
      <c r="I23" s="1" t="n"/>
      <c r="J23" s="1" t="n"/>
      <c r="K23" s="1" t="n"/>
      <c r="L23" s="1" t="n"/>
      <c r="M23" s="1" t="n"/>
      <c r="N23" s="1" t="n"/>
      <c r="O23" s="1" t="n"/>
      <c r="P23" s="1" t="n"/>
      <c r="Q23" s="1" t="n"/>
      <c r="R23" s="1" t="n"/>
      <c r="S23" s="1" t="n"/>
      <c r="T23" s="1" t="n"/>
      <c r="U23" s="1" t="n"/>
      <c r="V23" s="1" t="n"/>
      <c r="W23" s="1" t="n"/>
      <c r="X23" s="1" t="n"/>
      <c r="Y23" s="1" t="n"/>
      <c r="Z23" s="1" t="n"/>
    </row>
    <row r="24" ht="17.25" customHeight="1" s="54">
      <c r="A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7.25" customHeight="1" s="54">
      <c r="A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7.25" customHeight="1" s="54">
      <c r="A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7.25" customHeight="1" s="54">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7.25" customHeight="1" s="5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7.25" customHeight="1" s="5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7.25" customHeight="1" s="5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7.25" customHeight="1" s="5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7.25" customHeight="1" s="5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7.25" customHeight="1" s="5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7.25" customHeight="1" s="5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7.25" customHeight="1" s="5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7.25" customHeight="1" s="5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7.25" customHeight="1" s="5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7.25" customHeight="1" s="5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7.25" customHeight="1" s="5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7.25" customHeight="1" s="5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7.25" customHeight="1" s="5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7.25" customHeight="1" s="5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7.25" customHeight="1" s="5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7.25" customHeight="1" s="5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7.25" customHeight="1" s="5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7.25" customHeight="1" s="5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7.25" customHeight="1" s="5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7.25" customHeight="1" s="5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7.25" customHeight="1" s="5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7.25" customHeight="1" s="5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7.25" customHeight="1" s="5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7.25" customHeight="1" s="5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7.25" customHeight="1" s="5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7.25" customHeight="1" s="5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7.25" customHeight="1" s="5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7.25" customHeight="1" s="5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7.25" customHeight="1" s="5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7.25" customHeight="1" s="5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7.25" customHeight="1" s="5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7.25" customHeight="1" s="5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7.25" customHeight="1" s="5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7.25" customHeight="1" s="5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7.25" customHeight="1" s="5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7.25" customHeight="1" s="5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7.25" customHeight="1" s="5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7.25" customHeight="1" s="5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7.25" customHeight="1" s="5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7.25" customHeight="1" s="5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7.25" customHeight="1" s="5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7.25" customHeight="1" s="5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7.25" customHeight="1" s="5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7.25" customHeight="1" s="5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7.25" customHeight="1" s="5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7.25" customHeight="1" s="5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7.25" customHeight="1" s="5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7.25" customHeight="1" s="5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7.25" customHeight="1" s="5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7.25" customHeight="1" s="5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7.25" customHeight="1" s="5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7.25" customHeight="1" s="5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7.25" customHeight="1" s="5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7.25" customHeight="1" s="5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7.25" customHeight="1" s="5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7.25" customHeight="1" s="5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7.25" customHeight="1" s="5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7.25" customHeight="1" s="5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7.25" customHeight="1" s="5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7.25" customHeight="1" s="5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7.25" customHeight="1" s="5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7.25" customHeight="1" s="5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7.25" customHeight="1" s="5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7.25" customHeight="1" s="5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7.25" customHeight="1" s="5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7.25" customHeight="1" s="5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7.25" customHeight="1" s="5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7.25" customHeight="1" s="5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7.25" customHeight="1" s="5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7.25" customHeight="1" s="5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7.25" customHeight="1" s="5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7.25" customHeight="1" s="5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7.25" customHeight="1" s="5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7.25" customHeight="1" s="5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7.25" customHeight="1" s="5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7.25" customHeight="1" s="5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7.25" customHeight="1" s="5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7.25" customHeight="1" s="5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7.25" customHeight="1" s="5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7.25" customHeight="1" s="5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7.25" customHeight="1" s="5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7.25" customHeight="1" s="5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7.25" customHeight="1" s="5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7.25" customHeight="1" s="5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7.25" customHeight="1" s="5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7.25" customHeight="1" s="5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7.25" customHeight="1" s="5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7.25" customHeight="1" s="5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7.25" customHeight="1" s="5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7.25" customHeight="1" s="5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7.25" customHeight="1" s="5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7.25" customHeight="1" s="5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7.25" customHeight="1" s="5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7.25" customHeight="1" s="5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7.25" customHeight="1" s="5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7.25" customHeight="1" s="5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7.25" customHeight="1" s="5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7.25" customHeight="1" s="5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7.25" customHeight="1" s="5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7.25" customHeight="1" s="5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7.25" customHeight="1" s="5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7.25" customHeight="1" s="5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7.25" customHeight="1" s="5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7.25" customHeight="1" s="5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7.25" customHeight="1" s="5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7.25" customHeight="1" s="5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7.25" customHeight="1" s="5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7.25" customHeight="1" s="5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7.25" customHeight="1" s="5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7.25" customHeight="1" s="5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7.25" customHeight="1" s="5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7.25" customHeight="1" s="5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7.25" customHeight="1" s="5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7.25" customHeight="1" s="5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7.25" customHeight="1" s="5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7.25" customHeight="1" s="5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7.25" customHeight="1" s="5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7.25" customHeight="1" s="5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7.25" customHeight="1" s="5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7.25" customHeight="1" s="5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7.25" customHeight="1" s="5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7.25" customHeight="1" s="5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7.25" customHeight="1" s="5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7.25" customHeight="1" s="5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7.25" customHeight="1" s="5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7.25" customHeight="1" s="5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7.25" customHeight="1" s="5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7.25" customHeight="1" s="5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7.25" customHeight="1" s="5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7.25" customHeight="1" s="5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7.25" customHeight="1" s="5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7.25" customHeight="1" s="5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7.25" customHeight="1" s="5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7.25" customHeight="1" s="5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7.25" customHeight="1" s="5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7.25" customHeight="1" s="5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7.25" customHeight="1" s="5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7.25" customHeight="1" s="5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7.25" customHeight="1" s="5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7.25" customHeight="1" s="5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7.25" customHeight="1" s="5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7.25" customHeight="1" s="5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7.25" customHeight="1" s="5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7.25" customHeight="1" s="5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7.25" customHeight="1" s="5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7.25" customHeight="1" s="5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7.25" customHeight="1" s="5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7.25" customHeight="1" s="5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7.25" customHeight="1" s="5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7.25" customHeight="1" s="5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7.25" customHeight="1" s="5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7.25" customHeight="1" s="5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7.25" customHeight="1" s="5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7.25" customHeight="1" s="5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7.25" customHeight="1" s="5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7.25" customHeight="1" s="5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7.25" customHeight="1" s="5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7.25" customHeight="1" s="5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7.25" customHeight="1" s="5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7.25" customHeight="1" s="5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7.25" customHeight="1" s="5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7.25" customHeight="1" s="5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7.25" customHeight="1" s="5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7.25" customHeight="1" s="5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7.25" customHeight="1" s="5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7.25" customHeight="1" s="5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7.25" customHeight="1" s="5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7.25" customHeight="1" s="5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7.25" customHeight="1" s="5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7.25" customHeight="1" s="5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7.25" customHeight="1" s="5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7.25" customHeight="1" s="5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7.25" customHeight="1" s="5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7.25" customHeight="1" s="5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7.25" customHeight="1" s="5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7.25" customHeight="1" s="5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7.25" customHeight="1" s="5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7.25" customHeight="1" s="5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7.25" customHeight="1" s="5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7.25" customHeight="1" s="5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7.25" customHeight="1" s="5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7.25" customHeight="1" s="5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7.25" customHeight="1" s="5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7.25" customHeight="1" s="5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7.25" customHeight="1" s="5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7.25" customHeight="1" s="5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7.25" customHeight="1" s="5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7.25" customHeight="1" s="5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7.25" customHeight="1" s="5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7.25" customHeight="1" s="5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7.25" customHeight="1" s="5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7.25" customHeight="1" s="5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7.25" customHeight="1" s="5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7.25" customHeight="1" s="5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7.25" customHeight="1" s="5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7.25" customHeight="1" s="5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7.25" customHeight="1" s="5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7.25" customHeight="1" s="5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7.25" customHeight="1" s="5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7.25" customHeight="1" s="5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7.25" customHeight="1" s="5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7.25" customHeight="1" s="5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7.25" customHeight="1" s="5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7.25" customHeight="1" s="5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7.25" customHeight="1" s="5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7.25" customHeight="1" s="5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7.25" customHeight="1" s="5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7.25" customHeight="1" s="5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7.25" customHeight="1" s="5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7.25" customHeight="1" s="5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7.25" customHeight="1" s="5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7.25" customHeight="1" s="5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7.25" customHeight="1" s="5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7.25" customHeight="1" s="5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7.25" customHeight="1" s="5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7.25" customHeight="1" s="5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7.25" customHeight="1" s="5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7.25" customHeight="1" s="5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7.25" customHeight="1" s="5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7.25" customHeight="1" s="5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7.25" customHeight="1" s="5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7.25" customHeight="1" s="5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7.25" customHeight="1" s="5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7.25" customHeight="1" s="5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7.25" customHeight="1" s="5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7.25" customHeight="1" s="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7.25" customHeight="1" s="5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7.25" customHeight="1" s="5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7.25" customHeight="1" s="5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7.25" customHeight="1" s="5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7.25" customHeight="1" s="5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7.25" customHeight="1" s="5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7.25" customHeight="1" s="5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7.25" customHeight="1" s="5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7.25" customHeight="1" s="5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7.25" customHeight="1" s="5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7.25" customHeight="1" s="5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7.25" customHeight="1" s="5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7.25" customHeight="1" s="5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7.25" customHeight="1" s="5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7.25" customHeight="1" s="5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7.25" customHeight="1" s="5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7.25" customHeight="1" s="5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7.25" customHeight="1" s="5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7.25" customHeight="1" s="5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7.25" customHeight="1" s="5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7.25" customHeight="1" s="5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7.25" customHeight="1" s="5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7.25" customHeight="1" s="5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7.25" customHeight="1" s="5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7.25" customHeight="1" s="5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7.25" customHeight="1" s="5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7.25" customHeight="1" s="5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7.25" customHeight="1" s="5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7.25" customHeight="1" s="5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7.25" customHeight="1" s="5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7.25" customHeight="1" s="5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7.25" customHeight="1" s="5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7.25" customHeight="1" s="5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7.25" customHeight="1" s="5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7.25" customHeight="1" s="5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7.25" customHeight="1" s="5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7.25" customHeight="1" s="5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7.25" customHeight="1" s="5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7.25" customHeight="1" s="5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7.25" customHeight="1" s="5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7.25" customHeight="1" s="5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7.25" customHeight="1" s="5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7.25" customHeight="1" s="5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7.25" customHeight="1" s="5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7.25" customHeight="1" s="5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7.25" customHeight="1" s="5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7.25" customHeight="1" s="5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7.25" customHeight="1" s="5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7.25" customHeight="1" s="5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7.25" customHeight="1" s="5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7.25" customHeight="1" s="5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7.25" customHeight="1" s="5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7.25" customHeight="1" s="5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7.25" customHeight="1" s="5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7.25" customHeight="1" s="5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7.25" customHeight="1" s="5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7.25" customHeight="1" s="5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7.25" customHeight="1" s="5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7.25" customHeight="1" s="5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7.25" customHeight="1" s="5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7.25" customHeight="1" s="5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7.25" customHeight="1" s="5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7.25" customHeight="1" s="5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7.25" customHeight="1" s="5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7.25" customHeight="1" s="5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7.25" customHeight="1" s="5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7.25" customHeight="1" s="5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7.25" customHeight="1" s="5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7.25" customHeight="1" s="5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7.25" customHeight="1" s="5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7.25" customHeight="1" s="5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7.25" customHeight="1" s="5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7.25" customHeight="1" s="5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7.25" customHeight="1" s="5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7.25" customHeight="1" s="5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7.25" customHeight="1" s="5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7.25" customHeight="1" s="5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7.25" customHeight="1" s="5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7.25" customHeight="1" s="5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7.25" customHeight="1" s="5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7.25" customHeight="1" s="5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7.25" customHeight="1" s="5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7.25" customHeight="1" s="5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7.25" customHeight="1" s="5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7.25" customHeight="1" s="5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7.25" customHeight="1" s="5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7.25" customHeight="1" s="5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7.25" customHeight="1" s="5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7.25" customHeight="1" s="5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7.25" customHeight="1" s="5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7.25" customHeight="1" s="5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7.25" customHeight="1" s="5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7.25" customHeight="1" s="5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7.25" customHeight="1" s="5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7.25" customHeight="1" s="5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7.25" customHeight="1" s="5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7.25" customHeight="1" s="5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7.25" customHeight="1" s="5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7.25" customHeight="1" s="5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7.25" customHeight="1" s="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7.25" customHeight="1" s="5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7.25" customHeight="1" s="5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7.25" customHeight="1" s="5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7.25" customHeight="1" s="5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7.25" customHeight="1" s="5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7.25" customHeight="1" s="5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7.25" customHeight="1" s="5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7.25" customHeight="1" s="5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7.25" customHeight="1" s="5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7.25" customHeight="1" s="5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7.25" customHeight="1" s="5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7.25" customHeight="1" s="5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7.25" customHeight="1" s="5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7.25" customHeight="1" s="5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7.25" customHeight="1" s="5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7.25" customHeight="1" s="5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7.25" customHeight="1" s="5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7.25" customHeight="1" s="5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7.25" customHeight="1" s="5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7.25" customHeight="1" s="5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7.25" customHeight="1" s="5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7.25" customHeight="1" s="5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7.25" customHeight="1" s="5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7.25" customHeight="1" s="5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7.25" customHeight="1" s="5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7.25" customHeight="1" s="5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7.25" customHeight="1" s="5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7.25" customHeight="1" s="5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7.25" customHeight="1" s="5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7.25" customHeight="1" s="5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7.25" customHeight="1" s="5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7.25" customHeight="1" s="5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7.25" customHeight="1" s="5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7.25" customHeight="1" s="5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7.25" customHeight="1" s="5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7.25" customHeight="1" s="5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7.25" customHeight="1" s="5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7.25" customHeight="1" s="5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7.25" customHeight="1" s="5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7.25" customHeight="1" s="5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7.25" customHeight="1" s="5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7.25" customHeight="1" s="5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7.25" customHeight="1" s="5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7.25" customHeight="1" s="5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7.25" customHeight="1" s="5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7.25" customHeight="1" s="5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7.25" customHeight="1" s="5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7.25" customHeight="1" s="5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7.25" customHeight="1" s="5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7.25" customHeight="1" s="5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7.25" customHeight="1" s="5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7.25" customHeight="1" s="5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7.25" customHeight="1" s="5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7.25" customHeight="1" s="5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7.25" customHeight="1" s="5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7.25" customHeight="1" s="5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7.25" customHeight="1" s="5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7.25" customHeight="1" s="5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7.25" customHeight="1" s="5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7.25" customHeight="1" s="5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7.25" customHeight="1" s="5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7.25" customHeight="1" s="5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7.25" customHeight="1" s="5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7.25" customHeight="1" s="5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7.25" customHeight="1" s="5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7.25" customHeight="1" s="5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7.25" customHeight="1" s="5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7.25" customHeight="1" s="5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7.25" customHeight="1" s="5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7.25" customHeight="1" s="5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7.25" customHeight="1" s="5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7.25" customHeight="1" s="5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7.25" customHeight="1" s="5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7.25" customHeight="1" s="5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7.25" customHeight="1" s="5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7.25" customHeight="1" s="5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7.25" customHeight="1" s="5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7.25" customHeight="1" s="5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7.25" customHeight="1" s="5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7.25" customHeight="1" s="5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7.25" customHeight="1" s="5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7.25" customHeight="1" s="5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7.25" customHeight="1" s="5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7.25" customHeight="1" s="5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7.25" customHeight="1" s="5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7.25" customHeight="1" s="5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7.25" customHeight="1" s="5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7.25" customHeight="1" s="5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7.25" customHeight="1" s="5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7.25" customHeight="1" s="5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7.25" customHeight="1" s="5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7.25" customHeight="1" s="5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7.25" customHeight="1" s="5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7.25" customHeight="1" s="5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7.25" customHeight="1" s="5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7.25" customHeight="1" s="5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7.25" customHeight="1" s="5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7.25" customHeight="1" s="5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7.25" customHeight="1" s="5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7.25" customHeight="1" s="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7.25" customHeight="1" s="5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7.25" customHeight="1" s="5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7.25" customHeight="1" s="5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7.25" customHeight="1" s="5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7.25" customHeight="1" s="5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7.25" customHeight="1" s="5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7.25" customHeight="1" s="5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7.25" customHeight="1" s="5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7.25" customHeight="1" s="5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7.25" customHeight="1" s="5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7.25" customHeight="1" s="5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7.25" customHeight="1" s="5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7.25" customHeight="1" s="5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7.25" customHeight="1" s="5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7.25" customHeight="1" s="5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7.25" customHeight="1" s="5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7.25" customHeight="1" s="5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7.25" customHeight="1" s="5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7.25" customHeight="1" s="5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7.25" customHeight="1" s="5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7.25" customHeight="1" s="5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7.25" customHeight="1" s="5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7.25" customHeight="1" s="5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7.25" customHeight="1" s="5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7.25" customHeight="1" s="5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7.25" customHeight="1" s="5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7.25" customHeight="1" s="5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7.25" customHeight="1" s="5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7.25" customHeight="1" s="5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7.25" customHeight="1" s="5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7.25" customHeight="1" s="5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7.25" customHeight="1" s="5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7.25" customHeight="1" s="5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7.25" customHeight="1" s="5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7.25" customHeight="1" s="5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7.25" customHeight="1" s="5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7.25" customHeight="1" s="5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7.25" customHeight="1" s="5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7.25" customHeight="1" s="5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7.25" customHeight="1" s="5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7.25" customHeight="1" s="5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7.25" customHeight="1" s="5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7.25" customHeight="1" s="5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7.25" customHeight="1" s="5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7.25" customHeight="1" s="5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7.25" customHeight="1" s="5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7.25" customHeight="1" s="5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7.25" customHeight="1" s="5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7.25" customHeight="1" s="5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7.25" customHeight="1" s="5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7.25" customHeight="1" s="5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7.25" customHeight="1" s="5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7.25" customHeight="1" s="5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7.25" customHeight="1" s="5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7.25" customHeight="1" s="5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7.25" customHeight="1" s="5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7.25" customHeight="1" s="5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7.25" customHeight="1" s="5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7.25" customHeight="1" s="5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7.25" customHeight="1" s="5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7.25" customHeight="1" s="5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7.25" customHeight="1" s="5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7.25" customHeight="1" s="5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7.25" customHeight="1" s="5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7.25" customHeight="1" s="5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7.25" customHeight="1" s="5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7.25" customHeight="1" s="5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7.25" customHeight="1" s="5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7.25" customHeight="1" s="5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7.25" customHeight="1" s="5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7.25" customHeight="1" s="5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7.25" customHeight="1" s="5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7.25" customHeight="1" s="5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7.25" customHeight="1" s="5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7.25" customHeight="1" s="5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7.25" customHeight="1" s="5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7.25" customHeight="1" s="5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7.25" customHeight="1" s="5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7.25" customHeight="1" s="5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7.25" customHeight="1" s="5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7.25" customHeight="1" s="5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7.25" customHeight="1" s="5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7.25" customHeight="1" s="5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7.25" customHeight="1" s="5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7.25" customHeight="1" s="5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7.25" customHeight="1" s="5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7.25" customHeight="1" s="5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7.25" customHeight="1" s="5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7.25" customHeight="1" s="5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7.25" customHeight="1" s="5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7.25" customHeight="1" s="5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7.25" customHeight="1" s="5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7.25" customHeight="1" s="5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7.25" customHeight="1" s="5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7.25" customHeight="1" s="5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7.25" customHeight="1" s="5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7.25" customHeight="1" s="5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7.25" customHeight="1" s="5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7.25" customHeight="1" s="5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7.25" customHeight="1" s="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7.25" customHeight="1" s="5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7.25" customHeight="1" s="5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7.25" customHeight="1" s="5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7.25" customHeight="1" s="5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7.25" customHeight="1" s="5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7.25" customHeight="1" s="5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7.25" customHeight="1" s="5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7.25" customHeight="1" s="5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7.25" customHeight="1" s="5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7.25" customHeight="1" s="5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7.25" customHeight="1" s="5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7.25" customHeight="1" s="5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7.25" customHeight="1" s="5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7.25" customHeight="1" s="5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7.25" customHeight="1" s="5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7.25" customHeight="1" s="5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7.25" customHeight="1" s="5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7.25" customHeight="1" s="5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7.25" customHeight="1" s="5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7.25" customHeight="1" s="5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7.25" customHeight="1" s="5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7.25" customHeight="1" s="5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7.25" customHeight="1" s="5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7.25" customHeight="1" s="5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7.25" customHeight="1" s="5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7.25" customHeight="1" s="5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7.25" customHeight="1" s="5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7.25" customHeight="1" s="5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7.25" customHeight="1" s="5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7.25" customHeight="1" s="5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7.25" customHeight="1" s="5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7.25" customHeight="1" s="5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7.25" customHeight="1" s="5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7.25" customHeight="1" s="5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7.25" customHeight="1" s="5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7.25" customHeight="1" s="5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7.25" customHeight="1" s="5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7.25" customHeight="1" s="5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7.25" customHeight="1" s="5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7.25" customHeight="1" s="5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7.25" customHeight="1" s="5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7.25" customHeight="1" s="5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7.25" customHeight="1" s="5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7.25" customHeight="1" s="5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7.25" customHeight="1" s="5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7.25" customHeight="1" s="5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7.25" customHeight="1" s="5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7.25" customHeight="1" s="5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7.25" customHeight="1" s="5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7.25" customHeight="1" s="5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7.25" customHeight="1" s="5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7.25" customHeight="1" s="5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7.25" customHeight="1" s="5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7.25" customHeight="1" s="5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7.25" customHeight="1" s="5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7.25" customHeight="1" s="5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7.25" customHeight="1" s="5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7.25" customHeight="1" s="5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7.25" customHeight="1" s="5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7.25" customHeight="1" s="5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7.25" customHeight="1" s="5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7.25" customHeight="1" s="5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7.25" customHeight="1" s="5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7.25" customHeight="1" s="5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7.25" customHeight="1" s="5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7.25" customHeight="1" s="5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7.25" customHeight="1" s="5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7.25" customHeight="1" s="5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7.25" customHeight="1" s="5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7.25" customHeight="1" s="5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7.25" customHeight="1" s="5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7.25" customHeight="1" s="5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7.25" customHeight="1" s="5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7.25" customHeight="1" s="5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7.25" customHeight="1" s="5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7.25" customHeight="1" s="5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7.25" customHeight="1" s="5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7.25" customHeight="1" s="5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7.25" customHeight="1" s="5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7.25" customHeight="1" s="5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7.25" customHeight="1" s="5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7.25" customHeight="1" s="5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7.25" customHeight="1" s="5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7.25" customHeight="1" s="5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7.25" customHeight="1" s="5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7.25" customHeight="1" s="5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7.25" customHeight="1" s="5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7.25" customHeight="1" s="5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7.25" customHeight="1" s="5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7.25" customHeight="1" s="5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7.25" customHeight="1" s="5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7.25" customHeight="1" s="5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7.25" customHeight="1" s="5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7.25" customHeight="1" s="5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7.25" customHeight="1" s="5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7.25" customHeight="1" s="5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7.25" customHeight="1" s="5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7.25" customHeight="1" s="5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7.25" customHeight="1" s="5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7.25" customHeight="1" s="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7.25" customHeight="1" s="5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7.25" customHeight="1" s="5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7.25" customHeight="1" s="5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7.25" customHeight="1" s="5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7.25" customHeight="1" s="5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7.25" customHeight="1" s="5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7.25" customHeight="1" s="5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7.25" customHeight="1" s="5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7.25" customHeight="1" s="5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7.25" customHeight="1" s="5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7.25" customHeight="1" s="5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7.25" customHeight="1" s="5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7.25" customHeight="1" s="5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7.25" customHeight="1" s="5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7.25" customHeight="1" s="5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7.25" customHeight="1" s="5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7.25" customHeight="1" s="5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7.25" customHeight="1" s="5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7.25" customHeight="1" s="5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7.25" customHeight="1" s="5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7.25" customHeight="1" s="5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7.25" customHeight="1" s="5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7.25" customHeight="1" s="5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7.25" customHeight="1" s="5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7.25" customHeight="1" s="5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7.25" customHeight="1" s="5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7.25" customHeight="1" s="5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7.25" customHeight="1" s="5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7.25" customHeight="1" s="5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7.25" customHeight="1" s="5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7.25" customHeight="1" s="5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7.25" customHeight="1" s="5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7.25" customHeight="1" s="5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7.25" customHeight="1" s="5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7.25" customHeight="1" s="5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7.25" customHeight="1" s="5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7.25" customHeight="1" s="5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7.25" customHeight="1" s="5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7.25" customHeight="1" s="5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7.25" customHeight="1" s="5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7.25" customHeight="1" s="5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7.25" customHeight="1" s="5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7.25" customHeight="1" s="5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7.25" customHeight="1" s="5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7.25" customHeight="1" s="5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7.25" customHeight="1" s="5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7.25" customHeight="1" s="5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7.25" customHeight="1" s="5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7.25" customHeight="1" s="5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7.25" customHeight="1" s="5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7.25" customHeight="1" s="5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7.25" customHeight="1" s="5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7.25" customHeight="1" s="5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7.25" customHeight="1" s="5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7.25" customHeight="1" s="5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7.25" customHeight="1" s="5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7.25" customHeight="1" s="5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7.25" customHeight="1" s="5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7.25" customHeight="1" s="5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7.25" customHeight="1" s="5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7.25" customHeight="1" s="5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7.25" customHeight="1" s="5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7.25" customHeight="1" s="5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7.25" customHeight="1" s="5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7.25" customHeight="1" s="5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7.25" customHeight="1" s="5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7.25" customHeight="1" s="5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7.25" customHeight="1" s="5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7.25" customHeight="1" s="5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7.25" customHeight="1" s="5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7.25" customHeight="1" s="5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7.25" customHeight="1" s="5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7.25" customHeight="1" s="5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7.25" customHeight="1" s="5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7.25" customHeight="1" s="5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7.25" customHeight="1" s="5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7.25" customHeight="1" s="5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7.25" customHeight="1" s="5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7.25" customHeight="1" s="5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7.25" customHeight="1" s="5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7.25" customHeight="1" s="5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7.25" customHeight="1" s="5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7.25" customHeight="1" s="5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7.25" customHeight="1" s="5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7.25" customHeight="1" s="5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7.25" customHeight="1" s="5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7.25" customHeight="1" s="5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7.25" customHeight="1" s="5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7.25" customHeight="1" s="5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7.25" customHeight="1" s="5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7.25" customHeight="1" s="5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7.25" customHeight="1" s="5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7.25" customHeight="1" s="5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7.25" customHeight="1" s="5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7.25" customHeight="1" s="5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7.25" customHeight="1" s="5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7.25" customHeight="1" s="5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7.25" customHeight="1" s="5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7.25" customHeight="1" s="5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7.25" customHeight="1" s="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7.25" customHeight="1" s="5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7.25" customHeight="1" s="5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7.25" customHeight="1" s="5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7.25" customHeight="1" s="5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7.25" customHeight="1" s="5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7.25" customHeight="1" s="5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7.25" customHeight="1" s="5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7.25" customHeight="1" s="5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7.25" customHeight="1" s="5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7.25" customHeight="1" s="5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7.25" customHeight="1" s="5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7.25" customHeight="1" s="5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7.25" customHeight="1" s="5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7.25" customHeight="1" s="5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7.25" customHeight="1" s="5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7.25" customHeight="1" s="5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7.25" customHeight="1" s="5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7.25" customHeight="1" s="5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7.25" customHeight="1" s="5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7.25" customHeight="1" s="5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7.25" customHeight="1" s="5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7.25" customHeight="1" s="5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7.25" customHeight="1" s="5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7.25" customHeight="1" s="5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7.25" customHeight="1" s="5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7.25" customHeight="1" s="5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7.25" customHeight="1" s="5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7.25" customHeight="1" s="5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7.25" customHeight="1" s="5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7.25" customHeight="1" s="5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7.25" customHeight="1" s="5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7.25" customHeight="1" s="5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7.25" customHeight="1" s="5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7.25" customHeight="1" s="5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7.25" customHeight="1" s="5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7.25" customHeight="1" s="5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7.25" customHeight="1" s="5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7.25" customHeight="1" s="5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7.25" customHeight="1" s="5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7.25" customHeight="1" s="5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7.25" customHeight="1" s="5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7.25" customHeight="1" s="5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7.25" customHeight="1" s="5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7.25" customHeight="1" s="5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7.25" customHeight="1" s="5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7.25" customHeight="1" s="5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7.25" customHeight="1" s="5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7.25" customHeight="1" s="5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7.25" customHeight="1" s="5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7.25" customHeight="1" s="5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7.25" customHeight="1" s="5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7.25" customHeight="1" s="5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7.25" customHeight="1" s="5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7.25" customHeight="1" s="5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7.25" customHeight="1" s="5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7.25" customHeight="1" s="5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7.25" customHeight="1" s="5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7.25" customHeight="1" s="5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7.25" customHeight="1" s="5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7.25" customHeight="1" s="5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7.25" customHeight="1" s="5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7.25" customHeight="1" s="5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7.25" customHeight="1" s="5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7.25" customHeight="1" s="5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7.25" customHeight="1" s="5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7.25" customHeight="1" s="5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7.25" customHeight="1" s="5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7.25" customHeight="1" s="5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7.25" customHeight="1" s="5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7.25" customHeight="1" s="5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7.25" customHeight="1" s="5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7.25" customHeight="1" s="5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7.25" customHeight="1" s="5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7.25" customHeight="1" s="5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7.25" customHeight="1" s="5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7.25" customHeight="1" s="5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7.25" customHeight="1" s="5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7.25" customHeight="1" s="5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7.25" customHeight="1" s="5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7.25" customHeight="1" s="5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7.25" customHeight="1" s="5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7.25" customHeight="1" s="5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7.25" customHeight="1" s="5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7.25" customHeight="1" s="5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7.25" customHeight="1" s="5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7.25" customHeight="1" s="5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7.25" customHeight="1" s="5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7.25" customHeight="1" s="5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7.25" customHeight="1" s="5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7.25" customHeight="1" s="5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7.25" customHeight="1" s="5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7.25" customHeight="1" s="5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7.25" customHeight="1" s="5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7.25" customHeight="1" s="5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7.25" customHeight="1" s="5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7.25" customHeight="1" s="5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7.25" customHeight="1" s="5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7.25" customHeight="1" s="5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7.25" customHeight="1" s="5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7.25" customHeight="1" s="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7.25" customHeight="1" s="5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7.25" customHeight="1" s="5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7.25" customHeight="1" s="5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7.25" customHeight="1" s="5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7.25" customHeight="1" s="5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7.25" customHeight="1" s="5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7.25" customHeight="1" s="5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7.25" customHeight="1" s="5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7.25" customHeight="1" s="5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7.25" customHeight="1" s="5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7.25" customHeight="1" s="5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7.25" customHeight="1" s="5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7.25" customHeight="1" s="5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7.25" customHeight="1" s="5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7.25" customHeight="1" s="5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7.25" customHeight="1" s="5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7.25" customHeight="1" s="5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7.25" customHeight="1" s="5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7.25" customHeight="1" s="5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7.25" customHeight="1" s="5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7.25" customHeight="1" s="5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7.25" customHeight="1" s="5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7.25" customHeight="1" s="5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7.25" customHeight="1" s="5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7.25" customHeight="1" s="5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7.25" customHeight="1" s="5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7.25" customHeight="1" s="5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7.25" customHeight="1" s="5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7.25" customHeight="1" s="5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7.25" customHeight="1" s="5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7.25" customHeight="1" s="5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7.25" customHeight="1" s="5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7.25" customHeight="1" s="5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7.25" customHeight="1" s="5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7.25" customHeight="1" s="5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7.25" customHeight="1" s="5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7.25" customHeight="1" s="5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7.25" customHeight="1" s="5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7.25" customHeight="1" s="5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7.25" customHeight="1" s="5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7.25" customHeight="1" s="5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7.25" customHeight="1" s="5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7.25" customHeight="1" s="5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7.25" customHeight="1" s="5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7.25" customHeight="1" s="5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7.25" customHeight="1" s="5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7.25" customHeight="1" s="5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7.25" customHeight="1" s="5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7.25" customHeight="1" s="5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7.25" customHeight="1" s="5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7.25" customHeight="1" s="5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7.25" customHeight="1" s="5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7.25" customHeight="1" s="5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7.25" customHeight="1" s="5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7.25" customHeight="1" s="5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7.25" customHeight="1" s="5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7.25" customHeight="1" s="5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7.25" customHeight="1" s="5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7.25" customHeight="1" s="5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7.25" customHeight="1" s="5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7.25" customHeight="1" s="5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7.25" customHeight="1" s="5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7.25" customHeight="1" s="5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7.25" customHeight="1" s="5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7.25" customHeight="1" s="5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7.25" customHeight="1" s="5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7.25" customHeight="1" s="5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7.25" customHeight="1" s="5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7.25" customHeight="1" s="5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7.25" customHeight="1" s="5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7.25" customHeight="1" s="5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7.25" customHeight="1" s="5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7.25" customHeight="1" s="5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7.25" customHeight="1" s="5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7.25" customHeight="1" s="5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7.25" customHeight="1" s="5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7.25" customHeight="1" s="5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7.25" customHeight="1" s="5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7.25" customHeight="1" s="5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7.25" customHeight="1" s="5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7.25" customHeight="1" s="5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7.25" customHeight="1" s="5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7.25" customHeight="1" s="5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7.25" customHeight="1" s="5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7.25" customHeight="1" s="5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7.25" customHeight="1" s="5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7.25" customHeight="1" s="5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7.25" customHeight="1" s="5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7.25" customHeight="1" s="5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7.25" customHeight="1" s="5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7.25" customHeight="1" s="5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7.25" customHeight="1" s="5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7.25" customHeight="1" s="5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7.25" customHeight="1" s="5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7.25" customHeight="1" s="5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7.25" customHeight="1" s="5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7.25" customHeight="1" s="5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7.25" customHeight="1" s="5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7.25" customHeight="1" s="5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7.25" customHeight="1" s="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7.25" customHeight="1" s="5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7.25" customHeight="1" s="5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7.25" customHeight="1" s="5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7.25" customHeight="1" s="5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7.25" customHeight="1" s="5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7.25" customHeight="1" s="5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7.25" customHeight="1" s="5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7.25" customHeight="1" s="5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7.25" customHeight="1" s="5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7.25" customHeight="1" s="5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7.25" customHeight="1" s="5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7.25" customHeight="1" s="5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7.25" customHeight="1" s="5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7.25" customHeight="1" s="5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7.25" customHeight="1" s="5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7.25" customHeight="1" s="5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7.25" customHeight="1" s="5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7.25" customHeight="1" s="5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7.25" customHeight="1" s="5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7.25" customHeight="1" s="5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7.25" customHeight="1" s="5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7.25" customHeight="1" s="5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7.25" customHeight="1" s="5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7.25" customHeight="1" s="5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7.25" customHeight="1" s="5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7.25" customHeight="1" s="5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7.25" customHeight="1" s="5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7.25" customHeight="1" s="5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7.25" customHeight="1" s="5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7.25" customHeight="1" s="5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7.25" customHeight="1" s="5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7.25" customHeight="1" s="5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7.25" customHeight="1" s="5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7.25" customHeight="1" s="5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7.25" customHeight="1" s="5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7.25" customHeight="1" s="5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7.25" customHeight="1" s="5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7.25" customHeight="1" s="5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7.25" customHeight="1" s="5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7.25" customHeight="1" s="5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7.25" customHeight="1" s="5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7.25" customHeight="1" s="5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7.25" customHeight="1" s="5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7.25" customHeight="1" s="5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sheetData>
  <mergeCells count="3">
    <mergeCell ref="B4:F5"/>
    <mergeCell ref="B23:F26"/>
    <mergeCell ref="B1:F1"/>
  </mergeCells>
  <hyperlinks>
    <hyperlink xmlns:r="http://schemas.openxmlformats.org/officeDocument/2006/relationships" ref="H4" r:id="rId1"/>
    <hyperlink xmlns:r="http://schemas.openxmlformats.org/officeDocument/2006/relationships" ref="J4" r:id="rId2"/>
    <hyperlink xmlns:r="http://schemas.openxmlformats.org/officeDocument/2006/relationships" ref="H5" r:id="rId3"/>
    <hyperlink ref="H8" location="null!A1" display="ESPN Standard"/>
    <hyperlink ref="J8" location="null!A1" display="Standard"/>
    <hyperlink ref="H9" location="null!A1" display="ESPN .5PPR"/>
    <hyperlink ref="J9" location="null!A1" display="Half PPR"/>
    <hyperlink ref="H10" location="null!A1" display="ESPN PPR"/>
    <hyperlink ref="J10" location="'ALL PPR Drafts'!A1" display="PPR"/>
    <hyperlink ref="H11" location="null!A1" display="Yahoo Standard"/>
    <hyperlink ref="H12" location="null!A1" display="Yahoo .5PPR"/>
    <hyperlink ref="H13" location="null!A1" display="Yahoo PPR"/>
    <hyperlink ref="H14" location="null!A1" display="Sleeper Standard"/>
    <hyperlink ref="H15" location="null!A1" display="Sleeper .5PPR"/>
    <hyperlink ref="H16" location="null!A1" display="Sleeper PPR"/>
    <hyperlink xmlns:r="http://schemas.openxmlformats.org/officeDocument/2006/relationships" ref="J16" r:id="rId4"/>
    <hyperlink ref="H17" location="null!A1" display="NFL"/>
    <hyperlink ref="H18" location="null!A1" display="CBS PPR"/>
    <hyperlink ref="H19" location="null!A1" display="Fleaflicker"/>
    <hyperlink xmlns:r="http://schemas.openxmlformats.org/officeDocument/2006/relationships" ref="B20" r:id="rId5"/>
  </hyperlink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13"/>
  <sheetViews>
    <sheetView workbookViewId="0">
      <selection activeCell="A1" sqref="A1"/>
    </sheetView>
  </sheetViews>
  <sheetFormatPr baseColWidth="10" defaultColWidth="12.5" defaultRowHeight="15.75" customHeight="1"/>
  <sheetData>
    <row r="1" ht="15.75" customHeight="1" s="54">
      <c r="B1" s="26" t="inlineStr">
        <is>
          <t>Ben</t>
        </is>
      </c>
      <c r="C1" s="26" t="inlineStr">
        <is>
          <t>Kev</t>
        </is>
      </c>
      <c r="D1" s="26" t="inlineStr">
        <is>
          <t>Hugo</t>
        </is>
      </c>
      <c r="E1" s="26" t="inlineStr">
        <is>
          <t>Iack</t>
        </is>
      </c>
      <c r="F1" s="26" t="inlineStr">
        <is>
          <t>Thomas</t>
        </is>
      </c>
      <c r="G1" s="26" t="inlineStr">
        <is>
          <t>Phil</t>
        </is>
      </c>
      <c r="H1" s="26" t="inlineStr">
        <is>
          <t>JF</t>
        </is>
      </c>
      <c r="I1" s="26" t="inlineStr">
        <is>
          <t>Jerome</t>
        </is>
      </c>
      <c r="J1" s="26" t="inlineStr">
        <is>
          <t>Web</t>
        </is>
      </c>
      <c r="K1" s="26" t="inlineStr">
        <is>
          <t>Fred</t>
        </is>
      </c>
    </row>
    <row r="2" ht="15.75" customHeight="1" s="54">
      <c r="A2" s="26" t="n">
        <v>1</v>
      </c>
      <c r="B2">
        <f>IFERROR(__xludf.DUMMYFUNCTION("IFERROR(INDEX(FILTER(Keeper!$B:$B, Keeper!$A:$A=B$1), ROW(A1)), """")"),"Malik Nabers")</f>
        <v/>
      </c>
      <c r="C2">
        <f>IFERROR(__xludf.DUMMYFUNCTION("IFERROR(INDEX(FILTER(Keeper!$B:$B, Keeper!$A:$A=C$1), ROW(B1)), """")"),"Jahmyr Gibbs")</f>
        <v/>
      </c>
      <c r="D2">
        <f>IFERROR(__xludf.DUMMYFUNCTION("IFERROR(INDEX(FILTER(Keeper!$B:$B, Keeper!$A:$A=D$1), ROW(C1)), """")"),"Chase Brown")</f>
        <v/>
      </c>
      <c r="E2">
        <f>IFERROR(__xludf.DUMMYFUNCTION("IFERROR(INDEX(FILTER(Keeper!$B:$B, Keeper!$A:$A=E$1), ROW(D1)), """")"),"De'Von Achane")</f>
        <v/>
      </c>
      <c r="F2">
        <f>IFERROR(__xludf.DUMMYFUNCTION("IFERROR(INDEX(FILTER(Keeper!$B:$B, Keeper!$A:$A=F$1), ROW(E1)), """")"),"Christian McCaffrey")</f>
        <v/>
      </c>
      <c r="G2">
        <f>IFERROR(__xludf.DUMMYFUNCTION("IFERROR(INDEX(FILTER(Keeper!$B:$B, Keeper!$A:$A=G$1), ROW(F1)), """")"),"Drake Maye")</f>
        <v/>
      </c>
      <c r="H2">
        <f>IFERROR(__xludf.DUMMYFUNCTION("IFERROR(INDEX(FILTER(Keeper!$B:$B, Keeper!$A:$A=H$1), ROW(G1)), """")"),"Garrett Wilson")</f>
        <v/>
      </c>
      <c r="I2">
        <f>IFERROR(__xludf.DUMMYFUNCTION("IFERROR(INDEX(FILTER(Keeper!$B:$B, Keeper!$A:$A=I$1), ROW(H1)), """")"),"Ja'Marr Chase")</f>
        <v/>
      </c>
      <c r="J2">
        <f>IFERROR(__xludf.DUMMYFUNCTION("IFERROR(INDEX(FILTER(Keeper!$B:$B, Keeper!$A:$A=J$1), ROW(I1)), """")"),"Omarion Hampton")</f>
        <v/>
      </c>
      <c r="K2">
        <f>IFERROR(__xludf.DUMMYFUNCTION("IFERROR(INDEX(FILTER(Keeper!$B:$B, Keeper!$A:$A=K$1), ROW(J1)), """")"),"Drake London")</f>
        <v/>
      </c>
    </row>
    <row r="3" ht="15.75" customHeight="1" s="54">
      <c r="A3" s="26" t="n">
        <v>2</v>
      </c>
      <c r="B3">
        <f>IFERROR(__xludf.DUMMYFUNCTION("IFERROR(INDEX(FILTER(Keeper!$B:$B, Keeper!$A:$A=B$1), ROW(A2)), """")"),"Brock Bowers")</f>
        <v/>
      </c>
      <c r="C3">
        <f>IFERROR(__xludf.DUMMYFUNCTION("IFERROR(INDEX(FILTER(Keeper!$B:$B, Keeper!$A:$A=C$1), ROW(B2)), """")"),"Josh Jacobs")</f>
        <v/>
      </c>
      <c r="D3">
        <f>IFERROR(__xludf.DUMMYFUNCTION("IFERROR(INDEX(FILTER(Keeper!$B:$B, Keeper!$A:$A=D$1), ROW(C2)), """")"),"Justin Jefferson")</f>
        <v/>
      </c>
      <c r="E3">
        <f>IFERROR(__xludf.DUMMYFUNCTION("IFERROR(INDEX(FILTER(Keeper!$B:$B, Keeper!$A:$A=E$1), ROW(D2)), """")"),"Ashton Jeanty")</f>
        <v/>
      </c>
      <c r="F3">
        <f>IFERROR(__xludf.DUMMYFUNCTION("IFERROR(INDEX(FILTER(Keeper!$B:$B, Keeper!$A:$A=F$1), ROW(E2)), """")"),"Jonathan Taylor")</f>
        <v/>
      </c>
      <c r="G3">
        <f>IFERROR(__xludf.DUMMYFUNCTION("IFERROR(INDEX(FILTER(Keeper!$B:$B, Keeper!$A:$A=G$1), ROW(F2)), """")"),"Saquon Barkley")</f>
        <v/>
      </c>
      <c r="H3">
        <f>IFERROR(__xludf.DUMMYFUNCTION("IFERROR(INDEX(FILTER(Keeper!$B:$B, Keeper!$A:$A=H$1), ROW(G2)), """")"),"Kyren Williams")</f>
        <v/>
      </c>
      <c r="I3">
        <f>IFERROR(__xludf.DUMMYFUNCTION("IFERROR(INDEX(FILTER(Keeper!$B:$B, Keeper!$A:$A=I$1), ROW(H2)), """")"),"Chris Olave")</f>
        <v/>
      </c>
      <c r="J3">
        <f>IFERROR(__xludf.DUMMYFUNCTION("IFERROR(INDEX(FILTER(Keeper!$B:$B, Keeper!$A:$A=J$1), ROW(I2)), """")"),"Bijan Robinson")</f>
        <v/>
      </c>
      <c r="K3">
        <f>IFERROR(__xludf.DUMMYFUNCTION("IFERROR(INDEX(FILTER(Keeper!$B:$B, Keeper!$A:$A=K$1), ROW(J2)), """")"),"Trey McBride")</f>
        <v/>
      </c>
    </row>
    <row r="4" ht="15.75" customHeight="1" s="54">
      <c r="A4" s="26" t="n">
        <v>3</v>
      </c>
      <c r="B4">
        <f>IFERROR(__xludf.DUMMYFUNCTION("IFERROR(INDEX(FILTER(Keeper!$B:$B, Keeper!$A:$A=B$1), ROW(A3)), """")"),"CeeDee Lamb")</f>
        <v/>
      </c>
      <c r="C4">
        <f>IFERROR(__xludf.DUMMYFUNCTION("IFERROR(INDEX(FILTER(Keeper!$B:$B, Keeper!$A:$A=C$1), ROW(B3)), """")"),"Rashee Rice")</f>
        <v/>
      </c>
      <c r="D4">
        <f>IFERROR(__xludf.DUMMYFUNCTION("IFERROR(INDEX(FILTER(Keeper!$B:$B, Keeper!$A:$A=D$1), ROW(C3)), """")"),"George Pickens")</f>
        <v/>
      </c>
      <c r="E4">
        <f>IFERROR(__xludf.DUMMYFUNCTION("IFERROR(INDEX(FILTER(Keeper!$B:$B, Keeper!$A:$A=E$1), ROW(D3)), """")"),"Amon-Ra St. Brown")</f>
        <v/>
      </c>
      <c r="F4">
        <f>IFERROR(__xludf.DUMMYFUNCTION("IFERROR(INDEX(FILTER(Keeper!$B:$B, Keeper!$A:$A=F$1), ROW(E3)), """")"),"Puka Nacua")</f>
        <v/>
      </c>
      <c r="G4">
        <f>IFERROR(__xludf.DUMMYFUNCTION("IFERROR(INDEX(FILTER(Keeper!$B:$B, Keeper!$A:$A=G$1), ROW(F3)), """")"),"Jaxon Smith-Njigba")</f>
        <v/>
      </c>
      <c r="H4">
        <f>IFERROR(__xludf.DUMMYFUNCTION("IFERROR(INDEX(FILTER(Keeper!$B:$B, Keeper!$A:$A=H$1), ROW(G3)), """")"),"James Cook III")</f>
        <v/>
      </c>
      <c r="I4">
        <f>IFERROR(__xludf.DUMMYFUNCTION("IFERROR(INDEX(FILTER(Keeper!$B:$B, Keeper!$A:$A=I$1), ROW(H3)), """")"),"Josh Allen")</f>
        <v/>
      </c>
      <c r="J4">
        <f>IFERROR(__xludf.DUMMYFUNCTION("IFERROR(INDEX(FILTER(Keeper!$B:$B, Keeper!$A:$A=J$1), ROW(I3)), """")"),"Nico Collins")</f>
        <v/>
      </c>
      <c r="K4">
        <f>IFERROR(__xludf.DUMMYFUNCTION("IFERROR(INDEX(FILTER(Keeper!$B:$B, Keeper!$A:$A=K$1), ROW(J3)), """")"),"Tetairoa McMillan")</f>
        <v/>
      </c>
    </row>
    <row r="5" ht="15.75" customHeight="1" s="54">
      <c r="A5" s="26" t="n">
        <v>4</v>
      </c>
      <c r="B5">
        <f>IFERROR(__xludf.DUMMYFUNCTION("IFERROR(INDEX(FILTER(Draft!$B$2:$B1000, Draft!$A$2:$A1000=B$1), ROW(A1)), """")"),"Travis Etienne Jr.")</f>
        <v/>
      </c>
      <c r="C5">
        <f>IFERROR(__xludf.DUMMYFUNCTION("IFERROR(INDEX(FILTER(Draft!$B$2:$B1000, Draft!$A$2:$A1000=C$1), ROW(B1)), """")"),"Lamar Jackson")</f>
        <v/>
      </c>
      <c r="D5">
        <f>IFERROR(__xludf.DUMMYFUNCTION("IFERROR(INDEX(FILTER(Draft!$B$2:$B1000, Draft!$A$2:$A1000=D$1), ROW(C1)), """")"),"Derrick Henry")</f>
        <v/>
      </c>
      <c r="E5">
        <f>IFERROR(__xludf.DUMMYFUNCTION("IFERROR(INDEX(FILTER(Draft!$B$2:$B1000, Draft!$A$2:$A1000=E$1), ROW(D1)), """")"),"Zay Flowers")</f>
        <v/>
      </c>
      <c r="F5">
        <f>IFERROR(__xludf.DUMMYFUNCTION("IFERROR(INDEX(FILTER(Draft!$B$2:$B1000, Draft!$A$2:$A1000=F$1), ROW(E1)), """")"),"Tucker Kraft")</f>
        <v/>
      </c>
      <c r="G5">
        <f>IFERROR(__xludf.DUMMYFUNCTION("IFERROR(INDEX(FILTER(Draft!$B$2:$B1000, Draft!$A$2:$A1000=G$1), ROW(F1)), """")"),"Javonte Williams")</f>
        <v/>
      </c>
      <c r="H5">
        <f>IFERROR(__xludf.DUMMYFUNCTION("IFERROR(INDEX(FILTER(Draft!$B$2:$B1000, Draft!$A$2:$A1000=H$1), ROW(G1)), """")"),"Colston Loveland")</f>
        <v/>
      </c>
      <c r="I5">
        <f>IFERROR(__xludf.DUMMYFUNCTION("IFERROR(INDEX(FILTER(Draft!$B$2:$B1000, Draft!$A$2:$A1000=I$1), ROW(H1)), """")"),"")</f>
        <v/>
      </c>
      <c r="J5" t="inlineStr">
        <is>
          <t>Jeremiyah Love</t>
        </is>
      </c>
      <c r="K5">
        <f>IFERROR(__xludf.DUMMYFUNCTION("IFERROR(INDEX(FILTER(Draft!$B$2:$B1000, Draft!$A$2:$A1000=K$1), ROW(J1)), """")"),"Tee Higgins")</f>
        <v/>
      </c>
    </row>
    <row r="6" ht="15.75" customHeight="1" s="54">
      <c r="A6" s="26" t="n">
        <v>5</v>
      </c>
      <c r="B6">
        <f>IFERROR(__xludf.DUMMYFUNCTION("IFERROR(INDEX(FILTER(Draft!$B$2:$B1000, Draft!$A$2:$A1000=B$1), ROW(A2)), """")"),"Ladd McConkey")</f>
        <v/>
      </c>
      <c r="C6">
        <f>IFERROR(__xludf.DUMMYFUNCTION("IFERROR(INDEX(FILTER(Draft!$B$2:$B1000, Draft!$A$2:$A1000=C$1), ROW(B2)), """")"),"Joe Burrow")</f>
        <v/>
      </c>
      <c r="D6">
        <f>IFERROR(__xludf.DUMMYFUNCTION("IFERROR(INDEX(FILTER(Draft!$B$2:$B1000, Draft!$A$2:$A1000=D$1), ROW(C2)), """")"),"Jameson Williams")</f>
        <v/>
      </c>
      <c r="E6">
        <f>IFERROR(__xludf.DUMMYFUNCTION("IFERROR(INDEX(FILTER(Draft!$B$2:$B1000, Draft!$A$2:$A1000=E$1), ROW(D2)), """")"),"Mike Evans")</f>
        <v/>
      </c>
      <c r="F6">
        <f>IFERROR(__xludf.DUMMYFUNCTION("IFERROR(INDEX(FILTER(Draft!$B$2:$B1000, Draft!$A$2:$A1000=F$1), ROW(E2)), """")"),"D'Andre Swift")</f>
        <v/>
      </c>
      <c r="G6">
        <f>IFERROR(__xludf.DUMMYFUNCTION("IFERROR(INDEX(FILTER(Draft!$B$2:$B1000, Draft!$A$2:$A1000=G$1), ROW(F2)), """")"),"Makai Lemon")</f>
        <v/>
      </c>
      <c r="H6">
        <f>IFERROR(__xludf.DUMMYFUNCTION("IFERROR(INDEX(FILTER(Draft!$B$2:$B1000, Draft!$A$2:$A1000=H$1), ROW(G2)), """")"),"Emeka Egbuka")</f>
        <v/>
      </c>
      <c r="I6">
        <f>IFERROR(__xludf.DUMMYFUNCTION("IFERROR(INDEX(FILTER(Draft!$B$2:$B1000, Draft!$A$2:$A1000=I$1), ROW(H2)), """")"),"")</f>
        <v/>
      </c>
      <c r="J6">
        <f>IFERROR(__xludf.DUMMYFUNCTION("IFERROR(INDEX(FILTER(Draft!$B$2:$B1000, Draft!$A$2:$A1000=J$1), ROW(I2)), """")"),"Kenneth Walker III")</f>
        <v/>
      </c>
      <c r="K6">
        <f>IFERROR(__xludf.DUMMYFUNCTION("IFERROR(INDEX(FILTER(Draft!$B$2:$B1000, Draft!$A$2:$A1000=K$1), ROW(J2)), """")"),"A.J. Brown")</f>
        <v/>
      </c>
    </row>
    <row r="7" ht="15.75" customHeight="1" s="54">
      <c r="A7" s="26" t="n">
        <v>6</v>
      </c>
      <c r="B7">
        <f>IFERROR(__xludf.DUMMYFUNCTION("IFERROR(INDEX(FILTER(Draft!$B$2:$B1000, Draft!$A$2:$A1000=B$1), ROW(A3)), """")"),"Terry McLaurin")</f>
        <v/>
      </c>
      <c r="C7">
        <f>IFERROR(__xludf.DUMMYFUNCTION("IFERROR(INDEX(FILTER(Draft!$B$2:$B1000, Draft!$A$2:$A1000=C$1), ROW(B3)), """")"),"Bucky Irving")</f>
        <v/>
      </c>
      <c r="D7">
        <f>IFERROR(__xludf.DUMMYFUNCTION("IFERROR(INDEX(FILTER(Draft!$B$2:$B1000, Draft!$A$2:$A1000=D$1), ROW(C3)), """")"),"Jalen Hurts")</f>
        <v/>
      </c>
      <c r="E7">
        <f>IFERROR(__xludf.DUMMYFUNCTION("IFERROR(INDEX(FILTER(Draft!$B$2:$B1000, Draft!$A$2:$A1000=E$1), ROW(D3)), """")"),"Alec Pierce")</f>
        <v/>
      </c>
      <c r="F7">
        <f>IFERROR(__xludf.DUMMYFUNCTION("IFERROR(INDEX(FILTER(Draft!$B$2:$B1000, Draft!$A$2:$A1000=F$1), ROW(E3)), """")"),"Jaylen Warren")</f>
        <v/>
      </c>
      <c r="G7">
        <f>IFERROR(__xludf.DUMMYFUNCTION("IFERROR(INDEX(FILTER(Draft!$B$2:$B1000, Draft!$A$2:$A1000=G$1), ROW(F3)), """")"),"Caleb Williams")</f>
        <v/>
      </c>
      <c r="H7">
        <f>IFERROR(__xludf.DUMMYFUNCTION("IFERROR(INDEX(FILTER(Draft!$B$2:$B1000, Draft!$A$2:$A1000=H$1), ROW(G3)), """")"),"DeVonta Smith")</f>
        <v/>
      </c>
      <c r="I7">
        <f>IFERROR(__xludf.DUMMYFUNCTION("IFERROR(INDEX(FILTER(Draft!$B$2:$B1000, Draft!$A$2:$A1000=I$1), ROW(H3)), """")"),"")</f>
        <v/>
      </c>
      <c r="J7">
        <f>IFERROR(__xludf.DUMMYFUNCTION("IFERROR(INDEX(FILTER(Draft!$B$2:$B1000, Draft!$A$2:$A1000=J$1), ROW(I3)), """")"),"Josh Jacobs")</f>
        <v/>
      </c>
      <c r="K7">
        <f>IFERROR(__xludf.DUMMYFUNCTION("IFERROR(INDEX(FILTER(Draft!$B$2:$B1000, Draft!$A$2:$A1000=K$1), ROW(J3)), """")"),"Breece Hall")</f>
        <v/>
      </c>
    </row>
    <row r="8" ht="15.75" customHeight="1" s="54">
      <c r="A8" s="26" t="n">
        <v>7</v>
      </c>
      <c r="B8">
        <f>IFERROR(__xludf.DUMMYFUNCTION("IFERROR(INDEX(FILTER(Draft!$B$2:$B1000, Draft!$A$2:$A1000=B$1), ROW(A4)), """")"),"Christian Watson")</f>
        <v/>
      </c>
      <c r="C8">
        <f>IFERROR(__xludf.DUMMYFUNCTION("IFERROR(INDEX(FILTER(Draft!$B$2:$B1000, Draft!$A$2:$A1000=C$1), ROW(B4)), """")"),"Jaylen Waddle")</f>
        <v/>
      </c>
      <c r="D8">
        <f>IFERROR(__xludf.DUMMYFUNCTION("IFERROR(INDEX(FILTER(Draft!$B$2:$B1000, Draft!$A$2:$A1000=D$1), ROW(C4)), """")"),"DJ Moore")</f>
        <v/>
      </c>
      <c r="E8">
        <f>IFERROR(__xludf.DUMMYFUNCTION("IFERROR(INDEX(FILTER(Draft!$B$2:$B1000, Draft!$A$2:$A1000=E$1), ROW(D4)), """")"),"Jaxson Dart")</f>
        <v/>
      </c>
      <c r="F8">
        <f>IFERROR(__xludf.DUMMYFUNCTION("IFERROR(INDEX(FILTER(Draft!$B$2:$B1000, Draft!$A$2:$A1000=F$1), ROW(E4)), """")"),"")</f>
        <v/>
      </c>
      <c r="G8">
        <f>IFERROR(__xludf.DUMMYFUNCTION("IFERROR(INDEX(FILTER(Draft!$B$2:$B1000, Draft!$A$2:$A1000=G$1), ROW(F4)), """")"),"")</f>
        <v/>
      </c>
      <c r="H8">
        <f>IFERROR(__xludf.DUMMYFUNCTION("IFERROR(INDEX(FILTER(Draft!$B$2:$B1000, Draft!$A$2:$A1000=H$1), ROW(G4)), """")"),"Jordyn Tyson")</f>
        <v/>
      </c>
      <c r="I8">
        <f>IFERROR(__xludf.DUMMYFUNCTION("IFERROR(INDEX(FILTER(Draft!$B$2:$B1000, Draft!$A$2:$A1000=I$1), ROW(H4)), """")"),"")</f>
        <v/>
      </c>
      <c r="J8">
        <f>IFERROR(__xludf.DUMMYFUNCTION("IFERROR(INDEX(FILTER(Draft!$B$2:$B1000, Draft!$A$2:$A1000=J$1), ROW(I4)), """")"),"Davante Adams")</f>
        <v/>
      </c>
      <c r="K8">
        <f>IFERROR(__xludf.DUMMYFUNCTION("IFERROR(INDEX(FILTER(Draft!$B$2:$B1000, Draft!$A$2:$A1000=K$1), ROW(J4)), """")"),"Jayden Daniels")</f>
        <v/>
      </c>
    </row>
    <row r="9" ht="15.75" customHeight="1" s="54">
      <c r="A9" s="26" t="n">
        <v>8</v>
      </c>
      <c r="B9">
        <f>IFERROR(__xludf.DUMMYFUNCTION("IFERROR(INDEX(FILTER(Draft!$B$2:$B1000, Draft!$A$2:$A1000=B$1), ROW(A5)), """")"),"TreVeyon Henderson")</f>
        <v/>
      </c>
      <c r="C9">
        <f>IFERROR(__xludf.DUMMYFUNCTION("IFERROR(INDEX(FILTER(Draft!$B$2:$B1000, Draft!$A$2:$A1000=C$1), ROW(B5)), """")"),"Rome Odunze")</f>
        <v/>
      </c>
      <c r="D9">
        <f>IFERROR(__xludf.DUMMYFUNCTION("IFERROR(INDEX(FILTER(Draft!$B$2:$B1000, Draft!$A$2:$A1000=D$1), ROW(C5)), """")"),"Courtland Sutton")</f>
        <v/>
      </c>
      <c r="E9">
        <f>IFERROR(__xludf.DUMMYFUNCTION("IFERROR(INDEX(FILTER(Draft!$B$2:$B1000, Draft!$A$2:$A1000=E$1), ROW(D5)), """")"),"Harold Fannin Jr.")</f>
        <v/>
      </c>
      <c r="F9">
        <f>IFERROR(__xludf.DUMMYFUNCTION("IFERROR(INDEX(FILTER(Draft!$B$2:$B1000, Draft!$A$2:$A1000=F$1), ROW(E5)), """")"),"")</f>
        <v/>
      </c>
      <c r="G9">
        <f>IFERROR(__xludf.DUMMYFUNCTION("IFERROR(INDEX(FILTER(Draft!$B$2:$B1000, Draft!$A$2:$A1000=G$1), ROW(F5)), """")"),"")</f>
        <v/>
      </c>
      <c r="H9">
        <f>IFERROR(__xludf.DUMMYFUNCTION("IFERROR(INDEX(FILTER(Draft!$B$2:$B1000, Draft!$A$2:$A1000=H$1), ROW(G5)), """")"),"RJ Harvey")</f>
        <v/>
      </c>
      <c r="I9">
        <f>IFERROR(__xludf.DUMMYFUNCTION("IFERROR(INDEX(FILTER(Draft!$B$2:$B1000, Draft!$A$2:$A1000=I$1), ROW(H5)), """")"),"")</f>
        <v/>
      </c>
      <c r="J9">
        <f>IFERROR(__xludf.DUMMYFUNCTION("IFERROR(INDEX(FILTER(Draft!$B$2:$B1000, Draft!$A$2:$A1000=J$1), ROW(I5)), """")"),"Luther Burden III")</f>
        <v/>
      </c>
      <c r="K9">
        <f>IFERROR(__xludf.DUMMYFUNCTION("IFERROR(INDEX(FILTER(Draft!$B$2:$B1000, Draft!$A$2:$A1000=K$1), ROW(J5)), """")"),"Carnell Tate")</f>
        <v/>
      </c>
    </row>
    <row r="10" ht="15.75" customHeight="1" s="54">
      <c r="A10" s="26" t="n">
        <v>9</v>
      </c>
      <c r="B10">
        <f>IFERROR(__xludf.DUMMYFUNCTION("IFERROR(INDEX(FILTER(Draft!$B$2:$B1000, Draft!$A$2:$A1000=B$1), ROW(A6)), """")"),"Quinshon Judkins")</f>
        <v/>
      </c>
      <c r="C10">
        <f>IFERROR(__xludf.DUMMYFUNCTION("IFERROR(INDEX(FILTER(Draft!$B$2:$B1000, Draft!$A$2:$A1000=C$1), ROW(B6)), """")"),"Justin Herbert")</f>
        <v/>
      </c>
      <c r="D10">
        <f>IFERROR(__xludf.DUMMYFUNCTION("IFERROR(INDEX(FILTER(Draft!$B$2:$B1000, Draft!$A$2:$A1000=D$1), ROW(C6)), """")"),"")</f>
        <v/>
      </c>
      <c r="E10">
        <f>IFERROR(__xludf.DUMMYFUNCTION("IFERROR(INDEX(FILTER(Draft!$B$2:$B1000, Draft!$A$2:$A1000=E$1), ROW(D6)), """")"),"")</f>
        <v/>
      </c>
      <c r="F10">
        <f>IFERROR(__xludf.DUMMYFUNCTION("IFERROR(INDEX(FILTER(Draft!$B$2:$B1000, Draft!$A$2:$A1000=F$1), ROW(E6)), """")"),"")</f>
        <v/>
      </c>
      <c r="G10">
        <f>IFERROR(__xludf.DUMMYFUNCTION("IFERROR(INDEX(FILTER(Draft!$B$2:$B1000, Draft!$A$2:$A1000=G$1), ROW(F6)), """")"),"")</f>
        <v/>
      </c>
      <c r="H10">
        <f>IFERROR(__xludf.DUMMYFUNCTION("IFERROR(INDEX(FILTER(Draft!$B$2:$B1000, Draft!$A$2:$A1000=H$1), ROW(G6)), """")"),"Blake Corum")</f>
        <v/>
      </c>
      <c r="I10">
        <f>IFERROR(__xludf.DUMMYFUNCTION("IFERROR(INDEX(FILTER(Draft!$B$2:$B1000, Draft!$A$2:$A1000=I$1), ROW(H6)), """")"),"")</f>
        <v/>
      </c>
      <c r="J10">
        <f>IFERROR(__xludf.DUMMYFUNCTION("IFERROR(INDEX(FILTER(Draft!$B$2:$B1000, Draft!$A$2:$A1000=J$1), ROW(I6)), """")"),"Cam Skattebo")</f>
        <v/>
      </c>
      <c r="K10">
        <f>IFERROR(__xludf.DUMMYFUNCTION("IFERROR(INDEX(FILTER(Draft!$B$2:$B1000, Draft!$A$2:$A1000=K$1), ROW(J6)), """")"),"DK Metcalf")</f>
        <v/>
      </c>
    </row>
    <row r="11" ht="15.75" customHeight="1" s="54">
      <c r="A11" s="26" t="n">
        <v>10</v>
      </c>
      <c r="B11">
        <f>IFERROR(__xludf.DUMMYFUNCTION("IFERROR(INDEX(FILTER(Draft!$B$2:$B1000, Draft!$A$2:$A1000=B$1), ROW(A7)), """")"),"Tyler Warren")</f>
        <v/>
      </c>
      <c r="C11">
        <f>IFERROR(__xludf.DUMMYFUNCTION("IFERROR(INDEX(FILTER(Draft!$B$2:$B1000, Draft!$A$2:$A1000=C$1), ROW(B7)), """")"),"")</f>
        <v/>
      </c>
      <c r="D11">
        <f>IFERROR(__xludf.DUMMYFUNCTION("IFERROR(INDEX(FILTER(Draft!$B$2:$B1000, Draft!$A$2:$A1000=D$1), ROW(C7)), """")"),"")</f>
        <v/>
      </c>
      <c r="E11">
        <f>IFERROR(__xludf.DUMMYFUNCTION("IFERROR(INDEX(FILTER(Draft!$B$2:$B1000, Draft!$A$2:$A1000=E$1), ROW(D7)), """")"),"")</f>
        <v/>
      </c>
      <c r="F11">
        <f>IFERROR(__xludf.DUMMYFUNCTION("IFERROR(INDEX(FILTER(Draft!$B$2:$B1000, Draft!$A$2:$A1000=F$1), ROW(E7)), """")"),"")</f>
        <v/>
      </c>
      <c r="G11">
        <f>IFERROR(__xludf.DUMMYFUNCTION("IFERROR(INDEX(FILTER(Draft!$B$2:$B1000, Draft!$A$2:$A1000=G$1), ROW(F7)), """")"),"")</f>
        <v/>
      </c>
      <c r="H11">
        <f>IFERROR(__xludf.DUMMYFUNCTION("IFERROR(INDEX(FILTER(Draft!$B$2:$B1000, Draft!$A$2:$A1000=H$1), ROW(G7)), """")"),"")</f>
        <v/>
      </c>
      <c r="I11">
        <f>IFERROR(__xludf.DUMMYFUNCTION("IFERROR(INDEX(FILTER(Draft!$B$2:$B1000, Draft!$A$2:$A1000=I$1), ROW(H7)), """")"),"")</f>
        <v/>
      </c>
      <c r="J11">
        <f>IFERROR(__xludf.DUMMYFUNCTION("IFERROR(INDEX(FILTER(Draft!$B$2:$B1000, Draft!$A$2:$A1000=J$1), ROW(I7)), """")"),"David Montgomery")</f>
        <v/>
      </c>
      <c r="K11">
        <f>IFERROR(__xludf.DUMMYFUNCTION("IFERROR(INDEX(FILTER(Draft!$B$2:$B1000, Draft!$A$2:$A1000=K$1), ROW(J7)), """")"),"")</f>
        <v/>
      </c>
    </row>
    <row r="12" ht="15.75" customHeight="1" s="54">
      <c r="A12" s="26" t="n">
        <v>11</v>
      </c>
      <c r="B12">
        <f>IFERROR(__xludf.DUMMYFUNCTION("IFERROR(INDEX(FILTER(Draft!$B$2:$B1000, Draft!$A$2:$A1000=B$1), ROW(A8)), """")"),"")</f>
        <v/>
      </c>
      <c r="C12">
        <f>IFERROR(__xludf.DUMMYFUNCTION("IFERROR(INDEX(FILTER(Draft!$B$2:$B1000, Draft!$A$2:$A1000=C$1), ROW(B8)), """")"),"")</f>
        <v/>
      </c>
      <c r="D12">
        <f>IFERROR(__xludf.DUMMYFUNCTION("IFERROR(INDEX(FILTER(Draft!$B$2:$B1000, Draft!$A$2:$A1000=D$1), ROW(C8)), """")"),"")</f>
        <v/>
      </c>
      <c r="E12">
        <f>IFERROR(__xludf.DUMMYFUNCTION("IFERROR(INDEX(FILTER(Draft!$B$2:$B1000, Draft!$A$2:$A1000=E$1), ROW(D8)), """")"),"")</f>
        <v/>
      </c>
      <c r="F12">
        <f>IFERROR(__xludf.DUMMYFUNCTION("IFERROR(INDEX(FILTER(Draft!$B$2:$B1000, Draft!$A$2:$A1000=F$1), ROW(E8)), """")"),"")</f>
        <v/>
      </c>
      <c r="G12">
        <f>IFERROR(__xludf.DUMMYFUNCTION("IFERROR(INDEX(FILTER(Draft!$B$2:$B1000, Draft!$A$2:$A1000=G$1), ROW(F8)), """")"),"")</f>
        <v/>
      </c>
      <c r="H12">
        <f>IFERROR(__xludf.DUMMYFUNCTION("IFERROR(INDEX(FILTER(Draft!$B$2:$B1000, Draft!$A$2:$A1000=H$1), ROW(G8)), """")"),"")</f>
        <v/>
      </c>
      <c r="I12">
        <f>IFERROR(__xludf.DUMMYFUNCTION("IFERROR(INDEX(FILTER(Draft!$B$2:$B1000, Draft!$A$2:$A1000=I$1), ROW(H8)), """")"),"")</f>
        <v/>
      </c>
      <c r="J12">
        <f>IFERROR(__xludf.DUMMYFUNCTION("IFERROR(INDEX(FILTER(Draft!$B$2:$B1000, Draft!$A$2:$A1000=J$1), ROW(I8)), """")"),"Bhayshul Tuten")</f>
        <v/>
      </c>
      <c r="K12">
        <f>IFERROR(__xludf.DUMMYFUNCTION("IFERROR(INDEX(FILTER(Draft!$B$2:$B1000, Draft!$A$2:$A1000=K$1), ROW(J8)), """")"),"")</f>
        <v/>
      </c>
    </row>
    <row r="13" ht="15.75" customHeight="1" s="54">
      <c r="A13" s="26" t="n">
        <v>12</v>
      </c>
      <c r="B13">
        <f>IFERROR(__xludf.DUMMYFUNCTION("IFERROR(INDEX(FILTER(Draft!$B$2:$B1000, Draft!$A$2:$A1000=B$1), ROW(A9)), """")"),"")</f>
        <v/>
      </c>
      <c r="C13">
        <f>IFERROR(__xludf.DUMMYFUNCTION("IFERROR(INDEX(FILTER(Draft!$B$2:$B1000, Draft!$A$2:$A1000=C$1), ROW(B9)), """")"),"")</f>
        <v/>
      </c>
      <c r="D13">
        <f>IFERROR(__xludf.DUMMYFUNCTION("IFERROR(INDEX(FILTER(Draft!$B$2:$B1000, Draft!$A$2:$A1000=D$1), ROW(C9)), """")"),"")</f>
        <v/>
      </c>
      <c r="E13">
        <f>IFERROR(__xludf.DUMMYFUNCTION("IFERROR(INDEX(FILTER(Draft!$B$2:$B1000, Draft!$A$2:$A1000=E$1), ROW(D9)), """")"),"")</f>
        <v/>
      </c>
      <c r="F13">
        <f>IFERROR(__xludf.DUMMYFUNCTION("IFERROR(INDEX(FILTER(Draft!$B$2:$B1000, Draft!$A$2:$A1000=F$1), ROW(E9)), """")"),"")</f>
        <v/>
      </c>
      <c r="G13">
        <f>IFERROR(__xludf.DUMMYFUNCTION("IFERROR(INDEX(FILTER(Draft!$B$2:$B1000, Draft!$A$2:$A1000=G$1), ROW(F9)), """")"),"")</f>
        <v/>
      </c>
      <c r="H13">
        <f>IFERROR(__xludf.DUMMYFUNCTION("IFERROR(INDEX(FILTER(Draft!$B$2:$B1000, Draft!$A$2:$A1000=H$1), ROW(G9)), """")"),"")</f>
        <v/>
      </c>
      <c r="I13">
        <f>IFERROR(__xludf.DUMMYFUNCTION("IFERROR(INDEX(FILTER(Draft!$B$2:$B1000, Draft!$A$2:$A1000=I$1), ROW(H9)), """")"),"")</f>
        <v/>
      </c>
      <c r="J13">
        <f>IFERROR(__xludf.DUMMYFUNCTION("IFERROR(INDEX(FILTER(Draft!$B$2:$B1000, Draft!$A$2:$A1000=J$1), ROW(I9)), """")"),"Kyle Monangai")</f>
        <v/>
      </c>
      <c r="K13">
        <f>IFERROR(__xludf.DUMMYFUNCTION("IFERROR(INDEX(FILTER(Draft!$B$2:$B1000, Draft!$A$2:$A1000=K$1), ROW(J9)), """")"),"")</f>
        <v/>
      </c>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J21"/>
  <sheetViews>
    <sheetView workbookViewId="0">
      <selection activeCell="F12" sqref="F12"/>
    </sheetView>
  </sheetViews>
  <sheetFormatPr baseColWidth="10" defaultColWidth="12.5" defaultRowHeight="15.75" customHeight="1"/>
  <cols>
    <col width="26.5" customWidth="1" style="54" min="1" max="1"/>
    <col width="24.5" customWidth="1" style="54" min="2" max="2"/>
    <col width="20.33203125" customWidth="1" style="54" min="3" max="3"/>
    <col width="30.1640625" customWidth="1" style="54" min="4" max="4"/>
    <col width="33.6640625" customWidth="1" style="54" min="5" max="5"/>
    <col width="17.1640625" customWidth="1" style="54" min="6" max="6"/>
    <col width="26.6640625" customWidth="1" style="54" min="7" max="7"/>
    <col width="14.33203125" customWidth="1" style="54" min="8" max="8"/>
    <col width="20.5" customWidth="1" style="54" min="9" max="9"/>
    <col width="25" customWidth="1" style="54" min="10" max="10"/>
  </cols>
  <sheetData>
    <row r="1" ht="15.75" customHeight="1" s="54">
      <c r="A1" s="26" t="inlineStr">
        <is>
          <t>TouchDownSyndrome75</t>
        </is>
      </c>
      <c r="B1" s="26" t="inlineStr">
        <is>
          <t>MonsieurExcuses</t>
        </is>
      </c>
      <c r="C1" s="26" t="inlineStr">
        <is>
          <t>peterbar</t>
        </is>
      </c>
      <c r="D1" s="26" t="inlineStr">
        <is>
          <t>iackkkk</t>
        </is>
      </c>
      <c r="E1" s="26" t="inlineStr">
        <is>
          <t>ThomasMonette</t>
        </is>
      </c>
      <c r="F1" s="26" t="inlineStr">
        <is>
          <t>PhilB10</t>
        </is>
      </c>
      <c r="G1" s="26" t="inlineStr">
        <is>
          <t>jflafond</t>
        </is>
      </c>
      <c r="H1" s="26" t="inlineStr">
        <is>
          <t>JeromeJ</t>
        </is>
      </c>
      <c r="I1" s="26" t="inlineStr">
        <is>
          <t>parleurmouille</t>
        </is>
      </c>
      <c r="J1" s="26" t="inlineStr">
        <is>
          <t>Fred</t>
        </is>
      </c>
    </row>
    <row r="2" ht="15.75" customHeight="1" s="54">
      <c r="A2" s="34" t="inlineStr">
        <is>
          <t>2026 2nd Rd (jflafond)</t>
        </is>
      </c>
      <c r="B2" s="34" t="inlineStr">
        <is>
          <t>2026 1st Rd (PhilB10)</t>
        </is>
      </c>
      <c r="C2" s="34" t="inlineStr">
        <is>
          <t>2026 1st Rd (iackkkk)</t>
        </is>
      </c>
      <c r="D2" s="34" t="inlineStr">
        <is>
          <t>2026 2nd Rd (parleurmouille)</t>
        </is>
      </c>
      <c r="E2" s="34" t="inlineStr">
        <is>
          <t>2026 1st Rd</t>
        </is>
      </c>
      <c r="F2" s="34" t="inlineStr">
        <is>
          <t>2026 3rd Rd (TouchDownSyndrome75)</t>
        </is>
      </c>
      <c r="G2" s="34" t="inlineStr">
        <is>
          <t>2026 3rd Rd (parleurmouille)</t>
        </is>
      </c>
      <c r="H2" s="34" t="inlineStr">
        <is>
          <t>2026 6th Rd</t>
        </is>
      </c>
      <c r="I2" s="34" t="inlineStr">
        <is>
          <t>2026 1st Rd (MonsieurExcuses)</t>
        </is>
      </c>
      <c r="J2" s="34" t="inlineStr">
        <is>
          <t>2026 1st Rd (jflafond)</t>
        </is>
      </c>
    </row>
    <row r="3" ht="15.75" customHeight="1" s="54">
      <c r="A3" s="34" t="inlineStr">
        <is>
          <t>2026 2nd Rd (ThomasMonette)</t>
        </is>
      </c>
      <c r="B3" s="34" t="inlineStr">
        <is>
          <t>2026 2nd Rd (iackkkk)</t>
        </is>
      </c>
      <c r="C3" s="34" t="inlineStr">
        <is>
          <t>2026 2nd Rd</t>
        </is>
      </c>
      <c r="D3" s="34" t="inlineStr">
        <is>
          <t>2026 3rd Rd (MonsieurExcuses)</t>
        </is>
      </c>
      <c r="E3" s="34" t="inlineStr">
        <is>
          <t>2026 3rd Rd</t>
        </is>
      </c>
      <c r="F3" s="34" t="inlineStr">
        <is>
          <t>2026 3rd Rd (jflafond)</t>
        </is>
      </c>
      <c r="G3" s="34" t="inlineStr">
        <is>
          <t>2026 3rd Rd (JeromeJ)</t>
        </is>
      </c>
      <c r="H3" s="34" t="inlineStr">
        <is>
          <t>2026 7th Rd</t>
        </is>
      </c>
      <c r="I3" s="34" t="inlineStr">
        <is>
          <t>2026 1st Rd (JeromeJ)</t>
        </is>
      </c>
      <c r="J3" s="34" t="inlineStr">
        <is>
          <t>2026 1st Rd (TouchDownSyndrome75)</t>
        </is>
      </c>
    </row>
    <row r="4" ht="15.75" customHeight="1" s="54">
      <c r="A4" s="34" t="inlineStr">
        <is>
          <t>2026 2nd Rd</t>
        </is>
      </c>
      <c r="B4" s="34" t="inlineStr">
        <is>
          <t>2026 3rd Rd (peterbar)</t>
        </is>
      </c>
      <c r="C4" s="34" t="inlineStr">
        <is>
          <t>2026 2nd Rd (MonsieurExcuses)</t>
        </is>
      </c>
      <c r="D4" s="34" t="inlineStr">
        <is>
          <t>2026 5th Rd (parleurmouille)</t>
        </is>
      </c>
      <c r="E4" s="34" t="inlineStr">
        <is>
          <t>2026 5th Rd (TouchDownSyndrome75)</t>
        </is>
      </c>
      <c r="F4" s="34" t="inlineStr">
        <is>
          <t>2026 4th Rd</t>
        </is>
      </c>
      <c r="G4" s="34" t="inlineStr">
        <is>
          <t>2026 4th Rd (JeromeJ)</t>
        </is>
      </c>
      <c r="H4" s="34" t="inlineStr">
        <is>
          <t>2026 8th Rd</t>
        </is>
      </c>
      <c r="I4" s="34" t="inlineStr">
        <is>
          <t>2026 1st Rd (peterbar)</t>
        </is>
      </c>
      <c r="J4" s="34" t="inlineStr">
        <is>
          <t>2026 1st Rd</t>
        </is>
      </c>
    </row>
    <row r="5" ht="15.75" customHeight="1" s="54">
      <c r="A5" s="34" t="inlineStr">
        <is>
          <t>2026 2nd Rd (PhilB10)</t>
        </is>
      </c>
      <c r="B5" s="34" t="inlineStr">
        <is>
          <t>2026 3rd Rd (iackkkk)</t>
        </is>
      </c>
      <c r="C5" s="34" t="inlineStr">
        <is>
          <t>2026 4th Rd</t>
        </is>
      </c>
      <c r="D5" s="34" t="inlineStr">
        <is>
          <t>2026 5th Rd (FredCourville)</t>
        </is>
      </c>
      <c r="E5" s="34" t="inlineStr">
        <is>
          <t>2026 6th Rd</t>
        </is>
      </c>
      <c r="F5" s="34" t="inlineStr">
        <is>
          <t>2026 5th Rd</t>
        </is>
      </c>
      <c r="G5" s="34" t="inlineStr">
        <is>
          <t>2026 4th Rd</t>
        </is>
      </c>
      <c r="H5" s="34" t="inlineStr">
        <is>
          <t>2026 9th Rd</t>
        </is>
      </c>
      <c r="I5" s="34" t="inlineStr">
        <is>
          <t>2026 1st Rd</t>
        </is>
      </c>
      <c r="J5" s="34" t="inlineStr">
        <is>
          <t>2026 2nd Rd (JeromeJ)</t>
        </is>
      </c>
    </row>
    <row r="6" ht="15.75" customHeight="1" s="54">
      <c r="A6" s="34" t="inlineStr">
        <is>
          <t>2026 3rd Rd (PhilB10)</t>
        </is>
      </c>
      <c r="B6" s="34" t="inlineStr">
        <is>
          <t>2026 4th Rd</t>
        </is>
      </c>
      <c r="C6" s="34" t="inlineStr">
        <is>
          <t>2026 5th Rd</t>
        </is>
      </c>
      <c r="D6" s="34" t="inlineStr">
        <is>
          <t>2026 5th Rd</t>
        </is>
      </c>
      <c r="E6" s="34" t="inlineStr">
        <is>
          <t>2026 7th Rd</t>
        </is>
      </c>
      <c r="F6" s="34" t="inlineStr">
        <is>
          <t>2026 6th Rd</t>
        </is>
      </c>
      <c r="G6" s="34" t="inlineStr">
        <is>
          <t>2026 5th Rd (ThomasMonette)</t>
        </is>
      </c>
      <c r="H6" s="34" t="inlineStr">
        <is>
          <t>2026 11th Rd</t>
        </is>
      </c>
      <c r="I6" s="34" t="inlineStr">
        <is>
          <t>2026 3rd Rd (FredCourville)</t>
        </is>
      </c>
      <c r="J6" s="34" t="inlineStr">
        <is>
          <t>2026 2nd Rd</t>
        </is>
      </c>
    </row>
    <row r="7" ht="15.75" customHeight="1" s="54">
      <c r="A7" s="34" t="inlineStr">
        <is>
          <t>2026 4th Rd (ThomasMonette)</t>
        </is>
      </c>
      <c r="B7" s="34" t="inlineStr">
        <is>
          <t>2026 5th Rd</t>
        </is>
      </c>
      <c r="C7" s="34" t="inlineStr">
        <is>
          <t>2026 6th Rd</t>
        </is>
      </c>
      <c r="D7" s="34" t="inlineStr">
        <is>
          <t>2026 6th Rd</t>
        </is>
      </c>
      <c r="E7" s="34" t="inlineStr">
        <is>
          <t>2026 8th Rd</t>
        </is>
      </c>
      <c r="F7" s="34" t="inlineStr">
        <is>
          <t>2026 7th Rd</t>
        </is>
      </c>
      <c r="G7" s="34" t="inlineStr">
        <is>
          <t>2026 6th Rd</t>
        </is>
      </c>
      <c r="H7" s="34" t="inlineStr">
        <is>
          <t>2026 12th Rd</t>
        </is>
      </c>
      <c r="I7" s="34" t="inlineStr">
        <is>
          <t>2026 4th Rd (TouchDownSyndrome75)</t>
        </is>
      </c>
      <c r="J7" s="34" t="inlineStr">
        <is>
          <t>2026 5th Rd (JeromeJ)</t>
        </is>
      </c>
    </row>
    <row r="8" ht="15.75" customHeight="1" s="54">
      <c r="A8" s="34" t="inlineStr">
        <is>
          <t>2026 4th Rd (iackkkk)</t>
        </is>
      </c>
      <c r="B8" s="34" t="inlineStr">
        <is>
          <t>2026 6th Rd (parleurmouille)</t>
        </is>
      </c>
      <c r="C8" s="34" t="inlineStr">
        <is>
          <t>2026 7th Rd</t>
        </is>
      </c>
      <c r="D8" s="34" t="inlineStr">
        <is>
          <t>2026 8th Rd</t>
        </is>
      </c>
      <c r="E8" s="34" t="inlineStr">
        <is>
          <t>2026 9th Rd</t>
        </is>
      </c>
      <c r="F8" s="34" t="inlineStr">
        <is>
          <t>2026 8th Rd</t>
        </is>
      </c>
      <c r="G8" s="34" t="inlineStr">
        <is>
          <t>2026 7th Rd</t>
        </is>
      </c>
      <c r="H8" s="34" t="inlineStr">
        <is>
          <t>2026 13th Rd</t>
        </is>
      </c>
      <c r="I8" s="34" t="inlineStr">
        <is>
          <t>2026 4th Rd (FredCourville)</t>
        </is>
      </c>
      <c r="J8" s="34" t="inlineStr">
        <is>
          <t>2026 6th Rd</t>
        </is>
      </c>
    </row>
    <row r="9" ht="15.75" customHeight="1" s="54">
      <c r="A9" s="34" t="inlineStr">
        <is>
          <t>2026 6th Rd</t>
        </is>
      </c>
      <c r="B9" s="34" t="inlineStr">
        <is>
          <t>2026 6th Rd</t>
        </is>
      </c>
      <c r="C9" s="34" t="inlineStr">
        <is>
          <t>2026 8th Rd</t>
        </is>
      </c>
      <c r="D9" s="34" t="inlineStr">
        <is>
          <t>2026 9th Rd (parleurmouille)</t>
        </is>
      </c>
      <c r="E9" s="34" t="inlineStr">
        <is>
          <t>2026 10th Rd (JeromeJ)</t>
        </is>
      </c>
      <c r="F9" s="34" t="inlineStr">
        <is>
          <t>2026 9th Rd</t>
        </is>
      </c>
      <c r="G9" s="34" t="inlineStr">
        <is>
          <t>2026 8th Rd</t>
        </is>
      </c>
      <c r="H9" s="34" t="inlineStr">
        <is>
          <t>2026 14th Rd</t>
        </is>
      </c>
      <c r="I9" s="34" t="inlineStr">
        <is>
          <t>2026 4th Rd</t>
        </is>
      </c>
      <c r="J9" s="34" t="inlineStr">
        <is>
          <t>2026 7th Rd</t>
        </is>
      </c>
    </row>
    <row r="10" ht="15.75" customHeight="1" s="54">
      <c r="A10" s="34" t="inlineStr">
        <is>
          <t>2026 7th Rd</t>
        </is>
      </c>
      <c r="B10" s="34" t="inlineStr">
        <is>
          <t>2026 7th Rd (iackkkk)</t>
        </is>
      </c>
      <c r="C10" s="34" t="inlineStr">
        <is>
          <t>2026 9th Rd</t>
        </is>
      </c>
      <c r="D10" s="34" t="inlineStr">
        <is>
          <t>2026 9th Rd</t>
        </is>
      </c>
      <c r="E10" s="34" t="inlineStr">
        <is>
          <t>2026 10th Rd</t>
        </is>
      </c>
      <c r="F10" s="34" t="inlineStr">
        <is>
          <t>2026 10th Rd</t>
        </is>
      </c>
      <c r="G10" s="34" t="inlineStr">
        <is>
          <t>2026 9th Rd</t>
        </is>
      </c>
      <c r="H10" s="34" t="inlineStr">
        <is>
          <t>2026 15th Rd</t>
        </is>
      </c>
      <c r="I10" s="34" t="inlineStr">
        <is>
          <t>2026 5th Rd (jflafond)</t>
        </is>
      </c>
      <c r="J10" s="34" t="inlineStr">
        <is>
          <t>2026 8th Rd (parleurmouille)</t>
        </is>
      </c>
    </row>
    <row r="11" ht="15" customHeight="1" s="54">
      <c r="A11" s="34" t="inlineStr">
        <is>
          <t>2026 8th Rd</t>
        </is>
      </c>
      <c r="B11" s="34" t="inlineStr">
        <is>
          <t>2026 7th Rd</t>
        </is>
      </c>
      <c r="C11" s="34" t="inlineStr">
        <is>
          <t>2026 10th Rd</t>
        </is>
      </c>
      <c r="D11" s="34" t="inlineStr">
        <is>
          <t>2026 10th Rd</t>
        </is>
      </c>
      <c r="E11" s="34" t="inlineStr">
        <is>
          <t>2026 11th Rd (parleurmouille)</t>
        </is>
      </c>
      <c r="F11" s="34" t="inlineStr">
        <is>
          <t>2026 11th Rd</t>
        </is>
      </c>
      <c r="G11" s="34" t="inlineStr">
        <is>
          <t>2026 10th Rd</t>
        </is>
      </c>
      <c r="H11" s="35" t="n"/>
      <c r="I11" s="34" t="inlineStr">
        <is>
          <t>2026 7th Rd</t>
        </is>
      </c>
      <c r="J11" s="34" t="inlineStr">
        <is>
          <t>2026 8th Rd</t>
        </is>
      </c>
    </row>
    <row r="12" ht="15.75" customHeight="1" s="54">
      <c r="A12" s="34" t="inlineStr">
        <is>
          <t>2026 9th Rd</t>
        </is>
      </c>
      <c r="B12" s="34" t="inlineStr">
        <is>
          <t>2026 8th Rd</t>
        </is>
      </c>
      <c r="C12" s="34" t="inlineStr">
        <is>
          <t>2026 11th Rd</t>
        </is>
      </c>
      <c r="D12" s="34" t="inlineStr">
        <is>
          <t>2026 11th Rd</t>
        </is>
      </c>
      <c r="E12" s="34" t="inlineStr">
        <is>
          <t>2026 11th Rd</t>
        </is>
      </c>
      <c r="F12" s="34" t="inlineStr">
        <is>
          <t>2026 11th Rd (TouchDownSyndrome75)</t>
        </is>
      </c>
      <c r="G12" s="34" t="inlineStr">
        <is>
          <t>2026 11th Rd</t>
        </is>
      </c>
      <c r="I12" s="34" t="inlineStr">
        <is>
          <t>2026 10th Rd</t>
        </is>
      </c>
      <c r="J12" s="34" t="inlineStr">
        <is>
          <t>2026 9th Rd</t>
        </is>
      </c>
    </row>
    <row r="13" ht="15.75" customHeight="1" s="54">
      <c r="A13" s="34" t="inlineStr">
        <is>
          <t>2026 10th Rd</t>
        </is>
      </c>
      <c r="B13" s="34" t="inlineStr">
        <is>
          <t>2026 9th Rd</t>
        </is>
      </c>
      <c r="C13" s="34" t="inlineStr">
        <is>
          <t>2026 12th Rd</t>
        </is>
      </c>
      <c r="D13" s="34" t="inlineStr">
        <is>
          <t>2026 12th Rd</t>
        </is>
      </c>
      <c r="E13" s="34" t="inlineStr">
        <is>
          <t>2026 12th Rd (TouchDownSyndrome75)</t>
        </is>
      </c>
      <c r="F13" s="34" t="inlineStr">
        <is>
          <t>2026 12th Rd</t>
        </is>
      </c>
      <c r="G13" s="34" t="inlineStr">
        <is>
          <t>2026 12th Rd</t>
        </is>
      </c>
      <c r="I13" s="34" t="inlineStr">
        <is>
          <t>2026 12th Rd</t>
        </is>
      </c>
      <c r="J13" s="34" t="inlineStr">
        <is>
          <t>2026 10th Rd</t>
        </is>
      </c>
    </row>
    <row r="14" ht="15.75" customHeight="1" s="54">
      <c r="A14" s="34" t="n"/>
      <c r="B14" s="34" t="inlineStr">
        <is>
          <t>2026 10th Rd</t>
        </is>
      </c>
      <c r="C14" s="34" t="inlineStr">
        <is>
          <t>2026 13th Rd</t>
        </is>
      </c>
      <c r="D14" s="34" t="inlineStr">
        <is>
          <t>2026 13th Rd</t>
        </is>
      </c>
      <c r="E14" s="34" t="inlineStr">
        <is>
          <t>2026 12th Rd</t>
        </is>
      </c>
      <c r="F14" s="34" t="inlineStr">
        <is>
          <t>2026 13th Rd</t>
        </is>
      </c>
      <c r="G14" s="34" t="inlineStr">
        <is>
          <t>2026 13th Rd</t>
        </is>
      </c>
      <c r="I14" s="34" t="inlineStr">
        <is>
          <t>2026 13th Rd</t>
        </is>
      </c>
      <c r="J14" s="34" t="inlineStr">
        <is>
          <t>2026 11th Rd</t>
        </is>
      </c>
    </row>
    <row r="15" ht="15.75" customHeight="1" s="54">
      <c r="A15" s="34" t="n"/>
      <c r="B15" s="34" t="inlineStr">
        <is>
          <t>2026 11th Rd</t>
        </is>
      </c>
      <c r="C15" s="34" t="inlineStr">
        <is>
          <t>2026 14th Rd</t>
        </is>
      </c>
      <c r="D15" s="34" t="inlineStr">
        <is>
          <t>2026 14th Rd</t>
        </is>
      </c>
      <c r="E15" s="34" t="inlineStr">
        <is>
          <t>2026 13th Rd</t>
        </is>
      </c>
      <c r="F15" s="34" t="inlineStr">
        <is>
          <t>2026 13th Rd (TouchDownSyndrome75)</t>
        </is>
      </c>
      <c r="G15" s="34" t="inlineStr">
        <is>
          <t>2026 14th Rd</t>
        </is>
      </c>
      <c r="I15" s="34" t="inlineStr">
        <is>
          <t>2026 14th Rd</t>
        </is>
      </c>
      <c r="J15" s="34" t="inlineStr">
        <is>
          <t>2026 12th Rd</t>
        </is>
      </c>
    </row>
    <row r="16" ht="15.75" customHeight="1" s="54">
      <c r="A16" s="34" t="n"/>
      <c r="B16" s="34" t="inlineStr">
        <is>
          <t>2026 12th Rd</t>
        </is>
      </c>
      <c r="C16" s="34" t="inlineStr">
        <is>
          <t>2026 15th Rd</t>
        </is>
      </c>
      <c r="D16" s="34" t="inlineStr">
        <is>
          <t>2026 15th Rd</t>
        </is>
      </c>
      <c r="E16" s="34" t="inlineStr">
        <is>
          <t>2026 14th Rd</t>
        </is>
      </c>
      <c r="F16" s="34" t="inlineStr">
        <is>
          <t>2026 14th Rd</t>
        </is>
      </c>
      <c r="G16" s="34" t="inlineStr">
        <is>
          <t>2026 15th Rd</t>
        </is>
      </c>
      <c r="I16" s="34" t="inlineStr">
        <is>
          <t>2026 15th Rd</t>
        </is>
      </c>
      <c r="J16" s="34" t="inlineStr">
        <is>
          <t>2026 13th Rd</t>
        </is>
      </c>
    </row>
    <row r="17" ht="15.75" customHeight="1" s="54">
      <c r="A17" s="34" t="n"/>
      <c r="B17" s="34" t="inlineStr">
        <is>
          <t>2026 13th Rd</t>
        </is>
      </c>
      <c r="E17" s="34" t="inlineStr">
        <is>
          <t>2026 15th Rd</t>
        </is>
      </c>
      <c r="F17" s="34" t="inlineStr">
        <is>
          <t>2026 14th Rd (TouchDownSyndrome75)</t>
        </is>
      </c>
      <c r="G17" s="34" t="n"/>
      <c r="I17" s="34" t="n"/>
      <c r="J17" s="34" t="inlineStr">
        <is>
          <t>2026 14th Rd</t>
        </is>
      </c>
    </row>
    <row r="18" ht="15.75" customHeight="1" s="54">
      <c r="A18" s="34" t="n"/>
      <c r="B18" s="34" t="inlineStr">
        <is>
          <t>2026 14th Rd</t>
        </is>
      </c>
      <c r="F18" s="34" t="inlineStr">
        <is>
          <t>2026 15th Rd</t>
        </is>
      </c>
      <c r="J18" s="34" t="inlineStr">
        <is>
          <t>2026 15th Rd</t>
        </is>
      </c>
    </row>
    <row r="19" ht="15.75" customHeight="1" s="54">
      <c r="A19" s="34" t="n"/>
      <c r="B19" s="34" t="inlineStr">
        <is>
          <t>2026 15th Rd</t>
        </is>
      </c>
      <c r="F19" s="34" t="inlineStr">
        <is>
          <t>2026 15th Rd (TouchDownSyndrome75)</t>
        </is>
      </c>
    </row>
    <row r="20">
      <c r="A20" s="34" t="n"/>
    </row>
    <row r="21" ht="15.75" customHeight="1" s="54">
      <c r="A21" s="34" t="n"/>
      <c r="F21" s="34"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K384"/>
  <sheetViews>
    <sheetView topLeftCell="A20" zoomScale="125" workbookViewId="0">
      <selection activeCell="C35" sqref="C35"/>
    </sheetView>
  </sheetViews>
  <sheetFormatPr baseColWidth="10" defaultColWidth="12.5" defaultRowHeight="15.75" customHeight="1"/>
  <sheetData>
    <row r="1" ht="15.75" customHeight="1" s="54">
      <c r="A1" s="36" t="inlineStr">
        <is>
          <t>RK</t>
        </is>
      </c>
      <c r="B1" s="37" t="inlineStr">
        <is>
          <t>TIERS</t>
        </is>
      </c>
      <c r="C1" s="37" t="inlineStr">
        <is>
          <t>PLAYER NAME</t>
        </is>
      </c>
      <c r="D1" s="37" t="inlineStr">
        <is>
          <t>TEAM</t>
        </is>
      </c>
      <c r="E1" s="37" t="inlineStr">
        <is>
          <t>POS</t>
        </is>
      </c>
      <c r="F1" s="37" t="inlineStr">
        <is>
          <t>BEST</t>
        </is>
      </c>
      <c r="G1" s="37" t="inlineStr">
        <is>
          <t>WORST</t>
        </is>
      </c>
      <c r="H1" s="37" t="inlineStr">
        <is>
          <t>AVG.</t>
        </is>
      </c>
      <c r="I1" s="37" t="inlineStr">
        <is>
          <t>STD.DEV</t>
        </is>
      </c>
      <c r="J1" s="37" t="inlineStr">
        <is>
          <t>ECR VS. ADP</t>
        </is>
      </c>
      <c r="K1" s="26" t="inlineStr">
        <is>
          <t>POS</t>
        </is>
      </c>
    </row>
    <row r="2" ht="15.75" customHeight="1" s="54">
      <c r="A2" s="38" t="n">
        <v>1</v>
      </c>
      <c r="B2" s="39" t="n">
        <v>1</v>
      </c>
      <c r="C2" s="40" t="inlineStr">
        <is>
          <t>Bijan Robinson</t>
        </is>
      </c>
      <c r="D2" s="40" t="inlineStr">
        <is>
          <t>ATL</t>
        </is>
      </c>
      <c r="E2" s="40" t="inlineStr">
        <is>
          <t>RB1</t>
        </is>
      </c>
      <c r="F2" s="39" t="n">
        <v>1</v>
      </c>
      <c r="G2" s="39" t="n">
        <v>5</v>
      </c>
      <c r="H2" s="39" t="n">
        <v>1.3</v>
      </c>
      <c r="I2" s="39" t="n">
        <v>1</v>
      </c>
      <c r="J2" s="40" t="inlineStr">
        <is>
          <t>-</t>
        </is>
      </c>
      <c r="K2">
        <f>LEFT(E2,2)</f>
        <v/>
      </c>
    </row>
    <row r="3" ht="15.75" customHeight="1" s="54">
      <c r="A3" s="38" t="n">
        <v>2</v>
      </c>
      <c r="B3" s="39" t="n">
        <v>1</v>
      </c>
      <c r="C3" s="41" t="inlineStr">
        <is>
          <t>Puka Nacua</t>
        </is>
      </c>
      <c r="D3" s="41" t="inlineStr">
        <is>
          <t>LAR</t>
        </is>
      </c>
      <c r="E3" s="41" t="inlineStr">
        <is>
          <t>WR1</t>
        </is>
      </c>
      <c r="F3" s="42" t="n">
        <v>2</v>
      </c>
      <c r="G3" s="42" t="n">
        <v>4</v>
      </c>
      <c r="H3" s="42" t="n">
        <v>2.2</v>
      </c>
      <c r="I3" s="42" t="n">
        <v>0.5</v>
      </c>
      <c r="J3" s="41" t="inlineStr">
        <is>
          <t>-</t>
        </is>
      </c>
      <c r="K3">
        <f>LEFT(E3,2)</f>
        <v/>
      </c>
    </row>
    <row r="4" ht="15.75" customHeight="1" s="54">
      <c r="A4" s="38" t="n">
        <v>3</v>
      </c>
      <c r="B4" s="39" t="n">
        <v>1</v>
      </c>
      <c r="C4" s="41" t="inlineStr">
        <is>
          <t>Jahmyr Gibbs</t>
        </is>
      </c>
      <c r="D4" s="41" t="inlineStr">
        <is>
          <t>DET</t>
        </is>
      </c>
      <c r="E4" s="41" t="inlineStr">
        <is>
          <t>RB2</t>
        </is>
      </c>
      <c r="F4" s="42" t="n">
        <v>1</v>
      </c>
      <c r="G4" s="42" t="n">
        <v>5</v>
      </c>
      <c r="H4" s="42" t="n">
        <v>3.2</v>
      </c>
      <c r="I4" s="42" t="n">
        <v>1</v>
      </c>
      <c r="J4" s="41" t="inlineStr">
        <is>
          <t>-</t>
        </is>
      </c>
      <c r="K4">
        <f>LEFT(E4,2)</f>
        <v/>
      </c>
    </row>
    <row r="5" ht="15.75" customHeight="1" s="54">
      <c r="A5" s="38" t="n">
        <v>4</v>
      </c>
      <c r="B5" s="39" t="n">
        <v>2</v>
      </c>
      <c r="C5" s="41" t="inlineStr">
        <is>
          <t>Ja'Marr Chase</t>
        </is>
      </c>
      <c r="D5" s="41" t="inlineStr">
        <is>
          <t>CIN</t>
        </is>
      </c>
      <c r="E5" s="41" t="inlineStr">
        <is>
          <t>WR2</t>
        </is>
      </c>
      <c r="F5" s="42" t="n">
        <v>4</v>
      </c>
      <c r="G5" s="42" t="n">
        <v>6</v>
      </c>
      <c r="H5" s="42" t="n">
        <v>4.6</v>
      </c>
      <c r="I5" s="42" t="n">
        <v>0.9</v>
      </c>
      <c r="J5" s="41" t="inlineStr">
        <is>
          <t>-</t>
        </is>
      </c>
      <c r="K5">
        <f>LEFT(E5,2)</f>
        <v/>
      </c>
    </row>
    <row r="6" ht="15.75" customHeight="1" s="54">
      <c r="A6" s="38" t="n">
        <v>5</v>
      </c>
      <c r="B6" s="39" t="n">
        <v>2</v>
      </c>
      <c r="C6" s="41" t="inlineStr">
        <is>
          <t>Jaxon Smith-Njigba</t>
        </is>
      </c>
      <c r="D6" s="41" t="inlineStr">
        <is>
          <t>SEA</t>
        </is>
      </c>
      <c r="E6" s="41" t="inlineStr">
        <is>
          <t>WR3</t>
        </is>
      </c>
      <c r="F6" s="42" t="n">
        <v>4</v>
      </c>
      <c r="G6" s="42" t="n">
        <v>6</v>
      </c>
      <c r="H6" s="42" t="n">
        <v>5.3</v>
      </c>
      <c r="I6" s="42" t="n">
        <v>1</v>
      </c>
      <c r="J6" s="41" t="inlineStr">
        <is>
          <t>-</t>
        </is>
      </c>
      <c r="K6">
        <f>LEFT(E6,2)</f>
        <v/>
      </c>
    </row>
    <row r="7" ht="15.75" customHeight="1" s="54">
      <c r="A7" s="38" t="n">
        <v>6</v>
      </c>
      <c r="B7" s="39" t="n">
        <v>2</v>
      </c>
      <c r="C7" s="41" t="inlineStr">
        <is>
          <t>Jonathan Taylor</t>
        </is>
      </c>
      <c r="D7" s="41" t="inlineStr">
        <is>
          <t>IND</t>
        </is>
      </c>
      <c r="E7" s="41" t="inlineStr">
        <is>
          <t>RB3</t>
        </is>
      </c>
      <c r="F7" s="42" t="n">
        <v>3</v>
      </c>
      <c r="G7" s="42" t="n">
        <v>8</v>
      </c>
      <c r="H7" s="42" t="n">
        <v>5.8</v>
      </c>
      <c r="I7" s="42" t="n">
        <v>1.9</v>
      </c>
      <c r="J7" s="41" t="inlineStr">
        <is>
          <t>-</t>
        </is>
      </c>
      <c r="K7">
        <f>LEFT(E7,2)</f>
        <v/>
      </c>
    </row>
    <row r="8" ht="15.75" customHeight="1" s="54">
      <c r="A8" s="38" t="n">
        <v>7</v>
      </c>
      <c r="B8" s="39" t="n">
        <v>2</v>
      </c>
      <c r="C8" s="41" t="inlineStr">
        <is>
          <t>CeeDee Lamb</t>
        </is>
      </c>
      <c r="D8" s="41" t="inlineStr">
        <is>
          <t>DAL</t>
        </is>
      </c>
      <c r="E8" s="41" t="inlineStr">
        <is>
          <t>WR4</t>
        </is>
      </c>
      <c r="F8" s="42" t="n">
        <v>7</v>
      </c>
      <c r="G8" s="42" t="n">
        <v>14</v>
      </c>
      <c r="H8" s="42" t="n">
        <v>8.1</v>
      </c>
      <c r="I8" s="42" t="n">
        <v>1.8</v>
      </c>
      <c r="J8" s="41" t="inlineStr">
        <is>
          <t>-</t>
        </is>
      </c>
      <c r="K8">
        <f>LEFT(E8,2)</f>
        <v/>
      </c>
    </row>
    <row r="9" ht="15.75" customHeight="1" s="54">
      <c r="A9" s="38" t="n">
        <v>8</v>
      </c>
      <c r="B9" s="39" t="n">
        <v>2</v>
      </c>
      <c r="C9" s="41" t="inlineStr">
        <is>
          <t>Amon-Ra St. Brown</t>
        </is>
      </c>
      <c r="D9" s="41" t="inlineStr">
        <is>
          <t>DET</t>
        </is>
      </c>
      <c r="E9" s="41" t="inlineStr">
        <is>
          <t>WR5</t>
        </is>
      </c>
      <c r="F9" s="42" t="n">
        <v>7</v>
      </c>
      <c r="G9" s="42" t="n">
        <v>9</v>
      </c>
      <c r="H9" s="42" t="n">
        <v>8.4</v>
      </c>
      <c r="I9" s="42" t="n">
        <v>0.9</v>
      </c>
      <c r="J9" s="41" t="inlineStr">
        <is>
          <t>-</t>
        </is>
      </c>
      <c r="K9">
        <f>LEFT(E9,2)</f>
        <v/>
      </c>
    </row>
    <row r="10" ht="15.75" customHeight="1" s="54">
      <c r="A10" s="38" t="n">
        <v>9</v>
      </c>
      <c r="B10" s="39" t="n">
        <v>2</v>
      </c>
      <c r="C10" s="41" t="inlineStr">
        <is>
          <t>Christian McCaffrey</t>
        </is>
      </c>
      <c r="D10" s="41" t="inlineStr">
        <is>
          <t>SF</t>
        </is>
      </c>
      <c r="E10" s="41" t="inlineStr">
        <is>
          <t>RB4</t>
        </is>
      </c>
      <c r="F10" s="42" t="n">
        <v>5</v>
      </c>
      <c r="G10" s="42" t="n">
        <v>15</v>
      </c>
      <c r="H10" s="42" t="n">
        <v>9.300000000000001</v>
      </c>
      <c r="I10" s="42" t="n">
        <v>2.7</v>
      </c>
      <c r="J10" s="41" t="inlineStr">
        <is>
          <t>-</t>
        </is>
      </c>
      <c r="K10">
        <f>LEFT(E10,2)</f>
        <v/>
      </c>
    </row>
    <row r="11" ht="15.75" customHeight="1" s="54">
      <c r="A11" s="38" t="n">
        <v>10</v>
      </c>
      <c r="B11" s="39" t="n">
        <v>3</v>
      </c>
      <c r="C11" s="41" t="inlineStr">
        <is>
          <t>James Cook III</t>
        </is>
      </c>
      <c r="D11" s="41" t="inlineStr">
        <is>
          <t>BUF</t>
        </is>
      </c>
      <c r="E11" s="41" t="inlineStr">
        <is>
          <t>RB5</t>
        </is>
      </c>
      <c r="F11" s="42" t="n">
        <v>3</v>
      </c>
      <c r="G11" s="42" t="n">
        <v>15</v>
      </c>
      <c r="H11" s="42" t="n">
        <v>10.8</v>
      </c>
      <c r="I11" s="42" t="n">
        <v>3.3</v>
      </c>
      <c r="J11" s="41" t="inlineStr">
        <is>
          <t>-</t>
        </is>
      </c>
      <c r="K11">
        <f>LEFT(E11,2)</f>
        <v/>
      </c>
    </row>
    <row r="12" ht="15.75" customHeight="1" s="54">
      <c r="A12" s="38" t="n">
        <v>11</v>
      </c>
      <c r="B12" s="39" t="n">
        <v>3</v>
      </c>
      <c r="C12" s="41" t="inlineStr">
        <is>
          <t>Malik Nabers</t>
        </is>
      </c>
      <c r="D12" s="41" t="inlineStr">
        <is>
          <t>NYG</t>
        </is>
      </c>
      <c r="E12" s="41" t="inlineStr">
        <is>
          <t>WR6</t>
        </is>
      </c>
      <c r="F12" s="42" t="n">
        <v>10</v>
      </c>
      <c r="G12" s="42" t="n">
        <v>19</v>
      </c>
      <c r="H12" s="42" t="n">
        <v>12.1</v>
      </c>
      <c r="I12" s="42" t="n">
        <v>2.7</v>
      </c>
      <c r="J12" s="41" t="inlineStr">
        <is>
          <t>-</t>
        </is>
      </c>
      <c r="K12">
        <f>LEFT(E12,2)</f>
        <v/>
      </c>
    </row>
    <row r="13" ht="15.75" customHeight="1" s="54">
      <c r="A13" s="38" t="n">
        <v>12</v>
      </c>
      <c r="B13" s="39" t="n">
        <v>3</v>
      </c>
      <c r="C13" s="41" t="inlineStr">
        <is>
          <t>Justin Jefferson</t>
        </is>
      </c>
      <c r="D13" s="41" t="inlineStr">
        <is>
          <t>MIN</t>
        </is>
      </c>
      <c r="E13" s="41" t="inlineStr">
        <is>
          <t>WR7</t>
        </is>
      </c>
      <c r="F13" s="42" t="n">
        <v>10</v>
      </c>
      <c r="G13" s="42" t="n">
        <v>21</v>
      </c>
      <c r="H13" s="42" t="n">
        <v>13.3</v>
      </c>
      <c r="I13" s="42" t="n">
        <v>4.1</v>
      </c>
      <c r="J13" s="41" t="inlineStr">
        <is>
          <t>-</t>
        </is>
      </c>
      <c r="K13">
        <f>LEFT(E13,2)</f>
        <v/>
      </c>
    </row>
    <row r="14" ht="15.75" customHeight="1" s="54">
      <c r="A14" s="38" t="n">
        <v>13</v>
      </c>
      <c r="B14" s="39" t="n">
        <v>3</v>
      </c>
      <c r="C14" s="41" t="inlineStr">
        <is>
          <t>Drake London</t>
        </is>
      </c>
      <c r="D14" s="41" t="inlineStr">
        <is>
          <t>ATL</t>
        </is>
      </c>
      <c r="E14" s="41" t="inlineStr">
        <is>
          <t>WR8</t>
        </is>
      </c>
      <c r="F14" s="42" t="n">
        <v>9</v>
      </c>
      <c r="G14" s="42" t="n">
        <v>24</v>
      </c>
      <c r="H14" s="42" t="n">
        <v>14.2</v>
      </c>
      <c r="I14" s="42" t="n">
        <v>4.3</v>
      </c>
      <c r="J14" s="41" t="inlineStr">
        <is>
          <t>-</t>
        </is>
      </c>
      <c r="K14">
        <f>LEFT(E14,2)</f>
        <v/>
      </c>
    </row>
    <row r="15" ht="15.75" customHeight="1" s="54">
      <c r="A15" s="38" t="n">
        <v>14</v>
      </c>
      <c r="B15" s="39" t="n">
        <v>3</v>
      </c>
      <c r="C15" s="41" t="inlineStr">
        <is>
          <t>Nico Collins</t>
        </is>
      </c>
      <c r="D15" s="41" t="inlineStr">
        <is>
          <t>HOU</t>
        </is>
      </c>
      <c r="E15" s="41" t="inlineStr">
        <is>
          <t>WR9</t>
        </is>
      </c>
      <c r="F15" s="42" t="n">
        <v>10</v>
      </c>
      <c r="G15" s="42" t="n">
        <v>19</v>
      </c>
      <c r="H15" s="42" t="n">
        <v>15.7</v>
      </c>
      <c r="I15" s="42" t="n">
        <v>3</v>
      </c>
      <c r="J15" s="41" t="inlineStr">
        <is>
          <t>-</t>
        </is>
      </c>
      <c r="K15">
        <f>LEFT(E15,2)</f>
        <v/>
      </c>
    </row>
    <row r="16" ht="15.75" customHeight="1" s="54">
      <c r="A16" s="38" t="n">
        <v>15</v>
      </c>
      <c r="B16" s="39" t="n">
        <v>4</v>
      </c>
      <c r="C16" s="41" t="inlineStr">
        <is>
          <t>De'Von Achane</t>
        </is>
      </c>
      <c r="D16" s="41" t="inlineStr">
        <is>
          <t>MIA</t>
        </is>
      </c>
      <c r="E16" s="41" t="inlineStr">
        <is>
          <t>RB6</t>
        </is>
      </c>
      <c r="F16" s="42" t="n">
        <v>12</v>
      </c>
      <c r="G16" s="42" t="n">
        <v>30</v>
      </c>
      <c r="H16" s="42" t="n">
        <v>17.7</v>
      </c>
      <c r="I16" s="42" t="n">
        <v>6.4</v>
      </c>
      <c r="J16" s="41" t="inlineStr">
        <is>
          <t>-</t>
        </is>
      </c>
      <c r="K16">
        <f>LEFT(E16,2)</f>
        <v/>
      </c>
    </row>
    <row r="17" ht="15.75" customHeight="1" s="54">
      <c r="A17" s="38" t="n">
        <v>16</v>
      </c>
      <c r="B17" s="39" t="n">
        <v>4</v>
      </c>
      <c r="C17" s="41" t="inlineStr">
        <is>
          <t>Ashton Jeanty</t>
        </is>
      </c>
      <c r="D17" s="41" t="inlineStr">
        <is>
          <t>LV</t>
        </is>
      </c>
      <c r="E17" s="41" t="inlineStr">
        <is>
          <t>RB7</t>
        </is>
      </c>
      <c r="F17" s="42" t="n">
        <v>13</v>
      </c>
      <c r="G17" s="42" t="n">
        <v>37</v>
      </c>
      <c r="H17" s="42" t="n">
        <v>18.6</v>
      </c>
      <c r="I17" s="42" t="n">
        <v>8.300000000000001</v>
      </c>
      <c r="J17" s="41" t="inlineStr">
        <is>
          <t>-</t>
        </is>
      </c>
      <c r="K17">
        <f>LEFT(E17,2)</f>
        <v/>
      </c>
    </row>
    <row r="18" ht="15.75" customHeight="1" s="54">
      <c r="A18" s="38" t="n">
        <v>17</v>
      </c>
      <c r="B18" s="39" t="n">
        <v>4</v>
      </c>
      <c r="C18" s="41" t="inlineStr">
        <is>
          <t>George Pickens</t>
        </is>
      </c>
      <c r="D18" s="41" t="inlineStr">
        <is>
          <t>DAL</t>
        </is>
      </c>
      <c r="E18" s="41" t="inlineStr">
        <is>
          <t>WR10</t>
        </is>
      </c>
      <c r="F18" s="42" t="n">
        <v>14</v>
      </c>
      <c r="G18" s="42" t="n">
        <v>26</v>
      </c>
      <c r="H18" s="42" t="n">
        <v>19.4</v>
      </c>
      <c r="I18" s="42" t="n">
        <v>3</v>
      </c>
      <c r="J18" s="41" t="inlineStr">
        <is>
          <t>-</t>
        </is>
      </c>
      <c r="K18">
        <f>LEFT(E18,2)</f>
        <v/>
      </c>
    </row>
    <row r="19" ht="15.75" customHeight="1" s="54">
      <c r="A19" s="38" t="n">
        <v>18</v>
      </c>
      <c r="B19" s="39" t="n">
        <v>4</v>
      </c>
      <c r="C19" s="41" t="inlineStr">
        <is>
          <t>Jeremiyah Love</t>
        </is>
      </c>
      <c r="D19" s="41" t="inlineStr">
        <is>
          <t>FA</t>
        </is>
      </c>
      <c r="E19" s="41" t="inlineStr">
        <is>
          <t>RB8</t>
        </is>
      </c>
      <c r="F19" s="42" t="n">
        <v>13</v>
      </c>
      <c r="G19" s="42" t="n">
        <v>28</v>
      </c>
      <c r="H19" s="42" t="n">
        <v>20.1</v>
      </c>
      <c r="I19" s="42" t="n">
        <v>4.2</v>
      </c>
      <c r="J19" s="41" t="inlineStr">
        <is>
          <t>-</t>
        </is>
      </c>
      <c r="K19">
        <f>LEFT(E19,2)</f>
        <v/>
      </c>
    </row>
    <row r="20" ht="15.75" customHeight="1" s="54">
      <c r="A20" s="38" t="n">
        <v>19</v>
      </c>
      <c r="B20" s="39" t="n">
        <v>4</v>
      </c>
      <c r="C20" s="41" t="inlineStr">
        <is>
          <t>Brock Bowers</t>
        </is>
      </c>
      <c r="D20" s="41" t="inlineStr">
        <is>
          <t>LV</t>
        </is>
      </c>
      <c r="E20" s="41" t="inlineStr">
        <is>
          <t>TE1</t>
        </is>
      </c>
      <c r="F20" s="42" t="n">
        <v>16</v>
      </c>
      <c r="G20" s="42" t="n">
        <v>34</v>
      </c>
      <c r="H20" s="42" t="n">
        <v>20.1</v>
      </c>
      <c r="I20" s="42" t="n">
        <v>5.9</v>
      </c>
      <c r="J20" s="41" t="inlineStr">
        <is>
          <t>-</t>
        </is>
      </c>
      <c r="K20">
        <f>LEFT(E20,2)</f>
        <v/>
      </c>
    </row>
    <row r="21" ht="15.75" customHeight="1" s="54">
      <c r="A21" s="38" t="n">
        <v>20</v>
      </c>
      <c r="B21" s="39" t="n">
        <v>4</v>
      </c>
      <c r="C21" s="41" t="inlineStr">
        <is>
          <t>Trey McBride</t>
        </is>
      </c>
      <c r="D21" s="41" t="inlineStr">
        <is>
          <t>ARI</t>
        </is>
      </c>
      <c r="E21" s="41" t="inlineStr">
        <is>
          <t>TE2</t>
        </is>
      </c>
      <c r="F21" s="42" t="n">
        <v>16</v>
      </c>
      <c r="G21" s="42" t="n">
        <v>34</v>
      </c>
      <c r="H21" s="42" t="n">
        <v>20.9</v>
      </c>
      <c r="I21" s="42" t="n">
        <v>5.7</v>
      </c>
      <c r="J21" s="41" t="inlineStr">
        <is>
          <t>-</t>
        </is>
      </c>
      <c r="K21">
        <f>LEFT(E21,2)</f>
        <v/>
      </c>
    </row>
    <row r="22" ht="15.75" customHeight="1" s="54">
      <c r="A22" s="38" t="n">
        <v>21</v>
      </c>
      <c r="B22" s="39" t="n">
        <v>4</v>
      </c>
      <c r="C22" s="41" t="inlineStr">
        <is>
          <t>Saquon Barkley</t>
        </is>
      </c>
      <c r="D22" s="41" t="inlineStr">
        <is>
          <t>PHI</t>
        </is>
      </c>
      <c r="E22" s="41" t="inlineStr">
        <is>
          <t>RB9</t>
        </is>
      </c>
      <c r="F22" s="42" t="n">
        <v>13</v>
      </c>
      <c r="G22" s="42" t="n">
        <v>30</v>
      </c>
      <c r="H22" s="42" t="n">
        <v>22.3</v>
      </c>
      <c r="I22" s="42" t="n">
        <v>6.2</v>
      </c>
      <c r="J22" s="41" t="inlineStr">
        <is>
          <t>-</t>
        </is>
      </c>
      <c r="K22">
        <f>LEFT(E22,2)</f>
        <v/>
      </c>
    </row>
    <row r="23" ht="15.75" customHeight="1" s="54">
      <c r="A23" s="38" t="n">
        <v>22</v>
      </c>
      <c r="B23" s="39" t="n">
        <v>4</v>
      </c>
      <c r="C23" s="41" t="inlineStr">
        <is>
          <t>Chris Olave</t>
        </is>
      </c>
      <c r="D23" s="41" t="inlineStr">
        <is>
          <t>NO</t>
        </is>
      </c>
      <c r="E23" s="41" t="inlineStr">
        <is>
          <t>WR11</t>
        </is>
      </c>
      <c r="F23" s="42" t="n">
        <v>19</v>
      </c>
      <c r="G23" s="42" t="n">
        <v>32</v>
      </c>
      <c r="H23" s="42" t="n">
        <v>23.5</v>
      </c>
      <c r="I23" s="42" t="n">
        <v>2.9</v>
      </c>
      <c r="J23" s="41" t="inlineStr">
        <is>
          <t>-</t>
        </is>
      </c>
      <c r="K23">
        <f>LEFT(E23,2)</f>
        <v/>
      </c>
    </row>
    <row r="24" ht="15.75" customHeight="1" s="54">
      <c r="A24" s="38" t="n">
        <v>23</v>
      </c>
      <c r="B24" s="39" t="n">
        <v>4</v>
      </c>
      <c r="C24" s="41" t="inlineStr">
        <is>
          <t>Omarion Hampton</t>
        </is>
      </c>
      <c r="D24" s="41" t="inlineStr">
        <is>
          <t>LAC</t>
        </is>
      </c>
      <c r="E24" s="41" t="inlineStr">
        <is>
          <t>RB10</t>
        </is>
      </c>
      <c r="F24" s="42" t="n">
        <v>15</v>
      </c>
      <c r="G24" s="42" t="n">
        <v>37</v>
      </c>
      <c r="H24" s="42" t="n">
        <v>23.8</v>
      </c>
      <c r="I24" s="42" t="n">
        <v>8.1</v>
      </c>
      <c r="J24" s="41" t="inlineStr">
        <is>
          <t>-</t>
        </is>
      </c>
      <c r="K24">
        <f>LEFT(E24,2)</f>
        <v/>
      </c>
    </row>
    <row r="25" ht="15.75" customHeight="1" s="54">
      <c r="A25" s="38" t="n">
        <v>24</v>
      </c>
      <c r="B25" s="39" t="n">
        <v>4</v>
      </c>
      <c r="C25" s="41" t="inlineStr">
        <is>
          <t>Derrick Henry</t>
        </is>
      </c>
      <c r="D25" s="41" t="inlineStr">
        <is>
          <t>BAL</t>
        </is>
      </c>
      <c r="E25" s="41" t="inlineStr">
        <is>
          <t>RB11</t>
        </is>
      </c>
      <c r="F25" s="42" t="n">
        <v>17</v>
      </c>
      <c r="G25" s="42" t="n">
        <v>33</v>
      </c>
      <c r="H25" s="42" t="n">
        <v>24.8</v>
      </c>
      <c r="I25" s="42" t="n">
        <v>4.8</v>
      </c>
      <c r="J25" s="41" t="inlineStr">
        <is>
          <t>-</t>
        </is>
      </c>
      <c r="K25">
        <f>LEFT(E25,2)</f>
        <v/>
      </c>
    </row>
    <row r="26" ht="13" customHeight="1" s="54">
      <c r="A26" s="38" t="n">
        <v>25</v>
      </c>
      <c r="B26" s="39" t="n">
        <v>4</v>
      </c>
      <c r="C26" s="41" t="inlineStr">
        <is>
          <t>Josh Allen</t>
        </is>
      </c>
      <c r="D26" s="41" t="inlineStr">
        <is>
          <t>BUF</t>
        </is>
      </c>
      <c r="E26" s="41" t="inlineStr">
        <is>
          <t>QB1</t>
        </is>
      </c>
      <c r="F26" s="42" t="n">
        <v>25</v>
      </c>
      <c r="G26" s="42" t="n">
        <v>27</v>
      </c>
      <c r="H26" s="42" t="n">
        <v>25.3</v>
      </c>
      <c r="I26" s="42" t="n">
        <v>0.7</v>
      </c>
      <c r="J26" s="41" t="inlineStr">
        <is>
          <t>-</t>
        </is>
      </c>
      <c r="K26">
        <f>LEFT(E26,2)</f>
        <v/>
      </c>
    </row>
    <row r="27" ht="13" customHeight="1" s="54">
      <c r="A27" s="38" t="n">
        <v>26</v>
      </c>
      <c r="B27" s="39" t="n">
        <v>5</v>
      </c>
      <c r="C27" s="41" t="inlineStr">
        <is>
          <t>Rashee Rice</t>
        </is>
      </c>
      <c r="D27" s="41" t="inlineStr">
        <is>
          <t>KC</t>
        </is>
      </c>
      <c r="E27" s="41" t="inlineStr">
        <is>
          <t>WR12</t>
        </is>
      </c>
      <c r="F27" s="42" t="n">
        <v>11</v>
      </c>
      <c r="G27" s="42" t="n">
        <v>51</v>
      </c>
      <c r="H27" s="42" t="n">
        <v>27.7</v>
      </c>
      <c r="I27" s="42" t="n">
        <v>11.5</v>
      </c>
      <c r="J27" s="41" t="inlineStr">
        <is>
          <t>-</t>
        </is>
      </c>
      <c r="K27">
        <f>LEFT(E27,2)</f>
        <v/>
      </c>
    </row>
    <row r="28" ht="13" customHeight="1" s="54">
      <c r="A28" s="38" t="n">
        <v>27</v>
      </c>
      <c r="B28" s="39" t="n">
        <v>5</v>
      </c>
      <c r="C28" s="41" t="inlineStr">
        <is>
          <t>Lamar Jackson</t>
        </is>
      </c>
      <c r="D28" s="41" t="inlineStr">
        <is>
          <t>BAL</t>
        </is>
      </c>
      <c r="E28" s="41" t="inlineStr">
        <is>
          <t>QB2</t>
        </is>
      </c>
      <c r="F28" s="42" t="n">
        <v>25</v>
      </c>
      <c r="G28" s="42" t="n">
        <v>29</v>
      </c>
      <c r="H28" s="42" t="n">
        <v>27.8</v>
      </c>
      <c r="I28" s="42" t="n">
        <v>1.2</v>
      </c>
      <c r="J28" s="41" t="inlineStr">
        <is>
          <t>-</t>
        </is>
      </c>
      <c r="K28">
        <f>LEFT(E28,2)</f>
        <v/>
      </c>
    </row>
    <row r="29" ht="13" customHeight="1" s="54">
      <c r="A29" s="38" t="n">
        <v>28</v>
      </c>
      <c r="B29" s="39" t="n">
        <v>5</v>
      </c>
      <c r="C29" s="41" t="inlineStr">
        <is>
          <t>Tee Higgins</t>
        </is>
      </c>
      <c r="D29" s="41" t="inlineStr">
        <is>
          <t>CIN</t>
        </is>
      </c>
      <c r="E29" s="41" t="inlineStr">
        <is>
          <t>WR13</t>
        </is>
      </c>
      <c r="F29" s="42" t="n">
        <v>19</v>
      </c>
      <c r="G29" s="42" t="n">
        <v>38</v>
      </c>
      <c r="H29" s="42" t="n">
        <v>27.8</v>
      </c>
      <c r="I29" s="42" t="n">
        <v>5.3</v>
      </c>
      <c r="J29" s="41" t="inlineStr">
        <is>
          <t>-</t>
        </is>
      </c>
      <c r="K29">
        <f>LEFT(E29,2)</f>
        <v/>
      </c>
    </row>
    <row r="30" ht="13" customHeight="1" s="54">
      <c r="A30" s="38" t="n">
        <v>29</v>
      </c>
      <c r="B30" s="39" t="n">
        <v>5</v>
      </c>
      <c r="C30" s="41" t="inlineStr">
        <is>
          <t>Kenneth Walker III</t>
        </is>
      </c>
      <c r="D30" s="41" t="inlineStr">
        <is>
          <t>KC</t>
        </is>
      </c>
      <c r="E30" s="41" t="inlineStr">
        <is>
          <t>RB12</t>
        </is>
      </c>
      <c r="F30" s="42" t="n">
        <v>15</v>
      </c>
      <c r="G30" s="42" t="n">
        <v>45</v>
      </c>
      <c r="H30" s="42" t="n">
        <v>28.5</v>
      </c>
      <c r="I30" s="42" t="n">
        <v>8.300000000000001</v>
      </c>
      <c r="J30" s="41" t="inlineStr">
        <is>
          <t>-</t>
        </is>
      </c>
      <c r="K30">
        <f>LEFT(E30,2)</f>
        <v/>
      </c>
    </row>
    <row r="31" ht="13" customHeight="1" s="54">
      <c r="A31" s="38" t="n">
        <v>30</v>
      </c>
      <c r="B31" s="39" t="n">
        <v>5</v>
      </c>
      <c r="C31" s="41" t="inlineStr">
        <is>
          <t>A.J. Brown</t>
        </is>
      </c>
      <c r="D31" s="41" t="inlineStr">
        <is>
          <t>PHI</t>
        </is>
      </c>
      <c r="E31" s="41" t="inlineStr">
        <is>
          <t>WR14</t>
        </is>
      </c>
      <c r="F31" s="42" t="n">
        <v>19</v>
      </c>
      <c r="G31" s="42" t="n">
        <v>41</v>
      </c>
      <c r="H31" s="42" t="n">
        <v>30.3</v>
      </c>
      <c r="I31" s="42" t="n">
        <v>5.3</v>
      </c>
      <c r="J31" s="41" t="inlineStr">
        <is>
          <t>-</t>
        </is>
      </c>
      <c r="K31">
        <f>LEFT(E31,2)</f>
        <v/>
      </c>
    </row>
    <row r="32" ht="13" customHeight="1" s="54">
      <c r="A32" s="38" t="n">
        <v>31</v>
      </c>
      <c r="B32" s="39" t="n">
        <v>5</v>
      </c>
      <c r="C32" s="41" t="inlineStr">
        <is>
          <t>Tetairoa McMillan</t>
        </is>
      </c>
      <c r="D32" s="41" t="inlineStr">
        <is>
          <t>CAR</t>
        </is>
      </c>
      <c r="E32" s="41" t="inlineStr">
        <is>
          <t>WR15</t>
        </is>
      </c>
      <c r="F32" s="42" t="n">
        <v>21</v>
      </c>
      <c r="G32" s="42" t="n">
        <v>39</v>
      </c>
      <c r="H32" s="42" t="n">
        <v>30.6</v>
      </c>
      <c r="I32" s="42" t="n">
        <v>5.4</v>
      </c>
      <c r="J32" s="41" t="inlineStr">
        <is>
          <t>-</t>
        </is>
      </c>
      <c r="K32">
        <f>LEFT(E32,2)</f>
        <v/>
      </c>
    </row>
    <row r="33" ht="13" customHeight="1" s="54">
      <c r="A33" s="38" t="n">
        <v>32</v>
      </c>
      <c r="B33" s="39" t="n">
        <v>5</v>
      </c>
      <c r="C33" s="41" t="inlineStr">
        <is>
          <t>Josh Jacobs</t>
        </is>
      </c>
      <c r="D33" s="41" t="inlineStr">
        <is>
          <t>GB</t>
        </is>
      </c>
      <c r="E33" s="41" t="inlineStr">
        <is>
          <t>RB13</t>
        </is>
      </c>
      <c r="F33" s="42" t="n">
        <v>20</v>
      </c>
      <c r="G33" s="42" t="n">
        <v>45</v>
      </c>
      <c r="H33" s="42" t="n">
        <v>31.9</v>
      </c>
      <c r="I33" s="42" t="n">
        <v>7.7</v>
      </c>
      <c r="J33" s="41" t="inlineStr">
        <is>
          <t>-</t>
        </is>
      </c>
      <c r="K33">
        <f>LEFT(E33,2)</f>
        <v/>
      </c>
    </row>
    <row r="34" ht="13" customHeight="1" s="54">
      <c r="A34" s="38" t="n">
        <v>33</v>
      </c>
      <c r="B34" s="39" t="n">
        <v>5</v>
      </c>
      <c r="C34" s="41" t="inlineStr">
        <is>
          <t>Drake Maye</t>
        </is>
      </c>
      <c r="D34" s="41" t="inlineStr">
        <is>
          <t>NE</t>
        </is>
      </c>
      <c r="E34" s="41" t="inlineStr">
        <is>
          <t>QB3</t>
        </is>
      </c>
      <c r="F34" s="42" t="n">
        <v>27</v>
      </c>
      <c r="G34" s="42" t="n">
        <v>53</v>
      </c>
      <c r="H34" s="42" t="n">
        <v>32.3</v>
      </c>
      <c r="I34" s="42" t="n">
        <v>8.300000000000001</v>
      </c>
      <c r="J34" s="41" t="inlineStr">
        <is>
          <t>-</t>
        </is>
      </c>
      <c r="K34">
        <f>LEFT(E34,2)</f>
        <v/>
      </c>
    </row>
    <row r="35" ht="13" customHeight="1" s="54">
      <c r="A35" s="38" t="n">
        <v>34</v>
      </c>
      <c r="B35" s="39" t="n">
        <v>5</v>
      </c>
      <c r="C35" s="41" t="inlineStr">
        <is>
          <t>Chase Brown</t>
        </is>
      </c>
      <c r="D35" s="41" t="inlineStr">
        <is>
          <t>CIN</t>
        </is>
      </c>
      <c r="E35" s="41" t="inlineStr">
        <is>
          <t>RB14</t>
        </is>
      </c>
      <c r="F35" s="42" t="n">
        <v>17</v>
      </c>
      <c r="G35" s="42" t="n">
        <v>42</v>
      </c>
      <c r="H35" s="42" t="n">
        <v>32.8</v>
      </c>
      <c r="I35" s="42" t="n">
        <v>8</v>
      </c>
      <c r="J35" s="41" t="inlineStr">
        <is>
          <t>-</t>
        </is>
      </c>
      <c r="K35">
        <f>LEFT(E35,2)</f>
        <v/>
      </c>
    </row>
    <row r="36" ht="13" customHeight="1" s="54">
      <c r="A36" s="38" t="n">
        <v>35</v>
      </c>
      <c r="B36" s="39" t="n">
        <v>5</v>
      </c>
      <c r="C36" s="41" t="inlineStr">
        <is>
          <t>Davante Adams</t>
        </is>
      </c>
      <c r="D36" s="41" t="inlineStr">
        <is>
          <t>LAR</t>
        </is>
      </c>
      <c r="E36" s="41" t="inlineStr">
        <is>
          <t>WR16</t>
        </is>
      </c>
      <c r="F36" s="42" t="n">
        <v>26</v>
      </c>
      <c r="G36" s="42" t="n">
        <v>44</v>
      </c>
      <c r="H36" s="42" t="n">
        <v>36.2</v>
      </c>
      <c r="I36" s="42" t="n">
        <v>5</v>
      </c>
      <c r="J36" s="41" t="inlineStr">
        <is>
          <t>-</t>
        </is>
      </c>
      <c r="K36">
        <f>LEFT(E36,2)</f>
        <v/>
      </c>
    </row>
    <row r="37" ht="13" customHeight="1" s="54">
      <c r="A37" s="38" t="n">
        <v>36</v>
      </c>
      <c r="B37" s="39" t="n">
        <v>6</v>
      </c>
      <c r="C37" s="41" t="inlineStr">
        <is>
          <t>Garrett Wilson</t>
        </is>
      </c>
      <c r="D37" s="41" t="inlineStr">
        <is>
          <t>NYJ</t>
        </is>
      </c>
      <c r="E37" s="41" t="inlineStr">
        <is>
          <t>WR17</t>
        </is>
      </c>
      <c r="F37" s="42" t="n">
        <v>31</v>
      </c>
      <c r="G37" s="42" t="n">
        <v>51</v>
      </c>
      <c r="H37" s="42" t="n">
        <v>40.3</v>
      </c>
      <c r="I37" s="42" t="n">
        <v>5.4</v>
      </c>
      <c r="J37" s="41" t="inlineStr">
        <is>
          <t>-</t>
        </is>
      </c>
      <c r="K37">
        <f>LEFT(E37,2)</f>
        <v/>
      </c>
    </row>
    <row r="38" ht="13" customHeight="1" s="54">
      <c r="A38" s="38" t="n">
        <v>37</v>
      </c>
      <c r="B38" s="39" t="n">
        <v>6</v>
      </c>
      <c r="C38" s="41" t="inlineStr">
        <is>
          <t>Breece Hall</t>
        </is>
      </c>
      <c r="D38" s="41" t="inlineStr">
        <is>
          <t>NYJ</t>
        </is>
      </c>
      <c r="E38" s="41" t="inlineStr">
        <is>
          <t>RB15</t>
        </is>
      </c>
      <c r="F38" s="42" t="n">
        <v>30</v>
      </c>
      <c r="G38" s="42" t="n">
        <v>52</v>
      </c>
      <c r="H38" s="42" t="n">
        <v>42.1</v>
      </c>
      <c r="I38" s="42" t="n">
        <v>5.8</v>
      </c>
      <c r="J38" s="41" t="inlineStr">
        <is>
          <t>-</t>
        </is>
      </c>
      <c r="K38">
        <f>LEFT(E38,2)</f>
        <v/>
      </c>
    </row>
    <row r="39" ht="13" customHeight="1" s="54">
      <c r="A39" s="38" t="n">
        <v>38</v>
      </c>
      <c r="B39" s="39" t="n">
        <v>6</v>
      </c>
      <c r="C39" s="41" t="inlineStr">
        <is>
          <t>Tucker Kraft</t>
        </is>
      </c>
      <c r="D39" s="41" t="inlineStr">
        <is>
          <t>GB</t>
        </is>
      </c>
      <c r="E39" s="41" t="inlineStr">
        <is>
          <t>TE3</t>
        </is>
      </c>
      <c r="F39" s="42" t="n">
        <v>22</v>
      </c>
      <c r="G39" s="42" t="n">
        <v>86</v>
      </c>
      <c r="H39" s="42" t="n">
        <v>42.3</v>
      </c>
      <c r="I39" s="42" t="n">
        <v>20.4</v>
      </c>
      <c r="J39" s="41" t="inlineStr">
        <is>
          <t>-</t>
        </is>
      </c>
      <c r="K39">
        <f>LEFT(E39,2)</f>
        <v/>
      </c>
    </row>
    <row r="40" ht="13" customHeight="1" s="54">
      <c r="A40" s="38" t="n">
        <v>39</v>
      </c>
      <c r="B40" s="39" t="n">
        <v>6</v>
      </c>
      <c r="C40" s="41" t="inlineStr">
        <is>
          <t>Kyren Williams</t>
        </is>
      </c>
      <c r="D40" s="41" t="inlineStr">
        <is>
          <t>LAR</t>
        </is>
      </c>
      <c r="E40" s="41" t="inlineStr">
        <is>
          <t>RB16</t>
        </is>
      </c>
      <c r="F40" s="42" t="n">
        <v>33</v>
      </c>
      <c r="G40" s="42" t="n">
        <v>49</v>
      </c>
      <c r="H40" s="42" t="n">
        <v>42.3</v>
      </c>
      <c r="I40" s="42" t="n">
        <v>4.5</v>
      </c>
      <c r="J40" s="41" t="inlineStr">
        <is>
          <t>-</t>
        </is>
      </c>
      <c r="K40">
        <f>LEFT(E40,2)</f>
        <v/>
      </c>
    </row>
    <row r="41" ht="13" customHeight="1" s="54">
      <c r="A41" s="38" t="n">
        <v>40</v>
      </c>
      <c r="B41" s="39" t="n">
        <v>6</v>
      </c>
      <c r="C41" s="41" t="inlineStr">
        <is>
          <t>Zay Flowers</t>
        </is>
      </c>
      <c r="D41" s="41" t="inlineStr">
        <is>
          <t>BAL</t>
        </is>
      </c>
      <c r="E41" s="41" t="inlineStr">
        <is>
          <t>WR18</t>
        </is>
      </c>
      <c r="F41" s="42" t="n">
        <v>26</v>
      </c>
      <c r="G41" s="42" t="n">
        <v>54</v>
      </c>
      <c r="H41" s="42" t="n">
        <v>43.5</v>
      </c>
      <c r="I41" s="42" t="n">
        <v>8.4</v>
      </c>
      <c r="J41" s="41" t="inlineStr">
        <is>
          <t>-</t>
        </is>
      </c>
      <c r="K41">
        <f>LEFT(E41,2)</f>
        <v/>
      </c>
    </row>
    <row r="42" ht="13" customHeight="1" s="54">
      <c r="A42" s="38" t="n">
        <v>41</v>
      </c>
      <c r="B42" s="39" t="n">
        <v>6</v>
      </c>
      <c r="C42" s="41" t="inlineStr">
        <is>
          <t>Joe Burrow</t>
        </is>
      </c>
      <c r="D42" s="41" t="inlineStr">
        <is>
          <t>CIN</t>
        </is>
      </c>
      <c r="E42" s="41" t="inlineStr">
        <is>
          <t>QB4</t>
        </is>
      </c>
      <c r="F42" s="42" t="n">
        <v>29</v>
      </c>
      <c r="G42" s="42" t="n">
        <v>58</v>
      </c>
      <c r="H42" s="42" t="n">
        <v>44.6</v>
      </c>
      <c r="I42" s="42" t="n">
        <v>10.7</v>
      </c>
      <c r="J42" s="41" t="inlineStr">
        <is>
          <t>-</t>
        </is>
      </c>
      <c r="K42">
        <f>LEFT(E42,2)</f>
        <v/>
      </c>
    </row>
    <row r="43" ht="13" customHeight="1" s="54">
      <c r="A43" s="38" t="n">
        <v>42</v>
      </c>
      <c r="B43" s="39" t="n">
        <v>6</v>
      </c>
      <c r="C43" s="41" t="inlineStr">
        <is>
          <t>Javonte Williams</t>
        </is>
      </c>
      <c r="D43" s="41" t="inlineStr">
        <is>
          <t>DAL</t>
        </is>
      </c>
      <c r="E43" s="41" t="inlineStr">
        <is>
          <t>RB17</t>
        </is>
      </c>
      <c r="F43" s="42" t="n">
        <v>30</v>
      </c>
      <c r="G43" s="42" t="n">
        <v>57</v>
      </c>
      <c r="H43" s="42" t="n">
        <v>44.6</v>
      </c>
      <c r="I43" s="42" t="n">
        <v>7.9</v>
      </c>
      <c r="J43" s="41" t="inlineStr">
        <is>
          <t>-</t>
        </is>
      </c>
      <c r="K43">
        <f>LEFT(E43,2)</f>
        <v/>
      </c>
    </row>
    <row r="44" ht="13" customHeight="1" s="54">
      <c r="A44" s="38" t="n">
        <v>43</v>
      </c>
      <c r="B44" s="39" t="n">
        <v>6</v>
      </c>
      <c r="C44" s="41" t="inlineStr">
        <is>
          <t>Travis Etienne Jr.</t>
        </is>
      </c>
      <c r="D44" s="41" t="inlineStr">
        <is>
          <t>NO</t>
        </is>
      </c>
      <c r="E44" s="41" t="inlineStr">
        <is>
          <t>RB18</t>
        </is>
      </c>
      <c r="F44" s="42" t="n">
        <v>33</v>
      </c>
      <c r="G44" s="42" t="n">
        <v>52</v>
      </c>
      <c r="H44" s="42" t="n">
        <v>45</v>
      </c>
      <c r="I44" s="42" t="n">
        <v>5.7</v>
      </c>
      <c r="J44" s="41" t="inlineStr">
        <is>
          <t>-</t>
        </is>
      </c>
      <c r="K44">
        <f>LEFT(E44,2)</f>
        <v/>
      </c>
    </row>
    <row r="45" ht="13" customHeight="1" s="54">
      <c r="A45" s="38" t="n">
        <v>44</v>
      </c>
      <c r="B45" s="39" t="n">
        <v>6</v>
      </c>
      <c r="C45" s="41" t="inlineStr">
        <is>
          <t>Jameson Williams</t>
        </is>
      </c>
      <c r="D45" s="41" t="inlineStr">
        <is>
          <t>DET</t>
        </is>
      </c>
      <c r="E45" s="41" t="inlineStr">
        <is>
          <t>WR19</t>
        </is>
      </c>
      <c r="F45" s="42" t="n">
        <v>38</v>
      </c>
      <c r="G45" s="42" t="n">
        <v>65</v>
      </c>
      <c r="H45" s="42" t="n">
        <v>45.6</v>
      </c>
      <c r="I45" s="42" t="n">
        <v>7.7</v>
      </c>
      <c r="J45" s="41" t="inlineStr">
        <is>
          <t>-</t>
        </is>
      </c>
      <c r="K45">
        <f>LEFT(E45,2)</f>
        <v/>
      </c>
    </row>
    <row r="46" ht="13" customHeight="1" s="54">
      <c r="A46" s="38" t="n">
        <v>45</v>
      </c>
      <c r="B46" s="39" t="n">
        <v>6</v>
      </c>
      <c r="C46" s="41" t="inlineStr">
        <is>
          <t>Jayden Daniels</t>
        </is>
      </c>
      <c r="D46" s="41" t="inlineStr">
        <is>
          <t>WAS</t>
        </is>
      </c>
      <c r="E46" s="41" t="inlineStr">
        <is>
          <t>QB5</t>
        </is>
      </c>
      <c r="F46" s="42" t="n">
        <v>36</v>
      </c>
      <c r="G46" s="42" t="n">
        <v>68</v>
      </c>
      <c r="H46" s="42" t="n">
        <v>47.8</v>
      </c>
      <c r="I46" s="42" t="n">
        <v>11.3</v>
      </c>
      <c r="J46" s="41" t="inlineStr">
        <is>
          <t>-</t>
        </is>
      </c>
      <c r="K46">
        <f>LEFT(E46,2)</f>
        <v/>
      </c>
    </row>
    <row r="47" ht="13" customHeight="1" s="54">
      <c r="A47" s="38" t="n">
        <v>46</v>
      </c>
      <c r="B47" s="39" t="n">
        <v>6</v>
      </c>
      <c r="C47" s="41" t="inlineStr">
        <is>
          <t>Carnell Tate</t>
        </is>
      </c>
      <c r="D47" s="41" t="inlineStr">
        <is>
          <t>FA</t>
        </is>
      </c>
      <c r="E47" s="41" t="inlineStr">
        <is>
          <t>WR20</t>
        </is>
      </c>
      <c r="F47" s="42" t="n">
        <v>32</v>
      </c>
      <c r="G47" s="42" t="n">
        <v>75</v>
      </c>
      <c r="H47" s="42" t="n">
        <v>48.8</v>
      </c>
      <c r="I47" s="42" t="n">
        <v>13.9</v>
      </c>
      <c r="J47" s="41" t="inlineStr">
        <is>
          <t>-</t>
        </is>
      </c>
      <c r="K47">
        <f>LEFT(E47,2)</f>
        <v/>
      </c>
    </row>
    <row r="48" ht="13" customHeight="1" s="54">
      <c r="A48" s="38" t="n">
        <v>47</v>
      </c>
      <c r="B48" s="39" t="n">
        <v>6</v>
      </c>
      <c r="C48" s="41" t="inlineStr">
        <is>
          <t>Bucky Irving</t>
        </is>
      </c>
      <c r="D48" s="41" t="inlineStr">
        <is>
          <t>TB</t>
        </is>
      </c>
      <c r="E48" s="41" t="inlineStr">
        <is>
          <t>RB19</t>
        </is>
      </c>
      <c r="F48" s="42" t="n">
        <v>40</v>
      </c>
      <c r="G48" s="42" t="n">
        <v>57</v>
      </c>
      <c r="H48" s="42" t="n">
        <v>48.9</v>
      </c>
      <c r="I48" s="42" t="n">
        <v>4.7</v>
      </c>
      <c r="J48" s="41" t="inlineStr">
        <is>
          <t>-</t>
        </is>
      </c>
      <c r="K48">
        <f>LEFT(E48,2)</f>
        <v/>
      </c>
    </row>
    <row r="49" ht="13" customHeight="1" s="54">
      <c r="A49" s="38" t="n">
        <v>48</v>
      </c>
      <c r="B49" s="39" t="n">
        <v>6</v>
      </c>
      <c r="C49" s="41" t="inlineStr">
        <is>
          <t>Ladd McConkey</t>
        </is>
      </c>
      <c r="D49" s="41" t="inlineStr">
        <is>
          <t>LAC</t>
        </is>
      </c>
      <c r="E49" s="41" t="inlineStr">
        <is>
          <t>WR21</t>
        </is>
      </c>
      <c r="F49" s="42" t="n">
        <v>41</v>
      </c>
      <c r="G49" s="42" t="n">
        <v>61</v>
      </c>
      <c r="H49" s="42" t="n">
        <v>48.9</v>
      </c>
      <c r="I49" s="42" t="n">
        <v>6.1</v>
      </c>
      <c r="J49" s="41" t="inlineStr">
        <is>
          <t>-</t>
        </is>
      </c>
      <c r="K49">
        <f>LEFT(E49,2)</f>
        <v/>
      </c>
    </row>
    <row r="50" ht="13" customHeight="1" s="54">
      <c r="A50" s="38" t="n">
        <v>49</v>
      </c>
      <c r="B50" s="39" t="n">
        <v>6</v>
      </c>
      <c r="C50" s="41" t="inlineStr">
        <is>
          <t>Terry McLaurin</t>
        </is>
      </c>
      <c r="D50" s="41" t="inlineStr">
        <is>
          <t>WAS</t>
        </is>
      </c>
      <c r="E50" s="41" t="inlineStr">
        <is>
          <t>WR22</t>
        </is>
      </c>
      <c r="F50" s="42" t="n">
        <v>43</v>
      </c>
      <c r="G50" s="42" t="n">
        <v>69</v>
      </c>
      <c r="H50" s="42" t="n">
        <v>49</v>
      </c>
      <c r="I50" s="42" t="n">
        <v>6.9</v>
      </c>
      <c r="J50" s="41" t="inlineStr">
        <is>
          <t>-</t>
        </is>
      </c>
      <c r="K50">
        <f>LEFT(E50,2)</f>
        <v/>
      </c>
    </row>
    <row r="51" ht="13" customHeight="1" s="54">
      <c r="A51" s="38" t="n">
        <v>50</v>
      </c>
      <c r="B51" s="39" t="n">
        <v>6</v>
      </c>
      <c r="C51" s="41" t="inlineStr">
        <is>
          <t>Colston Loveland</t>
        </is>
      </c>
      <c r="D51" s="41" t="inlineStr">
        <is>
          <t>CHI</t>
        </is>
      </c>
      <c r="E51" s="41" t="inlineStr">
        <is>
          <t>TE4</t>
        </is>
      </c>
      <c r="F51" s="42" t="n">
        <v>34</v>
      </c>
      <c r="G51" s="42" t="n">
        <v>67</v>
      </c>
      <c r="H51" s="42" t="n">
        <v>49.8</v>
      </c>
      <c r="I51" s="42" t="n">
        <v>11</v>
      </c>
      <c r="J51" s="41" t="inlineStr">
        <is>
          <t>-</t>
        </is>
      </c>
      <c r="K51">
        <f>LEFT(E51,2)</f>
        <v/>
      </c>
    </row>
    <row r="52" ht="13" customHeight="1" s="54">
      <c r="A52" s="38" t="n">
        <v>51</v>
      </c>
      <c r="B52" s="39" t="n">
        <v>6</v>
      </c>
      <c r="C52" s="41" t="inlineStr">
        <is>
          <t>Jaylen Waddle</t>
        </is>
      </c>
      <c r="D52" s="41" t="inlineStr">
        <is>
          <t>DEN</t>
        </is>
      </c>
      <c r="E52" s="41" t="inlineStr">
        <is>
          <t>WR23</t>
        </is>
      </c>
      <c r="F52" s="42" t="n">
        <v>35</v>
      </c>
      <c r="G52" s="42" t="n">
        <v>75</v>
      </c>
      <c r="H52" s="42" t="n">
        <v>51</v>
      </c>
      <c r="I52" s="42" t="n">
        <v>10.6</v>
      </c>
      <c r="J52" s="41" t="inlineStr">
        <is>
          <t>-</t>
        </is>
      </c>
      <c r="K52">
        <f>LEFT(E52,2)</f>
        <v/>
      </c>
    </row>
    <row r="53" ht="13" customHeight="1" s="54">
      <c r="A53" s="38" t="n">
        <v>52</v>
      </c>
      <c r="B53" s="39" t="n">
        <v>6</v>
      </c>
      <c r="C53" s="41" t="inlineStr">
        <is>
          <t>Christian Watson</t>
        </is>
      </c>
      <c r="D53" s="41" t="inlineStr">
        <is>
          <t>GB</t>
        </is>
      </c>
      <c r="E53" s="41" t="inlineStr">
        <is>
          <t>WR24</t>
        </is>
      </c>
      <c r="F53" s="42" t="n">
        <v>39</v>
      </c>
      <c r="G53" s="42" t="n">
        <v>65</v>
      </c>
      <c r="H53" s="42" t="n">
        <v>51.8</v>
      </c>
      <c r="I53" s="42" t="n">
        <v>8.4</v>
      </c>
      <c r="J53" s="41" t="inlineStr">
        <is>
          <t>-</t>
        </is>
      </c>
      <c r="K53">
        <f>LEFT(E53,2)</f>
        <v/>
      </c>
    </row>
    <row r="54" ht="13" customHeight="1" s="54">
      <c r="A54" s="38" t="n">
        <v>53</v>
      </c>
      <c r="B54" s="39" t="n">
        <v>6</v>
      </c>
      <c r="C54" s="41" t="inlineStr">
        <is>
          <t>TreVeyon Henderson</t>
        </is>
      </c>
      <c r="D54" s="41" t="inlineStr">
        <is>
          <t>NE</t>
        </is>
      </c>
      <c r="E54" s="41" t="inlineStr">
        <is>
          <t>RB20</t>
        </is>
      </c>
      <c r="F54" s="42" t="n">
        <v>37</v>
      </c>
      <c r="G54" s="42" t="n">
        <v>71</v>
      </c>
      <c r="H54" s="42" t="n">
        <v>53.6</v>
      </c>
      <c r="I54" s="42" t="n">
        <v>7.7</v>
      </c>
      <c r="J54" s="41" t="inlineStr">
        <is>
          <t>-</t>
        </is>
      </c>
      <c r="K54">
        <f>LEFT(E54,2)</f>
        <v/>
      </c>
    </row>
    <row r="55" ht="13" customHeight="1" s="54">
      <c r="A55" s="38" t="n">
        <v>54</v>
      </c>
      <c r="B55" s="39" t="n">
        <v>6</v>
      </c>
      <c r="C55" s="41" t="inlineStr">
        <is>
          <t>Jalen Hurts</t>
        </is>
      </c>
      <c r="D55" s="41" t="inlineStr">
        <is>
          <t>PHI</t>
        </is>
      </c>
      <c r="E55" s="41" t="inlineStr">
        <is>
          <t>QB6</t>
        </is>
      </c>
      <c r="F55" s="42" t="n">
        <v>29</v>
      </c>
      <c r="G55" s="42" t="n">
        <v>73</v>
      </c>
      <c r="H55" s="42" t="n">
        <v>53.7</v>
      </c>
      <c r="I55" s="42" t="n">
        <v>10.7</v>
      </c>
      <c r="J55" s="41" t="inlineStr">
        <is>
          <t>-</t>
        </is>
      </c>
      <c r="K55">
        <f>LEFT(E55,2)</f>
        <v/>
      </c>
    </row>
    <row r="56" ht="13" customHeight="1" s="54">
      <c r="A56" s="38" t="n">
        <v>55</v>
      </c>
      <c r="B56" s="39" t="n">
        <v>7</v>
      </c>
      <c r="C56" s="41" t="inlineStr">
        <is>
          <t>Luther Burden III</t>
        </is>
      </c>
      <c r="D56" s="41" t="inlineStr">
        <is>
          <t>CHI</t>
        </is>
      </c>
      <c r="E56" s="41" t="inlineStr">
        <is>
          <t>WR25</t>
        </is>
      </c>
      <c r="F56" s="42" t="n">
        <v>39</v>
      </c>
      <c r="G56" s="42" t="n">
        <v>69</v>
      </c>
      <c r="H56" s="42" t="n">
        <v>55.6</v>
      </c>
      <c r="I56" s="42" t="n">
        <v>9.300000000000001</v>
      </c>
      <c r="J56" s="41" t="inlineStr">
        <is>
          <t>-</t>
        </is>
      </c>
      <c r="K56">
        <f>LEFT(E56,2)</f>
        <v/>
      </c>
    </row>
    <row r="57" ht="13" customHeight="1" s="54">
      <c r="A57" s="38" t="n">
        <v>56</v>
      </c>
      <c r="B57" s="39" t="n">
        <v>7</v>
      </c>
      <c r="C57" s="41" t="inlineStr">
        <is>
          <t>Emeka Egbuka</t>
        </is>
      </c>
      <c r="D57" s="41" t="inlineStr">
        <is>
          <t>TB</t>
        </is>
      </c>
      <c r="E57" s="41" t="inlineStr">
        <is>
          <t>WR26</t>
        </is>
      </c>
      <c r="F57" s="42" t="n">
        <v>46</v>
      </c>
      <c r="G57" s="42" t="n">
        <v>74</v>
      </c>
      <c r="H57" s="42" t="n">
        <v>56.7</v>
      </c>
      <c r="I57" s="42" t="n">
        <v>8.800000000000001</v>
      </c>
      <c r="J57" s="41" t="inlineStr">
        <is>
          <t>-</t>
        </is>
      </c>
      <c r="K57">
        <f>LEFT(E57,2)</f>
        <v/>
      </c>
    </row>
    <row r="58" ht="13" customHeight="1" s="54">
      <c r="A58" s="38" t="n">
        <v>57</v>
      </c>
      <c r="B58" s="39" t="n">
        <v>7</v>
      </c>
      <c r="C58" s="41" t="inlineStr">
        <is>
          <t>Mike Evans</t>
        </is>
      </c>
      <c r="D58" s="41" t="inlineStr">
        <is>
          <t>SF</t>
        </is>
      </c>
      <c r="E58" s="41" t="inlineStr">
        <is>
          <t>WR27</t>
        </is>
      </c>
      <c r="F58" s="42" t="n">
        <v>38</v>
      </c>
      <c r="G58" s="42" t="n">
        <v>74</v>
      </c>
      <c r="H58" s="42" t="n">
        <v>58.1</v>
      </c>
      <c r="I58" s="42" t="n">
        <v>11.9</v>
      </c>
      <c r="J58" s="41" t="inlineStr">
        <is>
          <t>-</t>
        </is>
      </c>
      <c r="K58">
        <f>LEFT(E58,2)</f>
        <v/>
      </c>
    </row>
    <row r="59" ht="13" customHeight="1" s="54">
      <c r="A59" s="38" t="n">
        <v>58</v>
      </c>
      <c r="B59" s="39" t="n">
        <v>7</v>
      </c>
      <c r="C59" s="41" t="inlineStr">
        <is>
          <t>DeVonta Smith</t>
        </is>
      </c>
      <c r="D59" s="41" t="inlineStr">
        <is>
          <t>PHI</t>
        </is>
      </c>
      <c r="E59" s="41" t="inlineStr">
        <is>
          <t>WR28</t>
        </is>
      </c>
      <c r="F59" s="42" t="n">
        <v>39</v>
      </c>
      <c r="G59" s="42" t="n">
        <v>75</v>
      </c>
      <c r="H59" s="42" t="n">
        <v>58.8</v>
      </c>
      <c r="I59" s="42" t="n">
        <v>9.6</v>
      </c>
      <c r="J59" s="41" t="inlineStr">
        <is>
          <t>-</t>
        </is>
      </c>
      <c r="K59">
        <f>LEFT(E59,2)</f>
        <v/>
      </c>
    </row>
    <row r="60" ht="13" customHeight="1" s="54">
      <c r="A60" s="38" t="n">
        <v>59</v>
      </c>
      <c r="B60" s="39" t="n">
        <v>7</v>
      </c>
      <c r="C60" s="41" t="inlineStr">
        <is>
          <t>D'Andre Swift</t>
        </is>
      </c>
      <c r="D60" s="41" t="inlineStr">
        <is>
          <t>CHI</t>
        </is>
      </c>
      <c r="E60" s="41" t="inlineStr">
        <is>
          <t>RB21</t>
        </is>
      </c>
      <c r="F60" s="42" t="n">
        <v>47</v>
      </c>
      <c r="G60" s="42" t="n">
        <v>64</v>
      </c>
      <c r="H60" s="42" t="n">
        <v>59.4</v>
      </c>
      <c r="I60" s="42" t="n">
        <v>4.5</v>
      </c>
      <c r="J60" s="41" t="inlineStr">
        <is>
          <t>-</t>
        </is>
      </c>
      <c r="K60">
        <f>LEFT(E60,2)</f>
        <v/>
      </c>
    </row>
    <row r="61" ht="13" customHeight="1" s="54">
      <c r="A61" s="38" t="n">
        <v>60</v>
      </c>
      <c r="B61" s="39" t="n">
        <v>7</v>
      </c>
      <c r="C61" s="41" t="inlineStr">
        <is>
          <t>Cam Skattebo</t>
        </is>
      </c>
      <c r="D61" s="41" t="inlineStr">
        <is>
          <t>NYG</t>
        </is>
      </c>
      <c r="E61" s="41" t="inlineStr">
        <is>
          <t>RB22</t>
        </is>
      </c>
      <c r="F61" s="42" t="n">
        <v>49</v>
      </c>
      <c r="G61" s="42" t="n">
        <v>85</v>
      </c>
      <c r="H61" s="42" t="n">
        <v>60.9</v>
      </c>
      <c r="I61" s="42" t="n">
        <v>9.699999999999999</v>
      </c>
      <c r="J61" s="41" t="inlineStr">
        <is>
          <t>-</t>
        </is>
      </c>
      <c r="K61">
        <f>LEFT(E61,2)</f>
        <v/>
      </c>
    </row>
    <row r="62" ht="13" customHeight="1" s="54">
      <c r="A62" s="38" t="n">
        <v>61</v>
      </c>
      <c r="B62" s="39" t="n">
        <v>7</v>
      </c>
      <c r="C62" s="41" t="inlineStr">
        <is>
          <t>Quinshon Judkins</t>
        </is>
      </c>
      <c r="D62" s="41" t="inlineStr">
        <is>
          <t>CLE</t>
        </is>
      </c>
      <c r="E62" s="41" t="inlineStr">
        <is>
          <t>RB23</t>
        </is>
      </c>
      <c r="F62" s="42" t="n">
        <v>55</v>
      </c>
      <c r="G62" s="42" t="n">
        <v>71</v>
      </c>
      <c r="H62" s="42" t="n">
        <v>61.4</v>
      </c>
      <c r="I62" s="42" t="n">
        <v>3.7</v>
      </c>
      <c r="J62" s="41" t="inlineStr">
        <is>
          <t>-</t>
        </is>
      </c>
      <c r="K62">
        <f>LEFT(E62,2)</f>
        <v/>
      </c>
    </row>
    <row r="63" ht="13" customHeight="1" s="54">
      <c r="A63" s="38" t="n">
        <v>62</v>
      </c>
      <c r="B63" s="39" t="n">
        <v>7</v>
      </c>
      <c r="C63" s="41" t="inlineStr">
        <is>
          <t>Makai Lemon</t>
        </is>
      </c>
      <c r="D63" s="41" t="inlineStr">
        <is>
          <t>FA</t>
        </is>
      </c>
      <c r="E63" s="41" t="inlineStr">
        <is>
          <t>WR29</t>
        </is>
      </c>
      <c r="F63" s="42" t="n">
        <v>24</v>
      </c>
      <c r="G63" s="42" t="n">
        <v>89</v>
      </c>
      <c r="H63" s="42" t="n">
        <v>61.5</v>
      </c>
      <c r="I63" s="42" t="n">
        <v>19</v>
      </c>
      <c r="J63" s="41" t="inlineStr">
        <is>
          <t>-</t>
        </is>
      </c>
      <c r="K63">
        <f>LEFT(E63,2)</f>
        <v/>
      </c>
    </row>
    <row r="64" ht="13" customHeight="1" s="54">
      <c r="A64" s="38" t="n">
        <v>63</v>
      </c>
      <c r="B64" s="39" t="n">
        <v>7</v>
      </c>
      <c r="C64" s="41" t="inlineStr">
        <is>
          <t>David Montgomery</t>
        </is>
      </c>
      <c r="D64" s="41" t="inlineStr">
        <is>
          <t>HOU</t>
        </is>
      </c>
      <c r="E64" s="41" t="inlineStr">
        <is>
          <t>RB24</t>
        </is>
      </c>
      <c r="F64" s="42" t="n">
        <v>49</v>
      </c>
      <c r="G64" s="42" t="n">
        <v>99</v>
      </c>
      <c r="H64" s="42" t="n">
        <v>62</v>
      </c>
      <c r="I64" s="42" t="n">
        <v>12.5</v>
      </c>
      <c r="J64" s="41" t="inlineStr">
        <is>
          <t>-</t>
        </is>
      </c>
      <c r="K64">
        <f>LEFT(E64,2)</f>
        <v/>
      </c>
    </row>
    <row r="65" ht="13" customHeight="1" s="54">
      <c r="A65" s="38" t="n">
        <v>64</v>
      </c>
      <c r="B65" s="39" t="n">
        <v>7</v>
      </c>
      <c r="C65" s="41" t="inlineStr">
        <is>
          <t>DJ Moore</t>
        </is>
      </c>
      <c r="D65" s="41" t="inlineStr">
        <is>
          <t>BUF</t>
        </is>
      </c>
      <c r="E65" s="41" t="inlineStr">
        <is>
          <t>WR30</t>
        </is>
      </c>
      <c r="F65" s="42" t="n">
        <v>35</v>
      </c>
      <c r="G65" s="42" t="n">
        <v>101</v>
      </c>
      <c r="H65" s="42" t="n">
        <v>62.3</v>
      </c>
      <c r="I65" s="42" t="n">
        <v>17.9</v>
      </c>
      <c r="J65" s="41" t="inlineStr">
        <is>
          <t>-</t>
        </is>
      </c>
      <c r="K65">
        <f>LEFT(E65,2)</f>
        <v/>
      </c>
    </row>
    <row r="66" ht="13" customHeight="1" s="54">
      <c r="A66" s="38" t="n">
        <v>65</v>
      </c>
      <c r="B66" s="39" t="n">
        <v>7</v>
      </c>
      <c r="C66" s="41" t="inlineStr">
        <is>
          <t>Bhayshul Tuten</t>
        </is>
      </c>
      <c r="D66" s="41" t="inlineStr">
        <is>
          <t>JAC</t>
        </is>
      </c>
      <c r="E66" s="41" t="inlineStr">
        <is>
          <t>RB25</t>
        </is>
      </c>
      <c r="F66" s="42" t="n">
        <v>49</v>
      </c>
      <c r="G66" s="42" t="n">
        <v>85</v>
      </c>
      <c r="H66" s="42" t="n">
        <v>63.4</v>
      </c>
      <c r="I66" s="42" t="n">
        <v>10.4</v>
      </c>
      <c r="J66" s="41" t="inlineStr">
        <is>
          <t>-</t>
        </is>
      </c>
      <c r="K66">
        <f>LEFT(E66,2)</f>
        <v/>
      </c>
    </row>
    <row r="67" ht="13" customHeight="1" s="54">
      <c r="A67" s="38" t="n">
        <v>66</v>
      </c>
      <c r="B67" s="39" t="n">
        <v>7</v>
      </c>
      <c r="C67" s="41" t="inlineStr">
        <is>
          <t>Jordyn Tyson</t>
        </is>
      </c>
      <c r="D67" s="41" t="inlineStr">
        <is>
          <t>FA</t>
        </is>
      </c>
      <c r="E67" s="41" t="inlineStr">
        <is>
          <t>WR31</t>
        </is>
      </c>
      <c r="F67" s="42" t="n">
        <v>43</v>
      </c>
      <c r="G67" s="42" t="n">
        <v>98</v>
      </c>
      <c r="H67" s="42" t="n">
        <v>64.2</v>
      </c>
      <c r="I67" s="42" t="n">
        <v>18.8</v>
      </c>
      <c r="J67" s="41" t="inlineStr">
        <is>
          <t>-</t>
        </is>
      </c>
      <c r="K67">
        <f>LEFT(E67,2)</f>
        <v/>
      </c>
    </row>
    <row r="68" ht="13" customHeight="1" s="54">
      <c r="A68" s="38" t="n">
        <v>67</v>
      </c>
      <c r="B68" s="39" t="n">
        <v>7</v>
      </c>
      <c r="C68" s="41" t="inlineStr">
        <is>
          <t>Rome Odunze</t>
        </is>
      </c>
      <c r="D68" s="41" t="inlineStr">
        <is>
          <t>CHI</t>
        </is>
      </c>
      <c r="E68" s="41" t="inlineStr">
        <is>
          <t>WR32</t>
        </is>
      </c>
      <c r="F68" s="42" t="n">
        <v>38</v>
      </c>
      <c r="G68" s="42" t="n">
        <v>89</v>
      </c>
      <c r="H68" s="42" t="n">
        <v>67.3</v>
      </c>
      <c r="I68" s="42" t="n">
        <v>13.2</v>
      </c>
      <c r="J68" s="41" t="inlineStr">
        <is>
          <t>-</t>
        </is>
      </c>
      <c r="K68">
        <f>LEFT(E68,2)</f>
        <v/>
      </c>
    </row>
    <row r="69" ht="13" customHeight="1" s="54">
      <c r="A69" s="38" t="n">
        <v>68</v>
      </c>
      <c r="B69" s="39" t="n">
        <v>7</v>
      </c>
      <c r="C69" s="41" t="inlineStr">
        <is>
          <t>RJ Harvey</t>
        </is>
      </c>
      <c r="D69" s="41" t="inlineStr">
        <is>
          <t>DEN</t>
        </is>
      </c>
      <c r="E69" s="41" t="inlineStr">
        <is>
          <t>RB26</t>
        </is>
      </c>
      <c r="F69" s="42" t="n">
        <v>47</v>
      </c>
      <c r="G69" s="42" t="n">
        <v>92</v>
      </c>
      <c r="H69" s="42" t="n">
        <v>68.40000000000001</v>
      </c>
      <c r="I69" s="42" t="n">
        <v>12.1</v>
      </c>
      <c r="J69" s="41" t="inlineStr">
        <is>
          <t>-</t>
        </is>
      </c>
      <c r="K69">
        <f>LEFT(E69,2)</f>
        <v/>
      </c>
    </row>
    <row r="70" ht="13" customHeight="1" s="54">
      <c r="A70" s="38" t="n">
        <v>69</v>
      </c>
      <c r="B70" s="39" t="n">
        <v>7</v>
      </c>
      <c r="C70" s="41" t="inlineStr">
        <is>
          <t>Tyler Warren</t>
        </is>
      </c>
      <c r="D70" s="41" t="inlineStr">
        <is>
          <t>IND</t>
        </is>
      </c>
      <c r="E70" s="41" t="inlineStr">
        <is>
          <t>TE5</t>
        </is>
      </c>
      <c r="F70" s="42" t="n">
        <v>56</v>
      </c>
      <c r="G70" s="42" t="n">
        <v>76</v>
      </c>
      <c r="H70" s="42" t="n">
        <v>69.09999999999999</v>
      </c>
      <c r="I70" s="42" t="n">
        <v>5.3</v>
      </c>
      <c r="J70" s="41" t="inlineStr">
        <is>
          <t>-</t>
        </is>
      </c>
      <c r="K70">
        <f>LEFT(E70,2)</f>
        <v/>
      </c>
    </row>
    <row r="71" ht="13" customHeight="1" s="54">
      <c r="A71" s="38" t="n">
        <v>70</v>
      </c>
      <c r="B71" s="39" t="n">
        <v>7</v>
      </c>
      <c r="C71" s="41" t="inlineStr">
        <is>
          <t>Alec Pierce</t>
        </is>
      </c>
      <c r="D71" s="41" t="inlineStr">
        <is>
          <t>IND</t>
        </is>
      </c>
      <c r="E71" s="41" t="inlineStr">
        <is>
          <t>WR33</t>
        </is>
      </c>
      <c r="F71" s="42" t="n">
        <v>44</v>
      </c>
      <c r="G71" s="42" t="n">
        <v>83</v>
      </c>
      <c r="H71" s="42" t="n">
        <v>69.8</v>
      </c>
      <c r="I71" s="42" t="n">
        <v>11.6</v>
      </c>
      <c r="J71" s="41" t="inlineStr">
        <is>
          <t>-</t>
        </is>
      </c>
      <c r="K71">
        <f>LEFT(E71,2)</f>
        <v/>
      </c>
    </row>
    <row r="72" ht="13" customHeight="1" s="54">
      <c r="A72" s="38" t="n">
        <v>71</v>
      </c>
      <c r="B72" s="39" t="n">
        <v>7</v>
      </c>
      <c r="C72" s="41" t="inlineStr">
        <is>
          <t>Jaxson Dart</t>
        </is>
      </c>
      <c r="D72" s="41" t="inlineStr">
        <is>
          <t>NYG</t>
        </is>
      </c>
      <c r="E72" s="41" t="inlineStr">
        <is>
          <t>QB7</t>
        </is>
      </c>
      <c r="F72" s="42" t="n">
        <v>62</v>
      </c>
      <c r="G72" s="42" t="n">
        <v>97</v>
      </c>
      <c r="H72" s="42" t="n">
        <v>69.90000000000001</v>
      </c>
      <c r="I72" s="42" t="n">
        <v>10.3</v>
      </c>
      <c r="J72" s="41" t="inlineStr">
        <is>
          <t>-</t>
        </is>
      </c>
      <c r="K72">
        <f>LEFT(E72,2)</f>
        <v/>
      </c>
    </row>
    <row r="73" ht="13" customHeight="1" s="54">
      <c r="A73" s="38" t="n">
        <v>72</v>
      </c>
      <c r="B73" s="39" t="n">
        <v>7</v>
      </c>
      <c r="C73" s="41" t="inlineStr">
        <is>
          <t>Caleb Williams</t>
        </is>
      </c>
      <c r="D73" s="41" t="inlineStr">
        <is>
          <t>CHI</t>
        </is>
      </c>
      <c r="E73" s="41" t="inlineStr">
        <is>
          <t>QB8</t>
        </is>
      </c>
      <c r="F73" s="42" t="n">
        <v>58</v>
      </c>
      <c r="G73" s="42" t="n">
        <v>100</v>
      </c>
      <c r="H73" s="42" t="n">
        <v>71.3</v>
      </c>
      <c r="I73" s="42" t="n">
        <v>11.3</v>
      </c>
      <c r="J73" s="41" t="inlineStr">
        <is>
          <t>-</t>
        </is>
      </c>
      <c r="K73">
        <f>LEFT(E73,2)</f>
        <v/>
      </c>
    </row>
    <row r="74" ht="13" customHeight="1" s="54">
      <c r="A74" s="38" t="n">
        <v>73</v>
      </c>
      <c r="B74" s="39" t="n">
        <v>8</v>
      </c>
      <c r="C74" s="41" t="inlineStr">
        <is>
          <t>Jaylen Warren</t>
        </is>
      </c>
      <c r="D74" s="41" t="inlineStr">
        <is>
          <t>PIT</t>
        </is>
      </c>
      <c r="E74" s="41" t="inlineStr">
        <is>
          <t>RB27</t>
        </is>
      </c>
      <c r="F74" s="42" t="n">
        <v>64</v>
      </c>
      <c r="G74" s="42" t="n">
        <v>87</v>
      </c>
      <c r="H74" s="42" t="n">
        <v>72.8</v>
      </c>
      <c r="I74" s="42" t="n">
        <v>7.6</v>
      </c>
      <c r="J74" s="41" t="inlineStr">
        <is>
          <t>-</t>
        </is>
      </c>
      <c r="K74">
        <f>LEFT(E74,2)</f>
        <v/>
      </c>
    </row>
    <row r="75" ht="13" customHeight="1" s="54">
      <c r="A75" s="38" t="n">
        <v>74</v>
      </c>
      <c r="B75" s="39" t="n">
        <v>8</v>
      </c>
      <c r="C75" s="41" t="inlineStr">
        <is>
          <t>Courtland Sutton</t>
        </is>
      </c>
      <c r="D75" s="41" t="inlineStr">
        <is>
          <t>DEN</t>
        </is>
      </c>
      <c r="E75" s="41" t="inlineStr">
        <is>
          <t>WR34</t>
        </is>
      </c>
      <c r="F75" s="42" t="n">
        <v>54</v>
      </c>
      <c r="G75" s="42" t="n">
        <v>91</v>
      </c>
      <c r="H75" s="42" t="n">
        <v>73.90000000000001</v>
      </c>
      <c r="I75" s="42" t="n">
        <v>10.4</v>
      </c>
      <c r="J75" s="41" t="inlineStr">
        <is>
          <t>-</t>
        </is>
      </c>
      <c r="K75">
        <f>LEFT(E75,2)</f>
        <v/>
      </c>
    </row>
    <row r="76" ht="13" customHeight="1" s="54">
      <c r="A76" s="38" t="n">
        <v>75</v>
      </c>
      <c r="B76" s="39" t="n">
        <v>8</v>
      </c>
      <c r="C76" s="41" t="inlineStr">
        <is>
          <t>Harold Fannin Jr.</t>
        </is>
      </c>
      <c r="D76" s="41" t="inlineStr">
        <is>
          <t>CLE</t>
        </is>
      </c>
      <c r="E76" s="41" t="inlineStr">
        <is>
          <t>TE6</t>
        </is>
      </c>
      <c r="F76" s="42" t="n">
        <v>56</v>
      </c>
      <c r="G76" s="42" t="n">
        <v>84</v>
      </c>
      <c r="H76" s="42" t="n">
        <v>74</v>
      </c>
      <c r="I76" s="42" t="n">
        <v>7.3</v>
      </c>
      <c r="J76" s="41" t="inlineStr">
        <is>
          <t>-</t>
        </is>
      </c>
      <c r="K76">
        <f>LEFT(E76,2)</f>
        <v/>
      </c>
    </row>
    <row r="77" ht="13" customHeight="1" s="54">
      <c r="A77" s="38" t="n">
        <v>76</v>
      </c>
      <c r="B77" s="39" t="n">
        <v>8</v>
      </c>
      <c r="C77" s="41" t="inlineStr">
        <is>
          <t>DK Metcalf</t>
        </is>
      </c>
      <c r="D77" s="41" t="inlineStr">
        <is>
          <t>PIT</t>
        </is>
      </c>
      <c r="E77" s="41" t="inlineStr">
        <is>
          <t>WR35</t>
        </is>
      </c>
      <c r="F77" s="42" t="n">
        <v>59</v>
      </c>
      <c r="G77" s="42" t="n">
        <v>89</v>
      </c>
      <c r="H77" s="42" t="n">
        <v>75.5</v>
      </c>
      <c r="I77" s="42" t="n">
        <v>8.6</v>
      </c>
      <c r="J77" s="41" t="inlineStr">
        <is>
          <t>-</t>
        </is>
      </c>
      <c r="K77">
        <f>LEFT(E77,2)</f>
        <v/>
      </c>
    </row>
    <row r="78" ht="13" customHeight="1" s="54">
      <c r="A78" s="38" t="n">
        <v>77</v>
      </c>
      <c r="B78" s="39" t="n">
        <v>8</v>
      </c>
      <c r="C78" s="41" t="inlineStr">
        <is>
          <t>Justin Herbert</t>
        </is>
      </c>
      <c r="D78" s="41" t="inlineStr">
        <is>
          <t>LAC</t>
        </is>
      </c>
      <c r="E78" s="41" t="inlineStr">
        <is>
          <t>QB9</t>
        </is>
      </c>
      <c r="F78" s="42" t="n">
        <v>58</v>
      </c>
      <c r="G78" s="42" t="n">
        <v>100</v>
      </c>
      <c r="H78" s="42" t="n">
        <v>75.90000000000001</v>
      </c>
      <c r="I78" s="42" t="n">
        <v>13.5</v>
      </c>
      <c r="J78" s="41" t="inlineStr">
        <is>
          <t>-</t>
        </is>
      </c>
      <c r="K78">
        <f>LEFT(E78,2)</f>
        <v/>
      </c>
    </row>
    <row r="79" ht="13" customHeight="1" s="54">
      <c r="A79" s="38" t="n">
        <v>78</v>
      </c>
      <c r="B79" s="39" t="n">
        <v>8</v>
      </c>
      <c r="C79" s="41" t="inlineStr">
        <is>
          <t>Kyle Monangai</t>
        </is>
      </c>
      <c r="D79" s="41" t="inlineStr">
        <is>
          <t>CHI</t>
        </is>
      </c>
      <c r="E79" s="41" t="inlineStr">
        <is>
          <t>RB28</t>
        </is>
      </c>
      <c r="F79" s="42" t="n">
        <v>66</v>
      </c>
      <c r="G79" s="42" t="n">
        <v>92</v>
      </c>
      <c r="H79" s="42" t="n">
        <v>76.3</v>
      </c>
      <c r="I79" s="42" t="n">
        <v>7.1</v>
      </c>
      <c r="J79" s="41" t="inlineStr">
        <is>
          <t>-</t>
        </is>
      </c>
      <c r="K79">
        <f>LEFT(E79,2)</f>
        <v/>
      </c>
    </row>
    <row r="80" ht="13" customHeight="1" s="54">
      <c r="A80" s="38" t="n">
        <v>79</v>
      </c>
      <c r="B80" s="39" t="n">
        <v>8</v>
      </c>
      <c r="C80" s="41" t="inlineStr">
        <is>
          <t>Blake Corum</t>
        </is>
      </c>
      <c r="D80" s="41" t="inlineStr">
        <is>
          <t>LAR</t>
        </is>
      </c>
      <c r="E80" s="41" t="inlineStr">
        <is>
          <t>RB29</t>
        </is>
      </c>
      <c r="F80" s="42" t="n">
        <v>71</v>
      </c>
      <c r="G80" s="42" t="n">
        <v>99</v>
      </c>
      <c r="H80" s="42" t="n">
        <v>80.2</v>
      </c>
      <c r="I80" s="42" t="n">
        <v>9.199999999999999</v>
      </c>
      <c r="J80" s="41" t="inlineStr">
        <is>
          <t>-</t>
        </is>
      </c>
      <c r="K80">
        <f>LEFT(E80,2)</f>
        <v/>
      </c>
    </row>
    <row r="81" ht="13" customHeight="1" s="54">
      <c r="A81" s="38" t="n">
        <v>80</v>
      </c>
      <c r="B81" s="39" t="n">
        <v>8</v>
      </c>
      <c r="C81" s="41" t="inlineStr">
        <is>
          <t>Rico Dowdle</t>
        </is>
      </c>
      <c r="D81" s="41" t="inlineStr">
        <is>
          <t>PIT</t>
        </is>
      </c>
      <c r="E81" s="41" t="inlineStr">
        <is>
          <t>RB30</t>
        </is>
      </c>
      <c r="F81" s="42" t="n">
        <v>66</v>
      </c>
      <c r="G81" s="42" t="n">
        <v>99</v>
      </c>
      <c r="H81" s="42" t="n">
        <v>81.40000000000001</v>
      </c>
      <c r="I81" s="42" t="n">
        <v>8</v>
      </c>
      <c r="J81" s="41" t="inlineStr">
        <is>
          <t>-</t>
        </is>
      </c>
      <c r="K81">
        <f>LEFT(E81,2)</f>
        <v/>
      </c>
    </row>
    <row r="82" ht="13" customHeight="1" s="54">
      <c r="A82" s="38" t="n">
        <v>81</v>
      </c>
      <c r="B82" s="39" t="n">
        <v>8</v>
      </c>
      <c r="C82" s="41" t="inlineStr">
        <is>
          <t>Marvin Harrison Jr.</t>
        </is>
      </c>
      <c r="D82" s="41" t="inlineStr">
        <is>
          <t>ARI</t>
        </is>
      </c>
      <c r="E82" s="41" t="inlineStr">
        <is>
          <t>WR36</t>
        </is>
      </c>
      <c r="F82" s="42" t="n">
        <v>61</v>
      </c>
      <c r="G82" s="42" t="n">
        <v>98</v>
      </c>
      <c r="H82" s="42" t="n">
        <v>82</v>
      </c>
      <c r="I82" s="42" t="n">
        <v>9.300000000000001</v>
      </c>
      <c r="J82" s="41" t="inlineStr">
        <is>
          <t>-</t>
        </is>
      </c>
      <c r="K82">
        <f>LEFT(E82,2)</f>
        <v/>
      </c>
    </row>
    <row r="83" ht="13" customHeight="1" s="54">
      <c r="A83" s="38" t="n">
        <v>82</v>
      </c>
      <c r="B83" s="39" t="n">
        <v>8</v>
      </c>
      <c r="C83" s="41" t="inlineStr">
        <is>
          <t>Rhamondre Stevenson</t>
        </is>
      </c>
      <c r="D83" s="41" t="inlineStr">
        <is>
          <t>NE</t>
        </is>
      </c>
      <c r="E83" s="41" t="inlineStr">
        <is>
          <t>RB31</t>
        </is>
      </c>
      <c r="F83" s="42" t="n">
        <v>66</v>
      </c>
      <c r="G83" s="42" t="n">
        <v>99</v>
      </c>
      <c r="H83" s="42" t="n">
        <v>82.5</v>
      </c>
      <c r="I83" s="42" t="n">
        <v>9.9</v>
      </c>
      <c r="J83" s="41" t="inlineStr">
        <is>
          <t>-</t>
        </is>
      </c>
      <c r="K83">
        <f>LEFT(E83,2)</f>
        <v/>
      </c>
    </row>
    <row r="84" ht="13" customHeight="1" s="54">
      <c r="A84" s="38" t="n">
        <v>83</v>
      </c>
      <c r="B84" s="39" t="n">
        <v>8</v>
      </c>
      <c r="C84" s="41" t="inlineStr">
        <is>
          <t>Sam LaPorta</t>
        </is>
      </c>
      <c r="D84" s="41" t="inlineStr">
        <is>
          <t>DET</t>
        </is>
      </c>
      <c r="E84" s="41" t="inlineStr">
        <is>
          <t>TE7</t>
        </is>
      </c>
      <c r="F84" s="42" t="n">
        <v>76</v>
      </c>
      <c r="G84" s="42" t="n">
        <v>86</v>
      </c>
      <c r="H84" s="42" t="n">
        <v>83.59999999999999</v>
      </c>
      <c r="I84" s="42" t="n">
        <v>2</v>
      </c>
      <c r="J84" s="41" t="inlineStr">
        <is>
          <t>-</t>
        </is>
      </c>
      <c r="K84">
        <f>LEFT(E84,2)</f>
        <v/>
      </c>
    </row>
    <row r="85" ht="13" customHeight="1" s="54">
      <c r="A85" s="38" t="n">
        <v>84</v>
      </c>
      <c r="B85" s="39" t="n">
        <v>8</v>
      </c>
      <c r="C85" s="41" t="inlineStr">
        <is>
          <t>Trevor Lawrence</t>
        </is>
      </c>
      <c r="D85" s="41" t="inlineStr">
        <is>
          <t>JAC</t>
        </is>
      </c>
      <c r="E85" s="41" t="inlineStr">
        <is>
          <t>QB10</t>
        </is>
      </c>
      <c r="F85" s="42" t="n">
        <v>62</v>
      </c>
      <c r="G85" s="42" t="n">
        <v>103</v>
      </c>
      <c r="H85" s="42" t="n">
        <v>84.09999999999999</v>
      </c>
      <c r="I85" s="42" t="n">
        <v>12.2</v>
      </c>
      <c r="J85" s="41" t="inlineStr">
        <is>
          <t>-</t>
        </is>
      </c>
      <c r="K85">
        <f>LEFT(E85,2)</f>
        <v/>
      </c>
    </row>
    <row r="86" ht="13" customHeight="1" s="54">
      <c r="A86" s="38" t="n">
        <v>85</v>
      </c>
      <c r="B86" s="39" t="n">
        <v>8</v>
      </c>
      <c r="C86" s="41" t="inlineStr">
        <is>
          <t>Kyle Pitts Sr.</t>
        </is>
      </c>
      <c r="D86" s="41" t="inlineStr">
        <is>
          <t>ATL</t>
        </is>
      </c>
      <c r="E86" s="41" t="inlineStr">
        <is>
          <t>TE8</t>
        </is>
      </c>
      <c r="F86" s="42" t="n">
        <v>76</v>
      </c>
      <c r="G86" s="42" t="n">
        <v>94</v>
      </c>
      <c r="H86" s="42" t="n">
        <v>86.90000000000001</v>
      </c>
      <c r="I86" s="42" t="n">
        <v>4.2</v>
      </c>
      <c r="J86" s="41" t="inlineStr">
        <is>
          <t>-</t>
        </is>
      </c>
      <c r="K86">
        <f>LEFT(E86,2)</f>
        <v/>
      </c>
    </row>
    <row r="87" ht="13" customHeight="1" s="54">
      <c r="A87" s="38" t="n">
        <v>86</v>
      </c>
      <c r="B87" s="39" t="n">
        <v>8</v>
      </c>
      <c r="C87" s="41" t="inlineStr">
        <is>
          <t>Dak Prescott</t>
        </is>
      </c>
      <c r="D87" s="41" t="inlineStr">
        <is>
          <t>DAL</t>
        </is>
      </c>
      <c r="E87" s="41" t="inlineStr">
        <is>
          <t>QB11</t>
        </is>
      </c>
      <c r="F87" s="42" t="n">
        <v>62</v>
      </c>
      <c r="G87" s="42" t="n">
        <v>100</v>
      </c>
      <c r="H87" s="42" t="n">
        <v>88.09999999999999</v>
      </c>
      <c r="I87" s="42" t="n">
        <v>11.8</v>
      </c>
      <c r="J87" s="41" t="inlineStr">
        <is>
          <t>-</t>
        </is>
      </c>
      <c r="K87">
        <f>LEFT(E87,2)</f>
        <v/>
      </c>
    </row>
    <row r="88" ht="13" customHeight="1" s="54">
      <c r="A88" s="38" t="n">
        <v>87</v>
      </c>
      <c r="B88" s="39" t="n">
        <v>8</v>
      </c>
      <c r="C88" s="41" t="inlineStr">
        <is>
          <t>Tyler Allgeier</t>
        </is>
      </c>
      <c r="D88" s="41" t="inlineStr">
        <is>
          <t>ARI</t>
        </is>
      </c>
      <c r="E88" s="41" t="inlineStr">
        <is>
          <t>RB32</t>
        </is>
      </c>
      <c r="F88" s="42" t="n">
        <v>66</v>
      </c>
      <c r="G88" s="42" t="n">
        <v>113</v>
      </c>
      <c r="H88" s="42" t="n">
        <v>89.90000000000001</v>
      </c>
      <c r="I88" s="42" t="n">
        <v>13.7</v>
      </c>
      <c r="J88" s="41" t="inlineStr">
        <is>
          <t>-</t>
        </is>
      </c>
      <c r="K88">
        <f>LEFT(E88,2)</f>
        <v/>
      </c>
    </row>
    <row r="89" ht="13" customHeight="1" s="54">
      <c r="A89" s="38" t="n">
        <v>88</v>
      </c>
      <c r="B89" s="39" t="n">
        <v>8</v>
      </c>
      <c r="C89" s="41" t="inlineStr">
        <is>
          <t>Brian Thomas Jr.</t>
        </is>
      </c>
      <c r="D89" s="41" t="inlineStr">
        <is>
          <t>JAC</t>
        </is>
      </c>
      <c r="E89" s="41" t="inlineStr">
        <is>
          <t>WR37</t>
        </is>
      </c>
      <c r="F89" s="42" t="n">
        <v>69</v>
      </c>
      <c r="G89" s="42" t="n">
        <v>114</v>
      </c>
      <c r="H89" s="42" t="n">
        <v>89.90000000000001</v>
      </c>
      <c r="I89" s="42" t="n">
        <v>12.3</v>
      </c>
      <c r="J89" s="41" t="inlineStr">
        <is>
          <t>-</t>
        </is>
      </c>
      <c r="K89">
        <f>LEFT(E89,2)</f>
        <v/>
      </c>
    </row>
    <row r="90" ht="13" customHeight="1" s="54">
      <c r="A90" s="38" t="n">
        <v>89</v>
      </c>
      <c r="B90" s="39" t="n">
        <v>8</v>
      </c>
      <c r="C90" s="41" t="inlineStr">
        <is>
          <t>Tony Pollard</t>
        </is>
      </c>
      <c r="D90" s="41" t="inlineStr">
        <is>
          <t>TEN</t>
        </is>
      </c>
      <c r="E90" s="41" t="inlineStr">
        <is>
          <t>RB33</t>
        </is>
      </c>
      <c r="F90" s="42" t="n">
        <v>66</v>
      </c>
      <c r="G90" s="42" t="n">
        <v>113</v>
      </c>
      <c r="H90" s="42" t="n">
        <v>90.2</v>
      </c>
      <c r="I90" s="42" t="n">
        <v>12.9</v>
      </c>
      <c r="J90" s="41" t="inlineStr">
        <is>
          <t>-</t>
        </is>
      </c>
      <c r="K90">
        <f>LEFT(E90,2)</f>
        <v/>
      </c>
    </row>
    <row r="91" ht="13" customHeight="1" s="54">
      <c r="A91" s="38" t="n">
        <v>90</v>
      </c>
      <c r="B91" s="39" t="n">
        <v>8</v>
      </c>
      <c r="C91" s="41" t="inlineStr">
        <is>
          <t>Brock Purdy</t>
        </is>
      </c>
      <c r="D91" s="41" t="inlineStr">
        <is>
          <t>SF</t>
        </is>
      </c>
      <c r="E91" s="41" t="inlineStr">
        <is>
          <t>QB12</t>
        </is>
      </c>
      <c r="F91" s="42" t="n">
        <v>73</v>
      </c>
      <c r="G91" s="42" t="n">
        <v>103</v>
      </c>
      <c r="H91" s="42" t="n">
        <v>90.7</v>
      </c>
      <c r="I91" s="42" t="n">
        <v>10.2</v>
      </c>
      <c r="J91" s="41" t="inlineStr">
        <is>
          <t>-</t>
        </is>
      </c>
      <c r="K91">
        <f>LEFT(E91,2)</f>
        <v/>
      </c>
    </row>
    <row r="92" ht="13" customHeight="1" s="54">
      <c r="A92" s="43" t="n"/>
      <c r="B92" s="39" t="n">
        <v>8</v>
      </c>
      <c r="C92" s="41" t="n"/>
      <c r="D92" s="41" t="n"/>
      <c r="E92" s="41" t="n"/>
      <c r="F92" s="41" t="n"/>
      <c r="G92" s="41" t="n"/>
      <c r="H92" s="41" t="n"/>
      <c r="I92" s="41" t="n"/>
      <c r="J92" s="41" t="n"/>
      <c r="K92">
        <f>LEFT(E92,2)</f>
        <v/>
      </c>
    </row>
    <row r="93" ht="13" customHeight="1" s="54">
      <c r="A93" s="38" t="n">
        <v>91</v>
      </c>
      <c r="B93" s="39" t="n">
        <v>8</v>
      </c>
      <c r="C93" s="41" t="inlineStr">
        <is>
          <t>Patrick Mahomes II</t>
        </is>
      </c>
      <c r="D93" s="41" t="inlineStr">
        <is>
          <t>KC</t>
        </is>
      </c>
      <c r="E93" s="41" t="inlineStr">
        <is>
          <t>QB13</t>
        </is>
      </c>
      <c r="F93" s="42" t="n">
        <v>73</v>
      </c>
      <c r="G93" s="42" t="n">
        <v>104</v>
      </c>
      <c r="H93" s="42" t="n">
        <v>92.09999999999999</v>
      </c>
      <c r="I93" s="42" t="n">
        <v>11.3</v>
      </c>
      <c r="J93" s="41" t="inlineStr">
        <is>
          <t>-</t>
        </is>
      </c>
      <c r="K93">
        <f>LEFT(E93,2)</f>
        <v/>
      </c>
    </row>
    <row r="94" ht="13" customHeight="1" s="54">
      <c r="A94" s="38" t="n">
        <v>92</v>
      </c>
      <c r="B94" s="39" t="n">
        <v>8</v>
      </c>
      <c r="C94" s="41" t="inlineStr">
        <is>
          <t>Chuba Hubbard</t>
        </is>
      </c>
      <c r="D94" s="41" t="inlineStr">
        <is>
          <t>CAR</t>
        </is>
      </c>
      <c r="E94" s="41" t="inlineStr">
        <is>
          <t>RB34</t>
        </is>
      </c>
      <c r="F94" s="42" t="n">
        <v>66</v>
      </c>
      <c r="G94" s="42" t="n">
        <v>117</v>
      </c>
      <c r="H94" s="42" t="n">
        <v>92.3</v>
      </c>
      <c r="I94" s="42" t="n">
        <v>15.1</v>
      </c>
      <c r="J94" s="41" t="inlineStr">
        <is>
          <t>-</t>
        </is>
      </c>
      <c r="K94">
        <f>LEFT(E94,2)</f>
        <v/>
      </c>
    </row>
    <row r="95" ht="13" customHeight="1" s="54">
      <c r="A95" s="38" t="n">
        <v>93</v>
      </c>
      <c r="B95" s="39" t="n">
        <v>8</v>
      </c>
      <c r="C95" s="41" t="inlineStr">
        <is>
          <t>Michael Wilson</t>
        </is>
      </c>
      <c r="D95" s="41" t="inlineStr">
        <is>
          <t>ARI</t>
        </is>
      </c>
      <c r="E95" s="41" t="inlineStr">
        <is>
          <t>WR38</t>
        </is>
      </c>
      <c r="F95" s="42" t="n">
        <v>74</v>
      </c>
      <c r="G95" s="42" t="n">
        <v>120</v>
      </c>
      <c r="H95" s="42" t="n">
        <v>92.8</v>
      </c>
      <c r="I95" s="42" t="n">
        <v>13.1</v>
      </c>
      <c r="J95" s="41" t="inlineStr">
        <is>
          <t>-</t>
        </is>
      </c>
      <c r="K95">
        <f>LEFT(E95,2)</f>
        <v/>
      </c>
    </row>
    <row r="96" ht="13" customHeight="1" s="54">
      <c r="A96" s="38" t="n">
        <v>94</v>
      </c>
      <c r="B96" s="39" t="n">
        <v>8</v>
      </c>
      <c r="C96" s="41" t="inlineStr">
        <is>
          <t>Jordan Addison</t>
        </is>
      </c>
      <c r="D96" s="41" t="inlineStr">
        <is>
          <t>MIN</t>
        </is>
      </c>
      <c r="E96" s="41" t="inlineStr">
        <is>
          <t>WR39</t>
        </is>
      </c>
      <c r="F96" s="42" t="n">
        <v>81</v>
      </c>
      <c r="G96" s="42" t="n">
        <v>116</v>
      </c>
      <c r="H96" s="42" t="n">
        <v>94.09999999999999</v>
      </c>
      <c r="I96" s="42" t="n">
        <v>8.699999999999999</v>
      </c>
      <c r="J96" s="41" t="inlineStr">
        <is>
          <t>-</t>
        </is>
      </c>
      <c r="K96">
        <f>LEFT(E96,2)</f>
        <v/>
      </c>
    </row>
    <row r="97" ht="13" customHeight="1" s="54">
      <c r="A97" s="38" t="n">
        <v>95</v>
      </c>
      <c r="B97" s="39" t="n">
        <v>9</v>
      </c>
      <c r="C97" s="41" t="inlineStr">
        <is>
          <t>Zach Charbonnet</t>
        </is>
      </c>
      <c r="D97" s="41" t="inlineStr">
        <is>
          <t>SEA</t>
        </is>
      </c>
      <c r="E97" s="41" t="inlineStr">
        <is>
          <t>RB35</t>
        </is>
      </c>
      <c r="F97" s="42" t="n">
        <v>60</v>
      </c>
      <c r="G97" s="42" t="n">
        <v>163</v>
      </c>
      <c r="H97" s="42" t="n">
        <v>95.2</v>
      </c>
      <c r="I97" s="42" t="n">
        <v>20.9</v>
      </c>
      <c r="J97" s="41" t="inlineStr">
        <is>
          <t>-</t>
        </is>
      </c>
      <c r="K97">
        <f>LEFT(E97,2)</f>
        <v/>
      </c>
    </row>
    <row r="98" ht="13" customHeight="1" s="54">
      <c r="A98" s="38" t="n">
        <v>96</v>
      </c>
      <c r="B98" s="39" t="n">
        <v>9</v>
      </c>
      <c r="C98" s="41" t="inlineStr">
        <is>
          <t>Chris Godwin Jr.</t>
        </is>
      </c>
      <c r="D98" s="41" t="inlineStr">
        <is>
          <t>TB</t>
        </is>
      </c>
      <c r="E98" s="41" t="inlineStr">
        <is>
          <t>WR40</t>
        </is>
      </c>
      <c r="F98" s="42" t="n">
        <v>80</v>
      </c>
      <c r="G98" s="42" t="n">
        <v>115</v>
      </c>
      <c r="H98" s="42" t="n">
        <v>96.8</v>
      </c>
      <c r="I98" s="42" t="n">
        <v>10.6</v>
      </c>
      <c r="J98" s="41" t="inlineStr">
        <is>
          <t>-</t>
        </is>
      </c>
      <c r="K98">
        <f>LEFT(E98,2)</f>
        <v/>
      </c>
    </row>
    <row r="99" ht="13" customHeight="1" s="54">
      <c r="A99" s="38" t="n">
        <v>97</v>
      </c>
      <c r="B99" s="39" t="n">
        <v>9</v>
      </c>
      <c r="C99" s="41" t="inlineStr">
        <is>
          <t>J.K. Dobbins</t>
        </is>
      </c>
      <c r="D99" s="41" t="inlineStr">
        <is>
          <t>DEN</t>
        </is>
      </c>
      <c r="E99" s="41" t="inlineStr">
        <is>
          <t>RB36</t>
        </is>
      </c>
      <c r="F99" s="42" t="n">
        <v>64</v>
      </c>
      <c r="G99" s="42" t="n">
        <v>140</v>
      </c>
      <c r="H99" s="42" t="n">
        <v>101</v>
      </c>
      <c r="I99" s="42" t="n">
        <v>22.4</v>
      </c>
      <c r="J99" s="41" t="inlineStr">
        <is>
          <t>-</t>
        </is>
      </c>
      <c r="K99">
        <f>LEFT(E99,2)</f>
        <v/>
      </c>
    </row>
    <row r="100" ht="13" customHeight="1" s="54">
      <c r="A100" s="38" t="n">
        <v>98</v>
      </c>
      <c r="B100" s="39" t="n">
        <v>9</v>
      </c>
      <c r="C100" s="41" t="inlineStr">
        <is>
          <t>Dalton Kincaid</t>
        </is>
      </c>
      <c r="D100" s="41" t="inlineStr">
        <is>
          <t>BUF</t>
        </is>
      </c>
      <c r="E100" s="41" t="inlineStr">
        <is>
          <t>TE9</t>
        </is>
      </c>
      <c r="F100" s="42" t="n">
        <v>94</v>
      </c>
      <c r="G100" s="42" t="n">
        <v>130</v>
      </c>
      <c r="H100" s="42" t="n">
        <v>101</v>
      </c>
      <c r="I100" s="42" t="n">
        <v>12.9</v>
      </c>
      <c r="J100" s="41" t="inlineStr">
        <is>
          <t>-</t>
        </is>
      </c>
      <c r="K100">
        <f>LEFT(E100,2)</f>
        <v/>
      </c>
    </row>
    <row r="101" ht="13" customHeight="1" s="54">
      <c r="A101" s="38" t="n">
        <v>99</v>
      </c>
      <c r="B101" s="39" t="n">
        <v>9</v>
      </c>
      <c r="C101" s="41" t="inlineStr">
        <is>
          <t>Jacory Croskey-Merritt</t>
        </is>
      </c>
      <c r="D101" s="41" t="inlineStr">
        <is>
          <t>WAS</t>
        </is>
      </c>
      <c r="E101" s="41" t="inlineStr">
        <is>
          <t>RB37</t>
        </is>
      </c>
      <c r="F101" s="42" t="n">
        <v>87</v>
      </c>
      <c r="G101" s="42" t="n">
        <v>121</v>
      </c>
      <c r="H101" s="42" t="n">
        <v>104</v>
      </c>
      <c r="I101" s="42" t="n">
        <v>10.3</v>
      </c>
      <c r="J101" s="41" t="inlineStr">
        <is>
          <t>-</t>
        </is>
      </c>
      <c r="K101">
        <f>LEFT(E101,2)</f>
        <v/>
      </c>
    </row>
    <row r="102" ht="13" customHeight="1" s="54">
      <c r="A102" s="38" t="n">
        <v>100</v>
      </c>
      <c r="B102" s="39" t="n">
        <v>9</v>
      </c>
      <c r="C102" s="41" t="inlineStr">
        <is>
          <t>Bo Nix</t>
        </is>
      </c>
      <c r="D102" s="41" t="inlineStr">
        <is>
          <t>DEN</t>
        </is>
      </c>
      <c r="E102" s="41" t="inlineStr">
        <is>
          <t>QB14</t>
        </is>
      </c>
      <c r="F102" s="42" t="n">
        <v>97</v>
      </c>
      <c r="G102" s="42" t="n">
        <v>112</v>
      </c>
      <c r="H102" s="42" t="n">
        <v>104</v>
      </c>
      <c r="I102" s="42" t="n">
        <v>4.3</v>
      </c>
      <c r="J102" s="41" t="inlineStr">
        <is>
          <t>-</t>
        </is>
      </c>
      <c r="K102">
        <f>LEFT(E102,2)</f>
        <v/>
      </c>
    </row>
    <row r="103" ht="13" customHeight="1" s="54">
      <c r="A103" s="38" t="n">
        <v>101</v>
      </c>
      <c r="B103" s="39" t="n">
        <v>9</v>
      </c>
      <c r="C103" s="41" t="inlineStr">
        <is>
          <t>Matthew Stafford</t>
        </is>
      </c>
      <c r="D103" s="41" t="inlineStr">
        <is>
          <t>LAR</t>
        </is>
      </c>
      <c r="E103" s="41" t="inlineStr">
        <is>
          <t>QB15</t>
        </is>
      </c>
      <c r="F103" s="42" t="n">
        <v>90</v>
      </c>
      <c r="G103" s="42" t="n">
        <v>118</v>
      </c>
      <c r="H103" s="42" t="n">
        <v>104</v>
      </c>
      <c r="I103" s="42" t="n">
        <v>5.6</v>
      </c>
      <c r="J103" s="41" t="inlineStr">
        <is>
          <t>-</t>
        </is>
      </c>
      <c r="K103">
        <f>LEFT(E103,2)</f>
        <v/>
      </c>
    </row>
    <row r="104" ht="13" customHeight="1" s="54">
      <c r="A104" s="38" t="n">
        <v>102</v>
      </c>
      <c r="B104" s="39" t="n">
        <v>9</v>
      </c>
      <c r="C104" s="41" t="inlineStr">
        <is>
          <t>Ricky Pearsall</t>
        </is>
      </c>
      <c r="D104" s="41" t="inlineStr">
        <is>
          <t>SF</t>
        </is>
      </c>
      <c r="E104" s="41" t="inlineStr">
        <is>
          <t>WR41</t>
        </is>
      </c>
      <c r="F104" s="42" t="n">
        <v>91</v>
      </c>
      <c r="G104" s="42" t="n">
        <v>122</v>
      </c>
      <c r="H104" s="42" t="n">
        <v>104</v>
      </c>
      <c r="I104" s="42" t="n">
        <v>7.9</v>
      </c>
      <c r="J104" s="41" t="inlineStr">
        <is>
          <t>-</t>
        </is>
      </c>
      <c r="K104">
        <f>LEFT(E104,2)</f>
        <v/>
      </c>
    </row>
    <row r="105" ht="13" customHeight="1" s="54">
      <c r="A105" s="38" t="n">
        <v>103</v>
      </c>
      <c r="B105" s="39" t="n">
        <v>9</v>
      </c>
      <c r="C105" s="41" t="inlineStr">
        <is>
          <t>Parker Washington</t>
        </is>
      </c>
      <c r="D105" s="41" t="inlineStr">
        <is>
          <t>JAC</t>
        </is>
      </c>
      <c r="E105" s="41" t="inlineStr">
        <is>
          <t>WR42</t>
        </is>
      </c>
      <c r="F105" s="42" t="n">
        <v>74</v>
      </c>
      <c r="G105" s="42" t="n">
        <v>129</v>
      </c>
      <c r="H105" s="42" t="n">
        <v>105</v>
      </c>
      <c r="I105" s="42" t="n">
        <v>16.9</v>
      </c>
      <c r="J105" s="41" t="inlineStr">
        <is>
          <t>-</t>
        </is>
      </c>
      <c r="K105">
        <f>LEFT(E105,2)</f>
        <v/>
      </c>
    </row>
    <row r="106" ht="13" customHeight="1" s="54">
      <c r="A106" s="38" t="n">
        <v>104</v>
      </c>
      <c r="B106" s="39" t="n">
        <v>9</v>
      </c>
      <c r="C106" s="41" t="inlineStr">
        <is>
          <t>Quentin Johnston</t>
        </is>
      </c>
      <c r="D106" s="41" t="inlineStr">
        <is>
          <t>LAC</t>
        </is>
      </c>
      <c r="E106" s="41" t="inlineStr">
        <is>
          <t>WR43</t>
        </is>
      </c>
      <c r="F106" s="42" t="n">
        <v>88</v>
      </c>
      <c r="G106" s="42" t="n">
        <v>129</v>
      </c>
      <c r="H106" s="42" t="n">
        <v>106</v>
      </c>
      <c r="I106" s="42" t="n">
        <v>11.5</v>
      </c>
      <c r="J106" s="41" t="inlineStr">
        <is>
          <t>-</t>
        </is>
      </c>
      <c r="K106">
        <f>LEFT(E106,2)</f>
        <v/>
      </c>
    </row>
    <row r="107" ht="13" customHeight="1" s="54">
      <c r="A107" s="38" t="n">
        <v>105</v>
      </c>
      <c r="B107" s="39" t="n">
        <v>9</v>
      </c>
      <c r="C107" s="41" t="inlineStr">
        <is>
          <t>Oronde Gadsden II</t>
        </is>
      </c>
      <c r="D107" s="41" t="inlineStr">
        <is>
          <t>LAC</t>
        </is>
      </c>
      <c r="E107" s="41" t="inlineStr">
        <is>
          <t>TE10</t>
        </is>
      </c>
      <c r="F107" s="42" t="n">
        <v>94</v>
      </c>
      <c r="G107" s="42" t="n">
        <v>137</v>
      </c>
      <c r="H107" s="42" t="n">
        <v>106</v>
      </c>
      <c r="I107" s="42" t="n">
        <v>12</v>
      </c>
      <c r="J107" s="41" t="inlineStr">
        <is>
          <t>-</t>
        </is>
      </c>
      <c r="K107">
        <f>LEFT(E107,2)</f>
        <v/>
      </c>
    </row>
    <row r="108" ht="13" customHeight="1" s="54">
      <c r="A108" s="38" t="n">
        <v>106</v>
      </c>
      <c r="B108" s="39" t="n">
        <v>9</v>
      </c>
      <c r="C108" s="41" t="inlineStr">
        <is>
          <t>Michael Pittman Jr.</t>
        </is>
      </c>
      <c r="D108" s="41" t="inlineStr">
        <is>
          <t>PIT</t>
        </is>
      </c>
      <c r="E108" s="41" t="inlineStr">
        <is>
          <t>WR44</t>
        </is>
      </c>
      <c r="F108" s="42" t="n">
        <v>81</v>
      </c>
      <c r="G108" s="42" t="n">
        <v>122</v>
      </c>
      <c r="H108" s="42" t="n">
        <v>107</v>
      </c>
      <c r="I108" s="42" t="n">
        <v>11.9</v>
      </c>
      <c r="J108" s="41" t="inlineStr">
        <is>
          <t>-</t>
        </is>
      </c>
      <c r="K108">
        <f>LEFT(E108,2)</f>
        <v/>
      </c>
    </row>
    <row r="109" ht="13" customHeight="1" s="54">
      <c r="A109" s="38" t="n">
        <v>107</v>
      </c>
      <c r="B109" s="39" t="n">
        <v>9</v>
      </c>
      <c r="C109" s="41" t="inlineStr">
        <is>
          <t>Woody Marks</t>
        </is>
      </c>
      <c r="D109" s="41" t="inlineStr">
        <is>
          <t>HOU</t>
        </is>
      </c>
      <c r="E109" s="41" t="inlineStr">
        <is>
          <t>RB38</t>
        </is>
      </c>
      <c r="F109" s="42" t="n">
        <v>78</v>
      </c>
      <c r="G109" s="42" t="n">
        <v>159</v>
      </c>
      <c r="H109" s="42" t="n">
        <v>109</v>
      </c>
      <c r="I109" s="42" t="n">
        <v>22.3</v>
      </c>
      <c r="J109" s="41" t="inlineStr">
        <is>
          <t>-</t>
        </is>
      </c>
      <c r="K109">
        <f>LEFT(E109,2)</f>
        <v/>
      </c>
    </row>
    <row r="110" ht="13" customHeight="1" s="54">
      <c r="A110" s="38" t="n">
        <v>108</v>
      </c>
      <c r="B110" s="39" t="n">
        <v>9</v>
      </c>
      <c r="C110" s="41" t="inlineStr">
        <is>
          <t>Jordan Love</t>
        </is>
      </c>
      <c r="D110" s="41" t="inlineStr">
        <is>
          <t>GB</t>
        </is>
      </c>
      <c r="E110" s="41" t="inlineStr">
        <is>
          <t>QB16</t>
        </is>
      </c>
      <c r="F110" s="42" t="n">
        <v>103</v>
      </c>
      <c r="G110" s="42" t="n">
        <v>128</v>
      </c>
      <c r="H110" s="42" t="n">
        <v>113</v>
      </c>
      <c r="I110" s="42" t="n">
        <v>8.1</v>
      </c>
      <c r="J110" s="41" t="inlineStr">
        <is>
          <t>-</t>
        </is>
      </c>
      <c r="K110">
        <f>LEFT(E110,2)</f>
        <v/>
      </c>
    </row>
    <row r="111" ht="13" customHeight="1" s="54">
      <c r="A111" s="38" t="n">
        <v>109</v>
      </c>
      <c r="B111" s="39" t="n">
        <v>9</v>
      </c>
      <c r="C111" s="41" t="inlineStr">
        <is>
          <t>Brandon Aiyuk</t>
        </is>
      </c>
      <c r="D111" s="41" t="inlineStr">
        <is>
          <t>SF</t>
        </is>
      </c>
      <c r="E111" s="41" t="inlineStr">
        <is>
          <t>WR45</t>
        </is>
      </c>
      <c r="F111" s="42" t="n">
        <v>75</v>
      </c>
      <c r="G111" s="42" t="n">
        <v>183</v>
      </c>
      <c r="H111" s="42" t="n">
        <v>113</v>
      </c>
      <c r="I111" s="42" t="n">
        <v>32.5</v>
      </c>
      <c r="J111" s="41" t="inlineStr">
        <is>
          <t>-</t>
        </is>
      </c>
      <c r="K111">
        <f>LEFT(E111,2)</f>
        <v/>
      </c>
    </row>
    <row r="112" ht="13" customHeight="1" s="54">
      <c r="A112" s="38" t="n">
        <v>110</v>
      </c>
      <c r="B112" s="39" t="n">
        <v>9</v>
      </c>
      <c r="C112" s="41" t="inlineStr">
        <is>
          <t>Jakobi Meyers</t>
        </is>
      </c>
      <c r="D112" s="41" t="inlineStr">
        <is>
          <t>JAC</t>
        </is>
      </c>
      <c r="E112" s="41" t="inlineStr">
        <is>
          <t>WR46</t>
        </is>
      </c>
      <c r="F112" s="42" t="n">
        <v>106</v>
      </c>
      <c r="G112" s="42" t="n">
        <v>122</v>
      </c>
      <c r="H112" s="42" t="n">
        <v>113</v>
      </c>
      <c r="I112" s="42" t="n">
        <v>4.5</v>
      </c>
      <c r="J112" s="41" t="inlineStr">
        <is>
          <t>-</t>
        </is>
      </c>
      <c r="K112">
        <f>LEFT(E112,2)</f>
        <v/>
      </c>
    </row>
    <row r="113" ht="13" customHeight="1" s="54">
      <c r="A113" s="38" t="n">
        <v>111</v>
      </c>
      <c r="B113" s="39" t="n">
        <v>9</v>
      </c>
      <c r="C113" s="41" t="inlineStr">
        <is>
          <t>Jared Goff</t>
        </is>
      </c>
      <c r="D113" s="41" t="inlineStr">
        <is>
          <t>DET</t>
        </is>
      </c>
      <c r="E113" s="41" t="inlineStr">
        <is>
          <t>QB17</t>
        </is>
      </c>
      <c r="F113" s="42" t="n">
        <v>97</v>
      </c>
      <c r="G113" s="42" t="n">
        <v>128</v>
      </c>
      <c r="H113" s="42" t="n">
        <v>114</v>
      </c>
      <c r="I113" s="42" t="n">
        <v>6.8</v>
      </c>
      <c r="J113" s="41" t="inlineStr">
        <is>
          <t>-</t>
        </is>
      </c>
      <c r="K113">
        <f>LEFT(E113,2)</f>
        <v/>
      </c>
    </row>
    <row r="114" ht="13" customHeight="1" s="54">
      <c r="A114" s="38" t="n">
        <v>112</v>
      </c>
      <c r="B114" s="39" t="n">
        <v>9</v>
      </c>
      <c r="C114" s="41" t="inlineStr">
        <is>
          <t>Aaron Jones Sr.</t>
        </is>
      </c>
      <c r="D114" s="41" t="inlineStr">
        <is>
          <t>MIN</t>
        </is>
      </c>
      <c r="E114" s="41" t="inlineStr">
        <is>
          <t>RB39</t>
        </is>
      </c>
      <c r="F114" s="42" t="n">
        <v>102</v>
      </c>
      <c r="G114" s="42" t="n">
        <v>127</v>
      </c>
      <c r="H114" s="42" t="n">
        <v>115</v>
      </c>
      <c r="I114" s="42" t="n">
        <v>5.3</v>
      </c>
      <c r="J114" s="41" t="inlineStr">
        <is>
          <t>-</t>
        </is>
      </c>
      <c r="K114">
        <f>LEFT(E114,2)</f>
        <v/>
      </c>
    </row>
    <row r="115" ht="13" customHeight="1" s="54">
      <c r="A115" s="38" t="n">
        <v>113</v>
      </c>
      <c r="B115" s="39" t="n">
        <v>9</v>
      </c>
      <c r="C115" s="41" t="inlineStr">
        <is>
          <t>Jake Ferguson</t>
        </is>
      </c>
      <c r="D115" s="41" t="inlineStr">
        <is>
          <t>DAL</t>
        </is>
      </c>
      <c r="E115" s="41" t="inlineStr">
        <is>
          <t>TE11</t>
        </is>
      </c>
      <c r="F115" s="42" t="n">
        <v>105</v>
      </c>
      <c r="G115" s="42" t="n">
        <v>157</v>
      </c>
      <c r="H115" s="42" t="n">
        <v>115</v>
      </c>
      <c r="I115" s="42" t="n">
        <v>14.3</v>
      </c>
      <c r="J115" s="41" t="inlineStr">
        <is>
          <t>-</t>
        </is>
      </c>
      <c r="K115">
        <f>LEFT(E115,2)</f>
        <v/>
      </c>
    </row>
    <row r="116" ht="13" customHeight="1" s="54">
      <c r="A116" s="38" t="n">
        <v>114</v>
      </c>
      <c r="B116" s="39" t="n">
        <v>9</v>
      </c>
      <c r="C116" s="41" t="inlineStr">
        <is>
          <t>Wan'Dale Robinson</t>
        </is>
      </c>
      <c r="D116" s="41" t="inlineStr">
        <is>
          <t>TEN</t>
        </is>
      </c>
      <c r="E116" s="41" t="inlineStr">
        <is>
          <t>WR47</t>
        </is>
      </c>
      <c r="F116" s="42" t="n">
        <v>91</v>
      </c>
      <c r="G116" s="42" t="n">
        <v>138</v>
      </c>
      <c r="H116" s="42" t="n">
        <v>116</v>
      </c>
      <c r="I116" s="42" t="n">
        <v>13.9</v>
      </c>
      <c r="J116" s="41" t="inlineStr">
        <is>
          <t>-</t>
        </is>
      </c>
      <c r="K116">
        <f>LEFT(E116,2)</f>
        <v/>
      </c>
    </row>
    <row r="117" ht="13" customHeight="1" s="54">
      <c r="A117" s="38" t="n">
        <v>115</v>
      </c>
      <c r="B117" s="39" t="n">
        <v>9</v>
      </c>
      <c r="C117" s="41" t="inlineStr">
        <is>
          <t>Denzel Boston</t>
        </is>
      </c>
      <c r="D117" s="41" t="inlineStr">
        <is>
          <t>FA</t>
        </is>
      </c>
      <c r="E117" s="41" t="inlineStr">
        <is>
          <t>WR48</t>
        </is>
      </c>
      <c r="F117" s="42" t="n">
        <v>80</v>
      </c>
      <c r="G117" s="42" t="n">
        <v>194</v>
      </c>
      <c r="H117" s="42" t="n">
        <v>117</v>
      </c>
      <c r="I117" s="42" t="n">
        <v>32.2</v>
      </c>
      <c r="J117" s="41" t="inlineStr">
        <is>
          <t>-</t>
        </is>
      </c>
      <c r="K117">
        <f>LEFT(E117,2)</f>
        <v/>
      </c>
    </row>
    <row r="118" ht="13" customHeight="1" s="54">
      <c r="A118" s="38" t="n">
        <v>116</v>
      </c>
      <c r="B118" s="39" t="n">
        <v>9</v>
      </c>
      <c r="C118" s="41" t="inlineStr">
        <is>
          <t>Jordan Mason</t>
        </is>
      </c>
      <c r="D118" s="41" t="inlineStr">
        <is>
          <t>MIN</t>
        </is>
      </c>
      <c r="E118" s="41" t="inlineStr">
        <is>
          <t>RB40</t>
        </is>
      </c>
      <c r="F118" s="42" t="n">
        <v>92</v>
      </c>
      <c r="G118" s="42" t="n">
        <v>131</v>
      </c>
      <c r="H118" s="42" t="n">
        <v>120</v>
      </c>
      <c r="I118" s="42" t="n">
        <v>10.2</v>
      </c>
      <c r="J118" s="41" t="inlineStr">
        <is>
          <t>-</t>
        </is>
      </c>
      <c r="K118">
        <f>LEFT(E118,2)</f>
        <v/>
      </c>
    </row>
    <row r="119" ht="13" customHeight="1" s="54">
      <c r="A119" s="38" t="n">
        <v>117</v>
      </c>
      <c r="B119" s="39" t="n">
        <v>9</v>
      </c>
      <c r="C119" s="41" t="inlineStr">
        <is>
          <t>Juwan Johnson</t>
        </is>
      </c>
      <c r="D119" s="41" t="inlineStr">
        <is>
          <t>NO</t>
        </is>
      </c>
      <c r="E119" s="41" t="inlineStr">
        <is>
          <t>TE12</t>
        </is>
      </c>
      <c r="F119" s="42" t="n">
        <v>105</v>
      </c>
      <c r="G119" s="42" t="n">
        <v>157</v>
      </c>
      <c r="H119" s="42" t="n">
        <v>121</v>
      </c>
      <c r="I119" s="42" t="n">
        <v>15.4</v>
      </c>
      <c r="J119" s="41" t="inlineStr">
        <is>
          <t>-</t>
        </is>
      </c>
      <c r="K119">
        <f>LEFT(E119,2)</f>
        <v/>
      </c>
    </row>
    <row r="120" ht="13" customHeight="1" s="54">
      <c r="A120" s="38" t="n">
        <v>118</v>
      </c>
      <c r="B120" s="39" t="n">
        <v>10</v>
      </c>
      <c r="C120" s="41" t="inlineStr">
        <is>
          <t>James Conner</t>
        </is>
      </c>
      <c r="D120" s="41" t="inlineStr">
        <is>
          <t>ARI</t>
        </is>
      </c>
      <c r="E120" s="41" t="inlineStr">
        <is>
          <t>RB41</t>
        </is>
      </c>
      <c r="F120" s="42" t="n">
        <v>95</v>
      </c>
      <c r="G120" s="42" t="n">
        <v>155</v>
      </c>
      <c r="H120" s="42" t="n">
        <v>122</v>
      </c>
      <c r="I120" s="42" t="n">
        <v>16.1</v>
      </c>
      <c r="J120" s="41" t="inlineStr">
        <is>
          <t>-</t>
        </is>
      </c>
      <c r="K120">
        <f>LEFT(E120,2)</f>
        <v/>
      </c>
    </row>
    <row r="121" ht="13" customHeight="1" s="54">
      <c r="A121" s="38" t="n">
        <v>119</v>
      </c>
      <c r="B121" s="39" t="n">
        <v>10</v>
      </c>
      <c r="C121" s="41" t="inlineStr">
        <is>
          <t>Jayden Higgins</t>
        </is>
      </c>
      <c r="D121" s="41" t="inlineStr">
        <is>
          <t>HOU</t>
        </is>
      </c>
      <c r="E121" s="41" t="inlineStr">
        <is>
          <t>WR49</t>
        </is>
      </c>
      <c r="F121" s="42" t="n">
        <v>109</v>
      </c>
      <c r="G121" s="42" t="n">
        <v>139</v>
      </c>
      <c r="H121" s="42" t="n">
        <v>122</v>
      </c>
      <c r="I121" s="42" t="n">
        <v>9</v>
      </c>
      <c r="J121" s="41" t="inlineStr">
        <is>
          <t>-</t>
        </is>
      </c>
      <c r="K121">
        <f>LEFT(E121,2)</f>
        <v/>
      </c>
    </row>
    <row r="122" ht="13" customHeight="1" s="54">
      <c r="A122" s="38" t="n">
        <v>120</v>
      </c>
      <c r="B122" s="39" t="n">
        <v>10</v>
      </c>
      <c r="C122" s="41" t="inlineStr">
        <is>
          <t>Jauan Jennings</t>
        </is>
      </c>
      <c r="D122" s="41" t="inlineStr">
        <is>
          <t>FA</t>
        </is>
      </c>
      <c r="E122" s="41" t="inlineStr">
        <is>
          <t>WR50</t>
        </is>
      </c>
      <c r="F122" s="42" t="n">
        <v>101</v>
      </c>
      <c r="G122" s="42" t="n">
        <v>165</v>
      </c>
      <c r="H122" s="42" t="n">
        <v>124</v>
      </c>
      <c r="I122" s="42" t="n">
        <v>16.5</v>
      </c>
      <c r="J122" s="41" t="inlineStr">
        <is>
          <t>-</t>
        </is>
      </c>
      <c r="K122">
        <f>LEFT(E122,2)</f>
        <v/>
      </c>
    </row>
    <row r="123" ht="13" customHeight="1" s="54">
      <c r="A123" s="38" t="n">
        <v>121</v>
      </c>
      <c r="B123" s="39" t="n">
        <v>10</v>
      </c>
      <c r="C123" s="41" t="inlineStr">
        <is>
          <t>Malik Willis</t>
        </is>
      </c>
      <c r="D123" s="41" t="inlineStr">
        <is>
          <t>MIA</t>
        </is>
      </c>
      <c r="E123" s="41" t="inlineStr">
        <is>
          <t>QB18</t>
        </is>
      </c>
      <c r="F123" s="42" t="n">
        <v>104</v>
      </c>
      <c r="G123" s="42" t="n">
        <v>213</v>
      </c>
      <c r="H123" s="42" t="n">
        <v>124</v>
      </c>
      <c r="I123" s="42" t="n">
        <v>24.7</v>
      </c>
      <c r="J123" s="41" t="inlineStr">
        <is>
          <t>-</t>
        </is>
      </c>
      <c r="K123">
        <f>LEFT(E123,2)</f>
        <v/>
      </c>
    </row>
    <row r="124" ht="13" customHeight="1" s="54">
      <c r="A124" s="38" t="n">
        <v>122</v>
      </c>
      <c r="B124" s="39" t="n">
        <v>10</v>
      </c>
      <c r="C124" s="41" t="inlineStr">
        <is>
          <t>Brenton Strange</t>
        </is>
      </c>
      <c r="D124" s="41" t="inlineStr">
        <is>
          <t>JAC</t>
        </is>
      </c>
      <c r="E124" s="41" t="inlineStr">
        <is>
          <t>TE13</t>
        </is>
      </c>
      <c r="F124" s="42" t="n">
        <v>105</v>
      </c>
      <c r="G124" s="42" t="n">
        <v>157</v>
      </c>
      <c r="H124" s="42" t="n">
        <v>125</v>
      </c>
      <c r="I124" s="42" t="n">
        <v>17</v>
      </c>
      <c r="J124" s="41" t="inlineStr">
        <is>
          <t>-</t>
        </is>
      </c>
      <c r="K124">
        <f>LEFT(E124,2)</f>
        <v/>
      </c>
    </row>
    <row r="125" ht="13" customHeight="1" s="54">
      <c r="A125" s="38" t="n">
        <v>123</v>
      </c>
      <c r="B125" s="39" t="n">
        <v>10</v>
      </c>
      <c r="C125" s="41" t="inlineStr">
        <is>
          <t>Tyler Shough</t>
        </is>
      </c>
      <c r="D125" s="41" t="inlineStr">
        <is>
          <t>NO</t>
        </is>
      </c>
      <c r="E125" s="41" t="inlineStr">
        <is>
          <t>QB19</t>
        </is>
      </c>
      <c r="F125" s="42" t="n">
        <v>107</v>
      </c>
      <c r="G125" s="42" t="n">
        <v>133</v>
      </c>
      <c r="H125" s="42" t="n">
        <v>125</v>
      </c>
      <c r="I125" s="42" t="n">
        <v>7.7</v>
      </c>
      <c r="J125" s="41" t="inlineStr">
        <is>
          <t>-</t>
        </is>
      </c>
      <c r="K125">
        <f>LEFT(E125,2)</f>
        <v/>
      </c>
    </row>
    <row r="126" ht="13" customHeight="1" s="54">
      <c r="A126" s="38" t="n">
        <v>124</v>
      </c>
      <c r="B126" s="39" t="n">
        <v>10</v>
      </c>
      <c r="C126" s="41" t="inlineStr">
        <is>
          <t>Kyler Murray</t>
        </is>
      </c>
      <c r="D126" s="41" t="inlineStr">
        <is>
          <t>MIN</t>
        </is>
      </c>
      <c r="E126" s="41" t="inlineStr">
        <is>
          <t>QB20</t>
        </is>
      </c>
      <c r="F126" s="42" t="n">
        <v>100</v>
      </c>
      <c r="G126" s="42" t="n">
        <v>146</v>
      </c>
      <c r="H126" s="42" t="n">
        <v>126</v>
      </c>
      <c r="I126" s="42" t="n">
        <v>16.5</v>
      </c>
      <c r="J126" s="41" t="inlineStr">
        <is>
          <t>-</t>
        </is>
      </c>
      <c r="K126">
        <f>LEFT(E126,2)</f>
        <v/>
      </c>
    </row>
    <row r="127" ht="13" customHeight="1" s="54">
      <c r="A127" s="38" t="n">
        <v>125</v>
      </c>
      <c r="B127" s="39" t="n">
        <v>10</v>
      </c>
      <c r="C127" s="41" t="inlineStr">
        <is>
          <t>Baker Mayfield</t>
        </is>
      </c>
      <c r="D127" s="41" t="inlineStr">
        <is>
          <t>TB</t>
        </is>
      </c>
      <c r="E127" s="41" t="inlineStr">
        <is>
          <t>QB21</t>
        </is>
      </c>
      <c r="F127" s="42" t="n">
        <v>118</v>
      </c>
      <c r="G127" s="42" t="n">
        <v>136</v>
      </c>
      <c r="H127" s="42" t="n">
        <v>127</v>
      </c>
      <c r="I127" s="42" t="n">
        <v>5.7</v>
      </c>
      <c r="J127" s="41" t="inlineStr">
        <is>
          <t>-</t>
        </is>
      </c>
      <c r="K127">
        <f>LEFT(E127,2)</f>
        <v/>
      </c>
    </row>
    <row r="128" ht="13" customHeight="1" s="54">
      <c r="A128" s="38" t="n">
        <v>126</v>
      </c>
      <c r="B128" s="39" t="n">
        <v>10</v>
      </c>
      <c r="C128" s="41" t="inlineStr">
        <is>
          <t>Travis Kelce</t>
        </is>
      </c>
      <c r="D128" s="41" t="inlineStr">
        <is>
          <t>KC</t>
        </is>
      </c>
      <c r="E128" s="41" t="inlineStr">
        <is>
          <t>TE14</t>
        </is>
      </c>
      <c r="F128" s="42" t="n">
        <v>86</v>
      </c>
      <c r="G128" s="42" t="n">
        <v>195</v>
      </c>
      <c r="H128" s="42" t="n">
        <v>128</v>
      </c>
      <c r="I128" s="42" t="n">
        <v>29.9</v>
      </c>
      <c r="J128" s="41" t="inlineStr">
        <is>
          <t>-</t>
        </is>
      </c>
      <c r="K128">
        <f>LEFT(E128,2)</f>
        <v/>
      </c>
    </row>
    <row r="129" ht="13" customHeight="1" s="54">
      <c r="A129" s="38" t="n">
        <v>127</v>
      </c>
      <c r="B129" s="39" t="n">
        <v>10</v>
      </c>
      <c r="C129" s="41" t="inlineStr">
        <is>
          <t>Dallas Goedert</t>
        </is>
      </c>
      <c r="D129" s="41" t="inlineStr">
        <is>
          <t>PHI</t>
        </is>
      </c>
      <c r="E129" s="41" t="inlineStr">
        <is>
          <t>TE15</t>
        </is>
      </c>
      <c r="F129" s="42" t="n">
        <v>111</v>
      </c>
      <c r="G129" s="42" t="n">
        <v>172</v>
      </c>
      <c r="H129" s="42" t="n">
        <v>131</v>
      </c>
      <c r="I129" s="42" t="n">
        <v>15.7</v>
      </c>
      <c r="J129" s="41" t="inlineStr">
        <is>
          <t>-</t>
        </is>
      </c>
      <c r="K129">
        <f>LEFT(E129,2)</f>
        <v/>
      </c>
    </row>
    <row r="130" ht="13" customHeight="1" s="54">
      <c r="A130" s="38" t="n">
        <v>128</v>
      </c>
      <c r="B130" s="39" t="n">
        <v>10</v>
      </c>
      <c r="C130" s="41" t="inlineStr">
        <is>
          <t>Jadarian Price</t>
        </is>
      </c>
      <c r="D130" s="41" t="inlineStr">
        <is>
          <t>FA</t>
        </is>
      </c>
      <c r="E130" s="41" t="inlineStr">
        <is>
          <t>RB42</t>
        </is>
      </c>
      <c r="F130" s="42" t="n">
        <v>85</v>
      </c>
      <c r="G130" s="42" t="n">
        <v>262</v>
      </c>
      <c r="H130" s="42" t="n">
        <v>133</v>
      </c>
      <c r="I130" s="42" t="n">
        <v>52.3</v>
      </c>
      <c r="J130" s="41" t="inlineStr">
        <is>
          <t>-</t>
        </is>
      </c>
      <c r="K130">
        <f>LEFT(E130,2)</f>
        <v/>
      </c>
    </row>
    <row r="131" ht="13" customHeight="1" s="54">
      <c r="A131" s="38" t="n">
        <v>129</v>
      </c>
      <c r="B131" s="39" t="n">
        <v>10</v>
      </c>
      <c r="C131" s="41" t="inlineStr">
        <is>
          <t>Braelon Allen</t>
        </is>
      </c>
      <c r="D131" s="41" t="inlineStr">
        <is>
          <t>NYJ</t>
        </is>
      </c>
      <c r="E131" s="41" t="inlineStr">
        <is>
          <t>RB43</t>
        </is>
      </c>
      <c r="F131" s="42" t="n">
        <v>108</v>
      </c>
      <c r="G131" s="42" t="n">
        <v>174</v>
      </c>
      <c r="H131" s="42" t="n">
        <v>134</v>
      </c>
      <c r="I131" s="42" t="n">
        <v>18.4</v>
      </c>
      <c r="J131" s="41" t="inlineStr">
        <is>
          <t>-</t>
        </is>
      </c>
      <c r="K131">
        <f>LEFT(E131,2)</f>
        <v/>
      </c>
    </row>
    <row r="132" ht="13" customHeight="1" s="54">
      <c r="A132" s="38" t="n">
        <v>130</v>
      </c>
      <c r="B132" s="39" t="n">
        <v>10</v>
      </c>
      <c r="C132" s="41" t="inlineStr">
        <is>
          <t>Jayden Reed</t>
        </is>
      </c>
      <c r="D132" s="41" t="inlineStr">
        <is>
          <t>GB</t>
        </is>
      </c>
      <c r="E132" s="41" t="inlineStr">
        <is>
          <t>WR51</t>
        </is>
      </c>
      <c r="F132" s="42" t="n">
        <v>116</v>
      </c>
      <c r="G132" s="42" t="n">
        <v>153</v>
      </c>
      <c r="H132" s="42" t="n">
        <v>134</v>
      </c>
      <c r="I132" s="42" t="n">
        <v>9.699999999999999</v>
      </c>
      <c r="J132" s="41" t="inlineStr">
        <is>
          <t>-</t>
        </is>
      </c>
      <c r="K132">
        <f>LEFT(E132,2)</f>
        <v/>
      </c>
    </row>
    <row r="133" ht="13" customHeight="1" s="54">
      <c r="A133" s="38" t="n">
        <v>131</v>
      </c>
      <c r="B133" s="39" t="n">
        <v>10</v>
      </c>
      <c r="C133" s="41" t="inlineStr">
        <is>
          <t>Kenneth Gainwell</t>
        </is>
      </c>
      <c r="D133" s="41" t="inlineStr">
        <is>
          <t>TB</t>
        </is>
      </c>
      <c r="E133" s="41" t="inlineStr">
        <is>
          <t>RB44</t>
        </is>
      </c>
      <c r="F133" s="42" t="n">
        <v>121</v>
      </c>
      <c r="G133" s="42" t="n">
        <v>148</v>
      </c>
      <c r="H133" s="42" t="n">
        <v>135</v>
      </c>
      <c r="I133" s="42" t="n">
        <v>8.5</v>
      </c>
      <c r="J133" s="41" t="inlineStr">
        <is>
          <t>-</t>
        </is>
      </c>
      <c r="K133">
        <f>LEFT(E133,2)</f>
        <v/>
      </c>
    </row>
    <row r="134" ht="13" customHeight="1" s="54">
      <c r="A134" s="38" t="n">
        <v>132</v>
      </c>
      <c r="B134" s="39" t="n">
        <v>10</v>
      </c>
      <c r="C134" s="41" t="inlineStr">
        <is>
          <t>Romeo Doubs</t>
        </is>
      </c>
      <c r="D134" s="41" t="inlineStr">
        <is>
          <t>NE</t>
        </is>
      </c>
      <c r="E134" s="41" t="inlineStr">
        <is>
          <t>WR52</t>
        </is>
      </c>
      <c r="F134" s="42" t="n">
        <v>89</v>
      </c>
      <c r="G134" s="42" t="n">
        <v>194</v>
      </c>
      <c r="H134" s="42" t="n">
        <v>136</v>
      </c>
      <c r="I134" s="42" t="n">
        <v>33.5</v>
      </c>
      <c r="J134" s="41" t="inlineStr">
        <is>
          <t>-</t>
        </is>
      </c>
      <c r="K134">
        <f>LEFT(E134,2)</f>
        <v/>
      </c>
    </row>
    <row r="135" ht="13" customHeight="1" s="54">
      <c r="A135" s="38" t="n">
        <v>133</v>
      </c>
      <c r="B135" s="39" t="n">
        <v>10</v>
      </c>
      <c r="C135" s="41" t="inlineStr">
        <is>
          <t>Tyrone Tracy Jr.</t>
        </is>
      </c>
      <c r="D135" s="41" t="inlineStr">
        <is>
          <t>NYG</t>
        </is>
      </c>
      <c r="E135" s="41" t="inlineStr">
        <is>
          <t>RB45</t>
        </is>
      </c>
      <c r="F135" s="42" t="n">
        <v>126</v>
      </c>
      <c r="G135" s="42" t="n">
        <v>181</v>
      </c>
      <c r="H135" s="42" t="n">
        <v>136</v>
      </c>
      <c r="I135" s="42" t="n">
        <v>15</v>
      </c>
      <c r="J135" s="41" t="inlineStr">
        <is>
          <t>-</t>
        </is>
      </c>
      <c r="K135">
        <f>LEFT(E135,2)</f>
        <v/>
      </c>
    </row>
    <row r="136" ht="13" customHeight="1" s="54">
      <c r="A136" s="38" t="n">
        <v>134</v>
      </c>
      <c r="B136" s="39" t="n">
        <v>10</v>
      </c>
      <c r="C136" s="41" t="inlineStr">
        <is>
          <t>George Kittle</t>
        </is>
      </c>
      <c r="D136" s="41" t="inlineStr">
        <is>
          <t>SF</t>
        </is>
      </c>
      <c r="E136" s="41" t="inlineStr">
        <is>
          <t>TE16</t>
        </is>
      </c>
      <c r="F136" s="42" t="n">
        <v>56</v>
      </c>
      <c r="G136" s="42" t="n">
        <v>202</v>
      </c>
      <c r="H136" s="42" t="n">
        <v>137</v>
      </c>
      <c r="I136" s="42" t="n">
        <v>32.5</v>
      </c>
      <c r="J136" s="41" t="inlineStr">
        <is>
          <t>-</t>
        </is>
      </c>
      <c r="K136">
        <f>LEFT(E136,2)</f>
        <v/>
      </c>
    </row>
    <row r="137" ht="13" customHeight="1" s="54">
      <c r="A137" s="38" t="n">
        <v>135</v>
      </c>
      <c r="B137" s="39" t="n">
        <v>10</v>
      </c>
      <c r="C137" s="41" t="inlineStr">
        <is>
          <t>Hunter Henry</t>
        </is>
      </c>
      <c r="D137" s="41" t="inlineStr">
        <is>
          <t>NE</t>
        </is>
      </c>
      <c r="E137" s="41" t="inlineStr">
        <is>
          <t>TE17</t>
        </is>
      </c>
      <c r="F137" s="42" t="n">
        <v>111</v>
      </c>
      <c r="G137" s="42" t="n">
        <v>154</v>
      </c>
      <c r="H137" s="42" t="n">
        <v>138</v>
      </c>
      <c r="I137" s="42" t="n">
        <v>11.5</v>
      </c>
      <c r="J137" s="41" t="inlineStr">
        <is>
          <t>-</t>
        </is>
      </c>
      <c r="K137">
        <f>LEFT(E137,2)</f>
        <v/>
      </c>
    </row>
    <row r="138" ht="13" customHeight="1" s="54">
      <c r="A138" s="38" t="n">
        <v>136</v>
      </c>
      <c r="B138" s="39" t="n">
        <v>10</v>
      </c>
      <c r="C138" s="41" t="inlineStr">
        <is>
          <t>Xavier Worthy</t>
        </is>
      </c>
      <c r="D138" s="41" t="inlineStr">
        <is>
          <t>KC</t>
        </is>
      </c>
      <c r="E138" s="41" t="inlineStr">
        <is>
          <t>WR53</t>
        </is>
      </c>
      <c r="F138" s="42" t="n">
        <v>125</v>
      </c>
      <c r="G138" s="42" t="n">
        <v>149</v>
      </c>
      <c r="H138" s="42" t="n">
        <v>139</v>
      </c>
      <c r="I138" s="42" t="n">
        <v>7.6</v>
      </c>
      <c r="J138" s="41" t="inlineStr">
        <is>
          <t>-</t>
        </is>
      </c>
      <c r="K138">
        <f>LEFT(E138,2)</f>
        <v/>
      </c>
    </row>
    <row r="139" ht="13" customHeight="1" s="54">
      <c r="A139" s="38" t="n">
        <v>137</v>
      </c>
      <c r="B139" s="39" t="n">
        <v>10</v>
      </c>
      <c r="C139" s="41" t="inlineStr">
        <is>
          <t>Khalil Shakir</t>
        </is>
      </c>
      <c r="D139" s="41" t="inlineStr">
        <is>
          <t>BUF</t>
        </is>
      </c>
      <c r="E139" s="41" t="inlineStr">
        <is>
          <t>WR54</t>
        </is>
      </c>
      <c r="F139" s="42" t="n">
        <v>129</v>
      </c>
      <c r="G139" s="42" t="n">
        <v>164</v>
      </c>
      <c r="H139" s="42" t="n">
        <v>140</v>
      </c>
      <c r="I139" s="42" t="n">
        <v>8.4</v>
      </c>
      <c r="J139" s="41" t="inlineStr">
        <is>
          <t>-</t>
        </is>
      </c>
      <c r="K139">
        <f>LEFT(E139,2)</f>
        <v/>
      </c>
    </row>
    <row r="140" ht="13" customHeight="1" s="54">
      <c r="A140" s="38" t="n">
        <v>138</v>
      </c>
      <c r="B140" s="39" t="n">
        <v>10</v>
      </c>
      <c r="C140" s="41" t="inlineStr">
        <is>
          <t>C.J. Stroud</t>
        </is>
      </c>
      <c r="D140" s="41" t="inlineStr">
        <is>
          <t>HOU</t>
        </is>
      </c>
      <c r="E140" s="41" t="inlineStr">
        <is>
          <t>QB22</t>
        </is>
      </c>
      <c r="F140" s="42" t="n">
        <v>124</v>
      </c>
      <c r="G140" s="42" t="n">
        <v>158</v>
      </c>
      <c r="H140" s="42" t="n">
        <v>141</v>
      </c>
      <c r="I140" s="42" t="n">
        <v>10.9</v>
      </c>
      <c r="J140" s="41" t="inlineStr">
        <is>
          <t>-</t>
        </is>
      </c>
      <c r="K140">
        <f>LEFT(E140,2)</f>
        <v/>
      </c>
    </row>
    <row r="141" ht="13" customHeight="1" s="54">
      <c r="A141" s="38" t="n">
        <v>139</v>
      </c>
      <c r="B141" s="39" t="n">
        <v>10</v>
      </c>
      <c r="C141" s="41" t="inlineStr">
        <is>
          <t>Josh Downs</t>
        </is>
      </c>
      <c r="D141" s="41" t="inlineStr">
        <is>
          <t>IND</t>
        </is>
      </c>
      <c r="E141" s="41" t="inlineStr">
        <is>
          <t>WR55</t>
        </is>
      </c>
      <c r="F141" s="42" t="n">
        <v>122</v>
      </c>
      <c r="G141" s="42" t="n">
        <v>165</v>
      </c>
      <c r="H141" s="42" t="n">
        <v>141</v>
      </c>
      <c r="I141" s="42" t="n">
        <v>11.8</v>
      </c>
      <c r="J141" s="41" t="inlineStr">
        <is>
          <t>-</t>
        </is>
      </c>
      <c r="K141">
        <f>LEFT(E141,2)</f>
        <v/>
      </c>
    </row>
    <row r="142" ht="13" customHeight="1" s="54">
      <c r="A142" s="38" t="n">
        <v>140</v>
      </c>
      <c r="B142" s="39" t="n">
        <v>10</v>
      </c>
      <c r="C142" s="41" t="inlineStr">
        <is>
          <t>Emmett Johnson</t>
        </is>
      </c>
      <c r="D142" s="41" t="inlineStr">
        <is>
          <t>FA</t>
        </is>
      </c>
      <c r="E142" s="41" t="inlineStr">
        <is>
          <t>RB46</t>
        </is>
      </c>
      <c r="F142" s="42" t="n">
        <v>99</v>
      </c>
      <c r="G142" s="42" t="n">
        <v>270</v>
      </c>
      <c r="H142" s="42" t="n">
        <v>143</v>
      </c>
      <c r="I142" s="42" t="n">
        <v>42.5</v>
      </c>
      <c r="J142" s="41" t="inlineStr">
        <is>
          <t>-</t>
        </is>
      </c>
      <c r="K142">
        <f>LEFT(E142,2)</f>
        <v/>
      </c>
    </row>
    <row r="143" ht="13" customHeight="1" s="54">
      <c r="A143" s="38" t="n">
        <v>141</v>
      </c>
      <c r="B143" s="39" t="n">
        <v>10</v>
      </c>
      <c r="C143" s="41" t="inlineStr">
        <is>
          <t>Rachaad White</t>
        </is>
      </c>
      <c r="D143" s="41" t="inlineStr">
        <is>
          <t>WAS</t>
        </is>
      </c>
      <c r="E143" s="41" t="inlineStr">
        <is>
          <t>RB47</t>
        </is>
      </c>
      <c r="F143" s="42" t="n">
        <v>117</v>
      </c>
      <c r="G143" s="42" t="n">
        <v>207</v>
      </c>
      <c r="H143" s="42" t="n">
        <v>145</v>
      </c>
      <c r="I143" s="42" t="n">
        <v>19.5</v>
      </c>
      <c r="J143" s="41" t="inlineStr">
        <is>
          <t>-</t>
        </is>
      </c>
      <c r="K143">
        <f>LEFT(E143,2)</f>
        <v/>
      </c>
    </row>
    <row r="144" ht="13" customHeight="1" s="54">
      <c r="A144" s="38" t="n">
        <v>142</v>
      </c>
      <c r="B144" s="39" t="n">
        <v>10</v>
      </c>
      <c r="C144" s="41" t="inlineStr">
        <is>
          <t>Stefon Diggs</t>
        </is>
      </c>
      <c r="D144" s="41" t="inlineStr">
        <is>
          <t>FA</t>
        </is>
      </c>
      <c r="E144" s="41" t="inlineStr">
        <is>
          <t>WR56</t>
        </is>
      </c>
      <c r="F144" s="42" t="n">
        <v>91</v>
      </c>
      <c r="G144" s="42" t="n">
        <v>300</v>
      </c>
      <c r="H144" s="42" t="n">
        <v>145</v>
      </c>
      <c r="I144" s="42" t="n">
        <v>49</v>
      </c>
      <c r="J144" s="41" t="inlineStr">
        <is>
          <t>-</t>
        </is>
      </c>
      <c r="K144">
        <f>LEFT(E144,2)</f>
        <v/>
      </c>
    </row>
    <row r="145" ht="13" customHeight="1" s="54">
      <c r="A145" s="38" t="n">
        <v>143</v>
      </c>
      <c r="B145" s="39" t="n">
        <v>10</v>
      </c>
      <c r="C145" s="41" t="inlineStr">
        <is>
          <t>Alvin Kamara</t>
        </is>
      </c>
      <c r="D145" s="41" t="inlineStr">
        <is>
          <t>NO</t>
        </is>
      </c>
      <c r="E145" s="41" t="inlineStr">
        <is>
          <t>RB48</t>
        </is>
      </c>
      <c r="F145" s="42" t="n">
        <v>126</v>
      </c>
      <c r="G145" s="42" t="n">
        <v>221</v>
      </c>
      <c r="H145" s="42" t="n">
        <v>146</v>
      </c>
      <c r="I145" s="42" t="n">
        <v>21.6</v>
      </c>
      <c r="J145" s="41" t="inlineStr">
        <is>
          <t>-</t>
        </is>
      </c>
      <c r="K145">
        <f>LEFT(E145,2)</f>
        <v/>
      </c>
    </row>
    <row r="146" ht="13" customHeight="1" s="54">
      <c r="A146" s="38" t="n">
        <v>144</v>
      </c>
      <c r="B146" s="39" t="n">
        <v>10</v>
      </c>
      <c r="C146" s="41" t="inlineStr">
        <is>
          <t>Tank Bigsby</t>
        </is>
      </c>
      <c r="D146" s="41" t="inlineStr">
        <is>
          <t>PHI</t>
        </is>
      </c>
      <c r="E146" s="41" t="inlineStr">
        <is>
          <t>RB49</t>
        </is>
      </c>
      <c r="F146" s="42" t="n">
        <v>134</v>
      </c>
      <c r="G146" s="42" t="n">
        <v>174</v>
      </c>
      <c r="H146" s="42" t="n">
        <v>148</v>
      </c>
      <c r="I146" s="42" t="n">
        <v>11.6</v>
      </c>
      <c r="J146" s="41" t="inlineStr">
        <is>
          <t>-</t>
        </is>
      </c>
      <c r="K146">
        <f>LEFT(E146,2)</f>
        <v/>
      </c>
    </row>
    <row r="147" ht="13" customHeight="1" s="54">
      <c r="A147" s="38" t="n">
        <v>145</v>
      </c>
      <c r="B147" s="39" t="n">
        <v>10</v>
      </c>
      <c r="C147" s="41" t="inlineStr">
        <is>
          <t>Sam Darnold</t>
        </is>
      </c>
      <c r="D147" s="41" t="inlineStr">
        <is>
          <t>SEA</t>
        </is>
      </c>
      <c r="E147" s="41" t="inlineStr">
        <is>
          <t>QB23</t>
        </is>
      </c>
      <c r="F147" s="42" t="n">
        <v>128</v>
      </c>
      <c r="G147" s="42" t="n">
        <v>213</v>
      </c>
      <c r="H147" s="42" t="n">
        <v>149</v>
      </c>
      <c r="I147" s="42" t="n">
        <v>20.2</v>
      </c>
      <c r="J147" s="41" t="inlineStr">
        <is>
          <t>-</t>
        </is>
      </c>
      <c r="K147">
        <f>LEFT(E147,2)</f>
        <v/>
      </c>
    </row>
    <row r="148" ht="13" customHeight="1" s="54">
      <c r="A148" s="38" t="n">
        <v>146</v>
      </c>
      <c r="B148" s="39" t="n">
        <v>10</v>
      </c>
      <c r="C148" s="41" t="inlineStr">
        <is>
          <t>Houston Texans</t>
        </is>
      </c>
      <c r="D148" s="41" t="inlineStr">
        <is>
          <t>HOU</t>
        </is>
      </c>
      <c r="E148" s="41" t="inlineStr">
        <is>
          <t>DST1</t>
        </is>
      </c>
      <c r="F148" s="42" t="n">
        <v>150</v>
      </c>
      <c r="G148" s="42" t="n">
        <v>150</v>
      </c>
      <c r="H148" s="42" t="n">
        <v>150</v>
      </c>
      <c r="I148" s="42" t="n">
        <v>0</v>
      </c>
      <c r="J148" s="41" t="inlineStr">
        <is>
          <t>-</t>
        </is>
      </c>
      <c r="K148">
        <f>LEFT(E148,2)</f>
        <v/>
      </c>
    </row>
    <row r="149" ht="13" customHeight="1" s="54">
      <c r="A149" s="38" t="n">
        <v>147</v>
      </c>
      <c r="B149" s="39" t="n">
        <v>10</v>
      </c>
      <c r="C149" s="41" t="inlineStr">
        <is>
          <t>Jonathon Brooks</t>
        </is>
      </c>
      <c r="D149" s="41" t="inlineStr">
        <is>
          <t>CAR</t>
        </is>
      </c>
      <c r="E149" s="41" t="inlineStr">
        <is>
          <t>RB50</t>
        </is>
      </c>
      <c r="F149" s="42" t="n">
        <v>95</v>
      </c>
      <c r="G149" s="42" t="n">
        <v>196</v>
      </c>
      <c r="H149" s="42" t="n">
        <v>150</v>
      </c>
      <c r="I149" s="42" t="n">
        <v>26.3</v>
      </c>
      <c r="J149" s="41" t="inlineStr">
        <is>
          <t>-</t>
        </is>
      </c>
      <c r="K149">
        <f>LEFT(E149,2)</f>
        <v/>
      </c>
    </row>
    <row r="150" ht="13" customHeight="1" s="54">
      <c r="A150" s="38" t="n">
        <v>148</v>
      </c>
      <c r="B150" s="39" t="n">
        <v>10</v>
      </c>
      <c r="C150" s="41" t="inlineStr">
        <is>
          <t>Isiah Pacheco</t>
        </is>
      </c>
      <c r="D150" s="41" t="inlineStr">
        <is>
          <t>DET</t>
        </is>
      </c>
      <c r="E150" s="41" t="inlineStr">
        <is>
          <t>RB51</t>
        </is>
      </c>
      <c r="F150" s="42" t="n">
        <v>127</v>
      </c>
      <c r="G150" s="42" t="n">
        <v>167</v>
      </c>
      <c r="H150" s="42" t="n">
        <v>151</v>
      </c>
      <c r="I150" s="42" t="n">
        <v>9.6</v>
      </c>
      <c r="J150" s="41" t="inlineStr">
        <is>
          <t>-</t>
        </is>
      </c>
      <c r="K150">
        <f>LEFT(E150,2)</f>
        <v/>
      </c>
    </row>
    <row r="151" ht="13" customHeight="1" s="54">
      <c r="A151" s="38" t="n">
        <v>149</v>
      </c>
      <c r="B151" s="39" t="n">
        <v>10</v>
      </c>
      <c r="C151" s="41" t="inlineStr">
        <is>
          <t>Dylan Sampson</t>
        </is>
      </c>
      <c r="D151" s="41" t="inlineStr">
        <is>
          <t>CLE</t>
        </is>
      </c>
      <c r="E151" s="41" t="inlineStr">
        <is>
          <t>RB52</t>
        </is>
      </c>
      <c r="F151" s="42" t="n">
        <v>141</v>
      </c>
      <c r="G151" s="42" t="n">
        <v>181</v>
      </c>
      <c r="H151" s="42" t="n">
        <v>151</v>
      </c>
      <c r="I151" s="42" t="n">
        <v>10.9</v>
      </c>
      <c r="J151" s="41" t="inlineStr">
        <is>
          <t>-</t>
        </is>
      </c>
      <c r="K151">
        <f>LEFT(E151,2)</f>
        <v/>
      </c>
    </row>
    <row r="152" ht="13" customHeight="1" s="54">
      <c r="A152" s="38" t="n">
        <v>150</v>
      </c>
      <c r="B152" s="39" t="n">
        <v>11</v>
      </c>
      <c r="C152" s="41" t="inlineStr">
        <is>
          <t>Tyreek Hill</t>
        </is>
      </c>
      <c r="D152" s="41" t="inlineStr">
        <is>
          <t>FA</t>
        </is>
      </c>
      <c r="E152" s="41" t="inlineStr">
        <is>
          <t>WR57</t>
        </is>
      </c>
      <c r="F152" s="42" t="n">
        <v>120</v>
      </c>
      <c r="G152" s="42" t="n">
        <v>203</v>
      </c>
      <c r="H152" s="42" t="n">
        <v>151</v>
      </c>
      <c r="I152" s="42" t="n">
        <v>24</v>
      </c>
      <c r="J152" s="41" t="inlineStr">
        <is>
          <t>-</t>
        </is>
      </c>
      <c r="K152">
        <f>LEFT(E152,2)</f>
        <v/>
      </c>
    </row>
    <row r="153" ht="13" customHeight="1" s="54">
      <c r="A153" s="38" t="n">
        <v>151</v>
      </c>
      <c r="B153" s="39" t="n">
        <v>11</v>
      </c>
      <c r="C153" s="41" t="inlineStr">
        <is>
          <t>Chris Rodriguez Jr.</t>
        </is>
      </c>
      <c r="D153" s="41" t="inlineStr">
        <is>
          <t>JAC</t>
        </is>
      </c>
      <c r="E153" s="41" t="inlineStr">
        <is>
          <t>RB53</t>
        </is>
      </c>
      <c r="F153" s="42" t="n">
        <v>102</v>
      </c>
      <c r="G153" s="42" t="n">
        <v>218</v>
      </c>
      <c r="H153" s="42" t="n">
        <v>153</v>
      </c>
      <c r="I153" s="42" t="n">
        <v>31.9</v>
      </c>
      <c r="J153" s="41" t="inlineStr">
        <is>
          <t>-</t>
        </is>
      </c>
      <c r="K153">
        <f>LEFT(E153,2)</f>
        <v/>
      </c>
    </row>
    <row r="154" ht="13" customHeight="1" s="54">
      <c r="A154" s="38" t="n">
        <v>152</v>
      </c>
      <c r="B154" s="39" t="n">
        <v>11</v>
      </c>
      <c r="C154" s="41" t="inlineStr">
        <is>
          <t>Jalen Coker</t>
        </is>
      </c>
      <c r="D154" s="41" t="inlineStr">
        <is>
          <t>CAR</t>
        </is>
      </c>
      <c r="E154" s="41" t="inlineStr">
        <is>
          <t>WR58</t>
        </is>
      </c>
      <c r="F154" s="42" t="n">
        <v>135</v>
      </c>
      <c r="G154" s="42" t="n">
        <v>175</v>
      </c>
      <c r="H154" s="42" t="n">
        <v>153</v>
      </c>
      <c r="I154" s="42" t="n">
        <v>12.1</v>
      </c>
      <c r="J154" s="41" t="inlineStr">
        <is>
          <t>-</t>
        </is>
      </c>
      <c r="K154">
        <f>LEFT(E154,2)</f>
        <v/>
      </c>
    </row>
    <row r="155" ht="13" customHeight="1" s="54">
      <c r="A155" s="38" t="n">
        <v>153</v>
      </c>
      <c r="B155" s="39" t="n">
        <v>11</v>
      </c>
      <c r="C155" s="41" t="inlineStr">
        <is>
          <t>Deebo Samuel Sr.</t>
        </is>
      </c>
      <c r="D155" s="41" t="inlineStr">
        <is>
          <t>FA</t>
        </is>
      </c>
      <c r="E155" s="41" t="inlineStr">
        <is>
          <t>WR59</t>
        </is>
      </c>
      <c r="F155" s="42" t="n">
        <v>132</v>
      </c>
      <c r="G155" s="42" t="n">
        <v>204</v>
      </c>
      <c r="H155" s="42" t="n">
        <v>154</v>
      </c>
      <c r="I155" s="42" t="n">
        <v>20.3</v>
      </c>
      <c r="J155" s="41" t="inlineStr">
        <is>
          <t>-</t>
        </is>
      </c>
      <c r="K155">
        <f>LEFT(E155,2)</f>
        <v/>
      </c>
    </row>
    <row r="156" ht="13" customHeight="1" s="54">
      <c r="A156" s="38" t="n">
        <v>154</v>
      </c>
      <c r="B156" s="39" t="n">
        <v>11</v>
      </c>
      <c r="C156" s="41" t="inlineStr">
        <is>
          <t>Omar Cooper Jr.</t>
        </is>
      </c>
      <c r="D156" s="41" t="inlineStr">
        <is>
          <t>FA</t>
        </is>
      </c>
      <c r="E156" s="41" t="inlineStr">
        <is>
          <t>WR60</t>
        </is>
      </c>
      <c r="F156" s="42" t="n">
        <v>83</v>
      </c>
      <c r="G156" s="42" t="n">
        <v>264</v>
      </c>
      <c r="H156" s="42" t="n">
        <v>156</v>
      </c>
      <c r="I156" s="42" t="n">
        <v>55.1</v>
      </c>
      <c r="J156" s="41" t="inlineStr">
        <is>
          <t>-</t>
        </is>
      </c>
      <c r="K156">
        <f>LEFT(E156,2)</f>
        <v/>
      </c>
    </row>
    <row r="157" ht="13" customHeight="1" s="54">
      <c r="A157" s="38" t="n">
        <v>155</v>
      </c>
      <c r="B157" s="39" t="n">
        <v>11</v>
      </c>
      <c r="C157" s="41" t="inlineStr">
        <is>
          <t>Isaiah Likely</t>
        </is>
      </c>
      <c r="D157" s="41" t="inlineStr">
        <is>
          <t>NYG</t>
        </is>
      </c>
      <c r="E157" s="41" t="inlineStr">
        <is>
          <t>TE18</t>
        </is>
      </c>
      <c r="F157" s="42" t="n">
        <v>105</v>
      </c>
      <c r="G157" s="42" t="n">
        <v>225</v>
      </c>
      <c r="H157" s="42" t="n">
        <v>158</v>
      </c>
      <c r="I157" s="42" t="n">
        <v>28.4</v>
      </c>
      <c r="J157" s="41" t="inlineStr">
        <is>
          <t>-</t>
        </is>
      </c>
      <c r="K157">
        <f>LEFT(E157,2)</f>
        <v/>
      </c>
    </row>
    <row r="158" ht="13" customHeight="1" s="54">
      <c r="A158" s="38" t="n">
        <v>156</v>
      </c>
      <c r="B158" s="39" t="n">
        <v>11</v>
      </c>
      <c r="C158" s="41" t="inlineStr">
        <is>
          <t>Mark Andrews</t>
        </is>
      </c>
      <c r="D158" s="41" t="inlineStr">
        <is>
          <t>BAL</t>
        </is>
      </c>
      <c r="E158" s="41" t="inlineStr">
        <is>
          <t>TE19</t>
        </is>
      </c>
      <c r="F158" s="42" t="n">
        <v>130</v>
      </c>
      <c r="G158" s="42" t="n">
        <v>195</v>
      </c>
      <c r="H158" s="42" t="n">
        <v>158</v>
      </c>
      <c r="I158" s="42" t="n">
        <v>15.4</v>
      </c>
      <c r="J158" s="41" t="inlineStr">
        <is>
          <t>-</t>
        </is>
      </c>
      <c r="K158">
        <f>LEFT(E158,2)</f>
        <v/>
      </c>
    </row>
    <row r="159" ht="13" customHeight="1" s="54">
      <c r="A159" s="38" t="n">
        <v>157</v>
      </c>
      <c r="B159" s="39" t="n">
        <v>11</v>
      </c>
      <c r="C159" s="41" t="inlineStr">
        <is>
          <t>Kenyon Sadiq</t>
        </is>
      </c>
      <c r="D159" s="41" t="inlineStr">
        <is>
          <t>FA</t>
        </is>
      </c>
      <c r="E159" s="41" t="inlineStr">
        <is>
          <t>TE20</t>
        </is>
      </c>
      <c r="F159" s="42" t="n">
        <v>96</v>
      </c>
      <c r="G159" s="42" t="n">
        <v>260</v>
      </c>
      <c r="H159" s="42" t="n">
        <v>159</v>
      </c>
      <c r="I159" s="42" t="n">
        <v>73.59999999999999</v>
      </c>
      <c r="J159" s="41" t="inlineStr">
        <is>
          <t>-</t>
        </is>
      </c>
      <c r="K159">
        <f>LEFT(E159,2)</f>
        <v/>
      </c>
    </row>
    <row r="160" ht="13" customHeight="1" s="54">
      <c r="A160" s="38" t="n">
        <v>158</v>
      </c>
      <c r="B160" s="39" t="n">
        <v>11</v>
      </c>
      <c r="C160" s="41" t="inlineStr">
        <is>
          <t>Cam Ward</t>
        </is>
      </c>
      <c r="D160" s="41" t="inlineStr">
        <is>
          <t>TEN</t>
        </is>
      </c>
      <c r="E160" s="41" t="inlineStr">
        <is>
          <t>QB24</t>
        </is>
      </c>
      <c r="F160" s="42" t="n">
        <v>152</v>
      </c>
      <c r="G160" s="42" t="n">
        <v>178</v>
      </c>
      <c r="H160" s="42" t="n">
        <v>159</v>
      </c>
      <c r="I160" s="42" t="n">
        <v>11.1</v>
      </c>
      <c r="J160" s="41" t="inlineStr">
        <is>
          <t>-</t>
        </is>
      </c>
      <c r="K160">
        <f>LEFT(E160,2)</f>
        <v/>
      </c>
    </row>
    <row r="161" ht="13" customHeight="1" s="54">
      <c r="A161" s="38" t="n">
        <v>159</v>
      </c>
      <c r="B161" s="39" t="n">
        <v>11</v>
      </c>
      <c r="C161" s="41" t="inlineStr">
        <is>
          <t>Kayshon Boutte</t>
        </is>
      </c>
      <c r="D161" s="41" t="inlineStr">
        <is>
          <t>NE</t>
        </is>
      </c>
      <c r="E161" s="41" t="inlineStr">
        <is>
          <t>WR61</t>
        </is>
      </c>
      <c r="F161" s="42" t="n">
        <v>135</v>
      </c>
      <c r="G161" s="42" t="n">
        <v>179</v>
      </c>
      <c r="H161" s="42" t="n">
        <v>160</v>
      </c>
      <c r="I161" s="42" t="n">
        <v>13.6</v>
      </c>
      <c r="J161" s="41" t="inlineStr">
        <is>
          <t>-</t>
        </is>
      </c>
      <c r="K161">
        <f>LEFT(E161,2)</f>
        <v/>
      </c>
    </row>
    <row r="162" ht="13" customHeight="1" s="54">
      <c r="A162" s="38" t="n">
        <v>160</v>
      </c>
      <c r="B162" s="39" t="n">
        <v>11</v>
      </c>
      <c r="C162" s="41" t="inlineStr">
        <is>
          <t>Denver Broncos</t>
        </is>
      </c>
      <c r="D162" s="41" t="inlineStr">
        <is>
          <t>DEN</t>
        </is>
      </c>
      <c r="E162" s="41" t="inlineStr">
        <is>
          <t>DST2</t>
        </is>
      </c>
      <c r="F162" s="42" t="n">
        <v>160</v>
      </c>
      <c r="G162" s="42" t="n">
        <v>166</v>
      </c>
      <c r="H162" s="42" t="n">
        <v>160</v>
      </c>
      <c r="I162" s="42" t="n">
        <v>1.4</v>
      </c>
      <c r="J162" s="41" t="inlineStr">
        <is>
          <t>-</t>
        </is>
      </c>
      <c r="K162">
        <f>LEFT(E162,2)</f>
        <v/>
      </c>
    </row>
    <row r="163" ht="13" customHeight="1" s="54">
      <c r="A163" s="38" t="n">
        <v>161</v>
      </c>
      <c r="B163" s="39" t="n">
        <v>11</v>
      </c>
      <c r="C163" s="41" t="inlineStr">
        <is>
          <t>Jonah Coleman</t>
        </is>
      </c>
      <c r="D163" s="41" t="inlineStr">
        <is>
          <t>FA</t>
        </is>
      </c>
      <c r="E163" s="41" t="inlineStr">
        <is>
          <t>RB54</t>
        </is>
      </c>
      <c r="F163" s="42" t="n">
        <v>113</v>
      </c>
      <c r="G163" s="42" t="n">
        <v>247</v>
      </c>
      <c r="H163" s="42" t="n">
        <v>162</v>
      </c>
      <c r="I163" s="42" t="n">
        <v>43.4</v>
      </c>
      <c r="J163" s="41" t="inlineStr">
        <is>
          <t>-</t>
        </is>
      </c>
      <c r="K163">
        <f>LEFT(E163,2)</f>
        <v/>
      </c>
    </row>
    <row r="164" ht="13" customHeight="1" s="54">
      <c r="A164" s="38" t="n">
        <v>162</v>
      </c>
      <c r="B164" s="39" t="n">
        <v>11</v>
      </c>
      <c r="C164" s="41" t="inlineStr">
        <is>
          <t>Tyjae Spears</t>
        </is>
      </c>
      <c r="D164" s="41" t="inlineStr">
        <is>
          <t>TEN</t>
        </is>
      </c>
      <c r="E164" s="41" t="inlineStr">
        <is>
          <t>RB55</t>
        </is>
      </c>
      <c r="F164" s="42" t="n">
        <v>145</v>
      </c>
      <c r="G164" s="42" t="n">
        <v>207</v>
      </c>
      <c r="H164" s="42" t="n">
        <v>165</v>
      </c>
      <c r="I164" s="42" t="n">
        <v>16.5</v>
      </c>
      <c r="J164" s="41" t="inlineStr">
        <is>
          <t>-</t>
        </is>
      </c>
      <c r="K164">
        <f>LEFT(E164,2)</f>
        <v/>
      </c>
    </row>
    <row r="165" ht="13" customHeight="1" s="54">
      <c r="A165" s="38" t="n">
        <v>163</v>
      </c>
      <c r="B165" s="39" t="n">
        <v>11</v>
      </c>
      <c r="C165" s="41" t="inlineStr">
        <is>
          <t>Seattle Seahawks</t>
        </is>
      </c>
      <c r="D165" s="41" t="inlineStr">
        <is>
          <t>SEA</t>
        </is>
      </c>
      <c r="E165" s="41" t="inlineStr">
        <is>
          <t>DST3</t>
        </is>
      </c>
      <c r="F165" s="42" t="n">
        <v>160</v>
      </c>
      <c r="G165" s="42" t="n">
        <v>166</v>
      </c>
      <c r="H165" s="42" t="n">
        <v>166</v>
      </c>
      <c r="I165" s="42" t="n">
        <v>1.4</v>
      </c>
      <c r="J165" s="41" t="inlineStr">
        <is>
          <t>-</t>
        </is>
      </c>
      <c r="K165">
        <f>LEFT(E165,2)</f>
        <v/>
      </c>
    </row>
    <row r="166" ht="13" customHeight="1" s="54">
      <c r="A166" s="38" t="n">
        <v>164</v>
      </c>
      <c r="B166" s="39" t="n">
        <v>11</v>
      </c>
      <c r="C166" s="41" t="inlineStr">
        <is>
          <t>Keaton Mitchell</t>
        </is>
      </c>
      <c r="D166" s="41" t="inlineStr">
        <is>
          <t>LAC</t>
        </is>
      </c>
      <c r="E166" s="41" t="inlineStr">
        <is>
          <t>RB56</t>
        </is>
      </c>
      <c r="F166" s="42" t="n">
        <v>140</v>
      </c>
      <c r="G166" s="42" t="n">
        <v>247</v>
      </c>
      <c r="H166" s="42" t="n">
        <v>167</v>
      </c>
      <c r="I166" s="42" t="n">
        <v>22.9</v>
      </c>
      <c r="J166" s="41" t="inlineStr">
        <is>
          <t>-</t>
        </is>
      </c>
      <c r="K166">
        <f>LEFT(E166,2)</f>
        <v/>
      </c>
    </row>
    <row r="167" ht="13" customHeight="1" s="54">
      <c r="A167" s="38" t="n">
        <v>165</v>
      </c>
      <c r="B167" s="39" t="n">
        <v>11</v>
      </c>
      <c r="C167" s="41" t="inlineStr">
        <is>
          <t>Adonai Mitchell</t>
        </is>
      </c>
      <c r="D167" s="41" t="inlineStr">
        <is>
          <t>NYJ</t>
        </is>
      </c>
      <c r="E167" s="41" t="inlineStr">
        <is>
          <t>WR62</t>
        </is>
      </c>
      <c r="F167" s="42" t="n">
        <v>149</v>
      </c>
      <c r="G167" s="42" t="n">
        <v>204</v>
      </c>
      <c r="H167" s="42" t="n">
        <v>167</v>
      </c>
      <c r="I167" s="42" t="n">
        <v>13.2</v>
      </c>
      <c r="J167" s="41" t="inlineStr">
        <is>
          <t>-</t>
        </is>
      </c>
      <c r="K167">
        <f>LEFT(E167,2)</f>
        <v/>
      </c>
    </row>
    <row r="168" ht="13" customHeight="1" s="54">
      <c r="A168" s="38" t="n">
        <v>166</v>
      </c>
      <c r="B168" s="39" t="n">
        <v>11</v>
      </c>
      <c r="C168" s="41" t="inlineStr">
        <is>
          <t>Brian Robinson Jr.</t>
        </is>
      </c>
      <c r="D168" s="41" t="inlineStr">
        <is>
          <t>ATL</t>
        </is>
      </c>
      <c r="E168" s="41" t="inlineStr">
        <is>
          <t>RB57</t>
        </is>
      </c>
      <c r="F168" s="42" t="n">
        <v>126</v>
      </c>
      <c r="G168" s="42" t="n">
        <v>196</v>
      </c>
      <c r="H168" s="42" t="n">
        <v>169</v>
      </c>
      <c r="I168" s="42" t="n">
        <v>18.6</v>
      </c>
      <c r="J168" s="41" t="inlineStr">
        <is>
          <t>-</t>
        </is>
      </c>
      <c r="K168">
        <f>LEFT(E168,2)</f>
        <v/>
      </c>
    </row>
    <row r="169" ht="13" customHeight="1" s="54">
      <c r="A169" s="38" t="n">
        <v>167</v>
      </c>
      <c r="B169" s="39" t="n">
        <v>11</v>
      </c>
      <c r="C169" s="41" t="inlineStr">
        <is>
          <t>Philadelphia Eagles</t>
        </is>
      </c>
      <c r="D169" s="41" t="inlineStr">
        <is>
          <t>PHI</t>
        </is>
      </c>
      <c r="E169" s="41" t="inlineStr">
        <is>
          <t>DST4</t>
        </is>
      </c>
      <c r="F169" s="42" t="n">
        <v>170</v>
      </c>
      <c r="G169" s="42" t="n">
        <v>171</v>
      </c>
      <c r="H169" s="42" t="n">
        <v>171</v>
      </c>
      <c r="I169" s="42" t="n">
        <v>0.5</v>
      </c>
      <c r="J169" s="41" t="inlineStr">
        <is>
          <t>-</t>
        </is>
      </c>
      <c r="K169">
        <f>LEFT(E169,2)</f>
        <v/>
      </c>
    </row>
    <row r="170" ht="13" customHeight="1" s="54">
      <c r="A170" s="38" t="n">
        <v>168</v>
      </c>
      <c r="B170" s="39" t="n">
        <v>11</v>
      </c>
      <c r="C170" s="41" t="inlineStr">
        <is>
          <t>Bryce Young</t>
        </is>
      </c>
      <c r="D170" s="41" t="inlineStr">
        <is>
          <t>CAR</t>
        </is>
      </c>
      <c r="E170" s="41" t="inlineStr">
        <is>
          <t>QB25</t>
        </is>
      </c>
      <c r="F170" s="42" t="n">
        <v>136</v>
      </c>
      <c r="G170" s="42" t="n">
        <v>241</v>
      </c>
      <c r="H170" s="42" t="n">
        <v>171</v>
      </c>
      <c r="I170" s="42" t="n">
        <v>28.9</v>
      </c>
      <c r="J170" s="41" t="inlineStr">
        <is>
          <t>-</t>
        </is>
      </c>
      <c r="K170">
        <f>LEFT(E170,2)</f>
        <v/>
      </c>
    </row>
    <row r="171" ht="13" customHeight="1" s="54">
      <c r="A171" s="38" t="n">
        <v>169</v>
      </c>
      <c r="B171" s="39" t="n">
        <v>11</v>
      </c>
      <c r="C171" s="41" t="inlineStr">
        <is>
          <t>Los Angeles Rams</t>
        </is>
      </c>
      <c r="D171" s="41" t="inlineStr">
        <is>
          <t>LAR</t>
        </is>
      </c>
      <c r="E171" s="41" t="inlineStr">
        <is>
          <t>DST5</t>
        </is>
      </c>
      <c r="F171" s="42" t="n">
        <v>170</v>
      </c>
      <c r="G171" s="42" t="n">
        <v>182</v>
      </c>
      <c r="H171" s="42" t="n">
        <v>172</v>
      </c>
      <c r="I171" s="42" t="n">
        <v>3.9</v>
      </c>
      <c r="J171" s="41" t="inlineStr">
        <is>
          <t>-</t>
        </is>
      </c>
      <c r="K171">
        <f>LEFT(E171,2)</f>
        <v/>
      </c>
    </row>
    <row r="172" ht="13" customHeight="1" s="54">
      <c r="A172" s="38" t="n">
        <v>170</v>
      </c>
      <c r="B172" s="39" t="n">
        <v>11</v>
      </c>
      <c r="C172" s="41" t="inlineStr">
        <is>
          <t>Trey Benson</t>
        </is>
      </c>
      <c r="D172" s="41" t="inlineStr">
        <is>
          <t>ARI</t>
        </is>
      </c>
      <c r="E172" s="41" t="inlineStr">
        <is>
          <t>RB58</t>
        </is>
      </c>
      <c r="F172" s="42" t="n">
        <v>131</v>
      </c>
      <c r="G172" s="42" t="n">
        <v>232</v>
      </c>
      <c r="H172" s="42" t="n">
        <v>172</v>
      </c>
      <c r="I172" s="42" t="n">
        <v>33.1</v>
      </c>
      <c r="J172" s="41" t="inlineStr">
        <is>
          <t>-</t>
        </is>
      </c>
      <c r="K172">
        <f>LEFT(E172,2)</f>
        <v/>
      </c>
    </row>
    <row r="173" ht="13" customHeight="1" s="54">
      <c r="A173" s="38" t="n">
        <v>171</v>
      </c>
      <c r="B173" s="39" t="n">
        <v>11</v>
      </c>
      <c r="C173" s="41" t="inlineStr">
        <is>
          <t>Jerry Jeudy</t>
        </is>
      </c>
      <c r="D173" s="41" t="inlineStr">
        <is>
          <t>CLE</t>
        </is>
      </c>
      <c r="E173" s="41" t="inlineStr">
        <is>
          <t>WR63</t>
        </is>
      </c>
      <c r="F173" s="42" t="n">
        <v>147</v>
      </c>
      <c r="G173" s="42" t="n">
        <v>203</v>
      </c>
      <c r="H173" s="42" t="n">
        <v>173</v>
      </c>
      <c r="I173" s="42" t="n">
        <v>15.1</v>
      </c>
      <c r="J173" s="41" t="inlineStr">
        <is>
          <t>-</t>
        </is>
      </c>
      <c r="K173">
        <f>LEFT(E173,2)</f>
        <v/>
      </c>
    </row>
    <row r="174" ht="13" customHeight="1" s="54">
      <c r="A174" s="38" t="n">
        <v>172</v>
      </c>
      <c r="B174" s="39" t="n">
        <v>11</v>
      </c>
      <c r="C174" s="41" t="inlineStr">
        <is>
          <t>Dalton Schultz</t>
        </is>
      </c>
      <c r="D174" s="41" t="inlineStr">
        <is>
          <t>HOU</t>
        </is>
      </c>
      <c r="E174" s="41" t="inlineStr">
        <is>
          <t>TE21</t>
        </is>
      </c>
      <c r="F174" s="42" t="n">
        <v>137</v>
      </c>
      <c r="G174" s="42" t="n">
        <v>228</v>
      </c>
      <c r="H174" s="42" t="n">
        <v>173</v>
      </c>
      <c r="I174" s="42" t="n">
        <v>21.8</v>
      </c>
      <c r="J174" s="41" t="inlineStr">
        <is>
          <t>-</t>
        </is>
      </c>
      <c r="K174">
        <f>LEFT(E174,2)</f>
        <v/>
      </c>
    </row>
    <row r="175" ht="13" customHeight="1" s="54">
      <c r="A175" s="38" t="n">
        <v>173</v>
      </c>
      <c r="B175" s="39" t="n">
        <v>11</v>
      </c>
      <c r="C175" s="41" t="inlineStr">
        <is>
          <t>Mike Washington Jr.</t>
        </is>
      </c>
      <c r="D175" s="41" t="inlineStr">
        <is>
          <t>FA</t>
        </is>
      </c>
      <c r="E175" s="41" t="inlineStr">
        <is>
          <t>RB59</t>
        </is>
      </c>
      <c r="F175" s="42" t="n">
        <v>131</v>
      </c>
      <c r="G175" s="42" t="n">
        <v>302</v>
      </c>
      <c r="H175" s="42" t="n">
        <v>173</v>
      </c>
      <c r="I175" s="42" t="n">
        <v>53.5</v>
      </c>
      <c r="J175" s="41" t="inlineStr">
        <is>
          <t>-</t>
        </is>
      </c>
      <c r="K175">
        <f>LEFT(E175,2)</f>
        <v/>
      </c>
    </row>
    <row r="176" ht="13" customHeight="1" s="54">
      <c r="A176" s="38" t="n">
        <v>174</v>
      </c>
      <c r="B176" s="39" t="n">
        <v>11</v>
      </c>
      <c r="C176" s="41" t="inlineStr">
        <is>
          <t>Rashid Shaheed</t>
        </is>
      </c>
      <c r="D176" s="41" t="inlineStr">
        <is>
          <t>SEA</t>
        </is>
      </c>
      <c r="E176" s="41" t="inlineStr">
        <is>
          <t>WR64</t>
        </is>
      </c>
      <c r="F176" s="42" t="n">
        <v>162</v>
      </c>
      <c r="G176" s="42" t="n">
        <v>198</v>
      </c>
      <c r="H176" s="42" t="n">
        <v>173</v>
      </c>
      <c r="I176" s="42" t="n">
        <v>9.199999999999999</v>
      </c>
      <c r="J176" s="41" t="inlineStr">
        <is>
          <t>-</t>
        </is>
      </c>
      <c r="K176">
        <f>LEFT(E176,2)</f>
        <v/>
      </c>
    </row>
    <row r="177" ht="13" customHeight="1" s="54">
      <c r="A177" s="38" t="n">
        <v>175</v>
      </c>
      <c r="B177" s="39" t="n">
        <v>11</v>
      </c>
      <c r="C177" s="41" t="inlineStr">
        <is>
          <t>Troy Franklin</t>
        </is>
      </c>
      <c r="D177" s="41" t="inlineStr">
        <is>
          <t>DEN</t>
        </is>
      </c>
      <c r="E177" s="41" t="inlineStr">
        <is>
          <t>WR65</t>
        </is>
      </c>
      <c r="F177" s="42" t="n">
        <v>138</v>
      </c>
      <c r="G177" s="42" t="n">
        <v>244</v>
      </c>
      <c r="H177" s="42" t="n">
        <v>174</v>
      </c>
      <c r="I177" s="42" t="n">
        <v>30.4</v>
      </c>
      <c r="J177" s="41" t="inlineStr">
        <is>
          <t>-</t>
        </is>
      </c>
      <c r="K177">
        <f>LEFT(E177,2)</f>
        <v/>
      </c>
    </row>
    <row r="178" ht="13" customHeight="1" s="54">
      <c r="A178" s="38" t="n">
        <v>176</v>
      </c>
      <c r="B178" s="39" t="n">
        <v>11</v>
      </c>
      <c r="C178" s="41" t="inlineStr">
        <is>
          <t>Kimani Vidal</t>
        </is>
      </c>
      <c r="D178" s="41" t="inlineStr">
        <is>
          <t>LAC</t>
        </is>
      </c>
      <c r="E178" s="41" t="inlineStr">
        <is>
          <t>RB60</t>
        </is>
      </c>
      <c r="F178" s="42" t="n">
        <v>148</v>
      </c>
      <c r="G178" s="42" t="n">
        <v>240</v>
      </c>
      <c r="H178" s="42" t="n">
        <v>176</v>
      </c>
      <c r="I178" s="42" t="n">
        <v>29</v>
      </c>
      <c r="J178" s="41" t="inlineStr">
        <is>
          <t>-</t>
        </is>
      </c>
      <c r="K178">
        <f>LEFT(E178,2)</f>
        <v/>
      </c>
    </row>
    <row r="179" ht="13" customHeight="1" s="54">
      <c r="A179" s="38" t="n">
        <v>177</v>
      </c>
      <c r="B179" s="39" t="n">
        <v>11</v>
      </c>
      <c r="C179" s="41" t="inlineStr">
        <is>
          <t>Isaac TeSlaa</t>
        </is>
      </c>
      <c r="D179" s="41" t="inlineStr">
        <is>
          <t>DET</t>
        </is>
      </c>
      <c r="E179" s="41" t="inlineStr">
        <is>
          <t>WR66</t>
        </is>
      </c>
      <c r="F179" s="42" t="n">
        <v>169</v>
      </c>
      <c r="G179" s="42" t="n">
        <v>194</v>
      </c>
      <c r="H179" s="42" t="n">
        <v>177</v>
      </c>
      <c r="I179" s="42" t="n">
        <v>7</v>
      </c>
      <c r="J179" s="41" t="inlineStr">
        <is>
          <t>-</t>
        </is>
      </c>
      <c r="K179">
        <f>LEFT(E179,2)</f>
        <v/>
      </c>
    </row>
    <row r="180" ht="13" customHeight="1" s="54">
      <c r="A180" s="38" t="n">
        <v>178</v>
      </c>
      <c r="B180" s="39" t="n">
        <v>11</v>
      </c>
      <c r="C180" s="41" t="inlineStr">
        <is>
          <t>Tank Dell</t>
        </is>
      </c>
      <c r="D180" s="41" t="inlineStr">
        <is>
          <t>HOU</t>
        </is>
      </c>
      <c r="E180" s="41" t="inlineStr">
        <is>
          <t>WR67</t>
        </is>
      </c>
      <c r="F180" s="42" t="n">
        <v>164</v>
      </c>
      <c r="G180" s="42" t="n">
        <v>295</v>
      </c>
      <c r="H180" s="42" t="n">
        <v>181</v>
      </c>
      <c r="I180" s="42" t="n">
        <v>29.9</v>
      </c>
      <c r="J180" s="41" t="inlineStr">
        <is>
          <t>-</t>
        </is>
      </c>
      <c r="K180">
        <f>LEFT(E180,2)</f>
        <v/>
      </c>
    </row>
    <row r="181" ht="13" customHeight="1" s="54">
      <c r="A181" s="38" t="n">
        <v>179</v>
      </c>
      <c r="B181" s="39" t="n">
        <v>11</v>
      </c>
      <c r="C181" s="41" t="inlineStr">
        <is>
          <t>Minnesota Vikings</t>
        </is>
      </c>
      <c r="D181" s="41" t="inlineStr">
        <is>
          <t>MIN</t>
        </is>
      </c>
      <c r="E181" s="41" t="inlineStr">
        <is>
          <t>DST6</t>
        </is>
      </c>
      <c r="F181" s="42" t="n">
        <v>182</v>
      </c>
      <c r="G181" s="42" t="n">
        <v>184</v>
      </c>
      <c r="H181" s="42" t="n">
        <v>182</v>
      </c>
      <c r="I181" s="42" t="n">
        <v>0.5</v>
      </c>
      <c r="J181" s="41" t="inlineStr">
        <is>
          <t>-</t>
        </is>
      </c>
      <c r="K181">
        <f>LEFT(E181,2)</f>
        <v/>
      </c>
    </row>
    <row r="182" ht="13" customHeight="1" s="54">
      <c r="A182" s="38" t="n">
        <v>180</v>
      </c>
      <c r="B182" s="39" t="n">
        <v>11</v>
      </c>
      <c r="C182" s="41" t="inlineStr">
        <is>
          <t>Travis Hunter</t>
        </is>
      </c>
      <c r="D182" s="41" t="inlineStr">
        <is>
          <t>JAC</t>
        </is>
      </c>
      <c r="E182" s="41" t="inlineStr">
        <is>
          <t>WR68</t>
        </is>
      </c>
      <c r="F182" s="42" t="n">
        <v>115</v>
      </c>
      <c r="G182" s="42" t="n">
        <v>238</v>
      </c>
      <c r="H182" s="42" t="n">
        <v>183</v>
      </c>
      <c r="I182" s="42" t="n">
        <v>37</v>
      </c>
      <c r="J182" s="41" t="inlineStr">
        <is>
          <t>-</t>
        </is>
      </c>
      <c r="K182">
        <f>LEFT(E182,2)</f>
        <v/>
      </c>
    </row>
    <row r="183" ht="13" customHeight="1" s="54">
      <c r="A183" s="38" t="n">
        <v>181</v>
      </c>
      <c r="B183" s="39" t="n">
        <v>11</v>
      </c>
      <c r="C183" s="41" t="inlineStr">
        <is>
          <t>Matthew Golden</t>
        </is>
      </c>
      <c r="D183" s="41" t="inlineStr">
        <is>
          <t>GB</t>
        </is>
      </c>
      <c r="E183" s="41" t="inlineStr">
        <is>
          <t>WR69</t>
        </is>
      </c>
      <c r="F183" s="42" t="n">
        <v>116</v>
      </c>
      <c r="G183" s="42" t="n">
        <v>209</v>
      </c>
      <c r="H183" s="42" t="n">
        <v>183</v>
      </c>
      <c r="I183" s="42" t="n">
        <v>27.6</v>
      </c>
      <c r="J183" s="41" t="inlineStr">
        <is>
          <t>-</t>
        </is>
      </c>
      <c r="K183">
        <f>LEFT(E183,2)</f>
        <v/>
      </c>
    </row>
    <row r="184" ht="13" customHeight="1" s="54">
      <c r="A184" s="38" t="n">
        <v>182</v>
      </c>
      <c r="B184" s="39" t="n">
        <v>12</v>
      </c>
      <c r="C184" s="41" t="inlineStr">
        <is>
          <t>New England Patriots</t>
        </is>
      </c>
      <c r="D184" s="41" t="inlineStr">
        <is>
          <t>NE</t>
        </is>
      </c>
      <c r="E184" s="41" t="inlineStr">
        <is>
          <t>DST7</t>
        </is>
      </c>
      <c r="F184" s="42" t="n">
        <v>184</v>
      </c>
      <c r="G184" s="42" t="n">
        <v>185</v>
      </c>
      <c r="H184" s="42" t="n">
        <v>184</v>
      </c>
      <c r="I184" s="42" t="n">
        <v>0.2</v>
      </c>
      <c r="J184" s="41" t="inlineStr">
        <is>
          <t>-</t>
        </is>
      </c>
      <c r="K184">
        <f>LEFT(E184,2)</f>
        <v/>
      </c>
    </row>
    <row r="185" ht="13" customHeight="1" s="54">
      <c r="A185" s="38" t="n">
        <v>183</v>
      </c>
      <c r="B185" s="39" t="n">
        <v>12</v>
      </c>
      <c r="C185" s="41" t="inlineStr">
        <is>
          <t>Jacksonville Jaguars</t>
        </is>
      </c>
      <c r="D185" s="41" t="inlineStr">
        <is>
          <t>JAC</t>
        </is>
      </c>
      <c r="E185" s="41" t="inlineStr">
        <is>
          <t>DST8</t>
        </is>
      </c>
      <c r="F185" s="42" t="n">
        <v>185</v>
      </c>
      <c r="G185" s="42" t="n">
        <v>187</v>
      </c>
      <c r="H185" s="42" t="n">
        <v>185</v>
      </c>
      <c r="I185" s="42" t="n">
        <v>0.5</v>
      </c>
      <c r="J185" s="41" t="inlineStr">
        <is>
          <t>-</t>
        </is>
      </c>
      <c r="K185">
        <f>LEFT(E185,2)</f>
        <v/>
      </c>
    </row>
    <row r="186" ht="13" customHeight="1" s="54">
      <c r="A186" s="38" t="n">
        <v>184</v>
      </c>
      <c r="B186" s="39" t="n">
        <v>12</v>
      </c>
      <c r="C186" s="41" t="inlineStr">
        <is>
          <t>Brandon Aubrey</t>
        </is>
      </c>
      <c r="D186" s="41" t="inlineStr">
        <is>
          <t>DAL</t>
        </is>
      </c>
      <c r="E186" s="41" t="inlineStr">
        <is>
          <t>K1</t>
        </is>
      </c>
      <c r="F186" s="42" t="n">
        <v>186</v>
      </c>
      <c r="G186" s="42" t="n">
        <v>186</v>
      </c>
      <c r="H186" s="42" t="n">
        <v>186</v>
      </c>
      <c r="I186" s="42" t="n">
        <v>0</v>
      </c>
      <c r="J186" s="41" t="inlineStr">
        <is>
          <t>-</t>
        </is>
      </c>
      <c r="K186">
        <f>LEFT(E186,2)</f>
        <v/>
      </c>
    </row>
    <row r="187" ht="13" customHeight="1" s="54">
      <c r="A187" s="38" t="n">
        <v>185</v>
      </c>
      <c r="B187" s="39" t="n">
        <v>12</v>
      </c>
      <c r="C187" s="41" t="inlineStr">
        <is>
          <t>Chimere Dike</t>
        </is>
      </c>
      <c r="D187" s="41" t="inlineStr">
        <is>
          <t>TEN</t>
        </is>
      </c>
      <c r="E187" s="41" t="inlineStr">
        <is>
          <t>WR70</t>
        </is>
      </c>
      <c r="F187" s="42" t="n">
        <v>165</v>
      </c>
      <c r="G187" s="42" t="n">
        <v>223</v>
      </c>
      <c r="H187" s="42" t="n">
        <v>187</v>
      </c>
      <c r="I187" s="42" t="n">
        <v>18</v>
      </c>
      <c r="J187" s="41" t="inlineStr">
        <is>
          <t>-</t>
        </is>
      </c>
      <c r="K187">
        <f>LEFT(E187,2)</f>
        <v/>
      </c>
    </row>
    <row r="188" ht="13" customHeight="1" s="54">
      <c r="A188" s="38" t="n">
        <v>186</v>
      </c>
      <c r="B188" s="39" t="n">
        <v>12</v>
      </c>
      <c r="C188" s="41" t="inlineStr">
        <is>
          <t>Los Angeles Chargers</t>
        </is>
      </c>
      <c r="D188" s="41" t="inlineStr">
        <is>
          <t>LAC</t>
        </is>
      </c>
      <c r="E188" s="41" t="inlineStr">
        <is>
          <t>DST9</t>
        </is>
      </c>
      <c r="F188" s="42" t="n">
        <v>187</v>
      </c>
      <c r="G188" s="42" t="n">
        <v>189</v>
      </c>
      <c r="H188" s="42" t="n">
        <v>188</v>
      </c>
      <c r="I188" s="42" t="n">
        <v>0.9</v>
      </c>
      <c r="J188" s="41" t="inlineStr">
        <is>
          <t>-</t>
        </is>
      </c>
      <c r="K188">
        <f>LEFT(E188,2)</f>
        <v/>
      </c>
    </row>
    <row r="189" ht="13" customHeight="1" s="54">
      <c r="A189" s="38" t="n">
        <v>187</v>
      </c>
      <c r="B189" s="39" t="n">
        <v>12</v>
      </c>
      <c r="C189" s="41" t="inlineStr">
        <is>
          <t>Sean Tucker</t>
        </is>
      </c>
      <c r="D189" s="41" t="inlineStr">
        <is>
          <t>TB</t>
        </is>
      </c>
      <c r="E189" s="41" t="inlineStr">
        <is>
          <t>RB61</t>
        </is>
      </c>
      <c r="F189" s="42" t="n">
        <v>161</v>
      </c>
      <c r="G189" s="42" t="n">
        <v>250</v>
      </c>
      <c r="H189" s="42" t="n">
        <v>189</v>
      </c>
      <c r="I189" s="42" t="n">
        <v>25.4</v>
      </c>
      <c r="J189" s="41" t="inlineStr">
        <is>
          <t>-</t>
        </is>
      </c>
      <c r="K189">
        <f>LEFT(E189,2)</f>
        <v/>
      </c>
    </row>
    <row r="190" ht="13" customHeight="1" s="54">
      <c r="A190" s="38" t="n">
        <v>188</v>
      </c>
      <c r="B190" s="39" t="n">
        <v>12</v>
      </c>
      <c r="C190" s="41" t="inlineStr">
        <is>
          <t>Green Bay Packers</t>
        </is>
      </c>
      <c r="D190" s="41" t="inlineStr">
        <is>
          <t>GB</t>
        </is>
      </c>
      <c r="E190" s="41" t="inlineStr">
        <is>
          <t>DST10</t>
        </is>
      </c>
      <c r="F190" s="42" t="n">
        <v>189</v>
      </c>
      <c r="G190" s="42" t="n">
        <v>190</v>
      </c>
      <c r="H190" s="42" t="n">
        <v>189</v>
      </c>
      <c r="I190" s="42" t="n">
        <v>0.4</v>
      </c>
      <c r="J190" s="41" t="inlineStr">
        <is>
          <t>-</t>
        </is>
      </c>
      <c r="K190">
        <f>LEFT(E190,2)</f>
        <v/>
      </c>
    </row>
    <row r="191" ht="13" customHeight="1" s="54">
      <c r="A191" s="38" t="n">
        <v>189</v>
      </c>
      <c r="B191" s="39" t="n">
        <v>12</v>
      </c>
      <c r="C191" s="41" t="inlineStr">
        <is>
          <t>K.C. Concepcion</t>
        </is>
      </c>
      <c r="D191" s="41" t="inlineStr">
        <is>
          <t>FA</t>
        </is>
      </c>
      <c r="E191" s="41" t="inlineStr">
        <is>
          <t>WR71</t>
        </is>
      </c>
      <c r="F191" s="42" t="n">
        <v>89</v>
      </c>
      <c r="G191" s="42" t="n">
        <v>179</v>
      </c>
      <c r="H191" s="42" t="n">
        <v>126</v>
      </c>
      <c r="I191" s="42" t="n">
        <v>26.4</v>
      </c>
      <c r="J191" s="41" t="inlineStr">
        <is>
          <t>-</t>
        </is>
      </c>
      <c r="K191">
        <f>LEFT(E191,2)</f>
        <v/>
      </c>
    </row>
    <row r="192" ht="13" customHeight="1" s="54">
      <c r="A192" s="38" t="n">
        <v>190</v>
      </c>
      <c r="B192" s="39" t="n">
        <v>12</v>
      </c>
      <c r="C192" s="41" t="inlineStr">
        <is>
          <t>Pittsburgh Steelers</t>
        </is>
      </c>
      <c r="D192" s="41" t="inlineStr">
        <is>
          <t>PIT</t>
        </is>
      </c>
      <c r="E192" s="41" t="inlineStr">
        <is>
          <t>DST11</t>
        </is>
      </c>
      <c r="F192" s="42" t="n">
        <v>187</v>
      </c>
      <c r="G192" s="42" t="n">
        <v>193</v>
      </c>
      <c r="H192" s="42" t="n">
        <v>190</v>
      </c>
      <c r="I192" s="42" t="n">
        <v>1.7</v>
      </c>
      <c r="J192" s="41" t="inlineStr">
        <is>
          <t>-</t>
        </is>
      </c>
      <c r="K192">
        <f>LEFT(E192,2)</f>
        <v/>
      </c>
    </row>
    <row r="193" ht="13" customHeight="1" s="54">
      <c r="A193" s="38" t="n">
        <v>191</v>
      </c>
      <c r="B193" s="39" t="n">
        <v>12</v>
      </c>
      <c r="C193" s="41" t="inlineStr">
        <is>
          <t>Ka'imi Fairbairn</t>
        </is>
      </c>
      <c r="D193" s="41" t="inlineStr">
        <is>
          <t>HOU</t>
        </is>
      </c>
      <c r="E193" s="41" t="inlineStr">
        <is>
          <t>K2</t>
        </is>
      </c>
      <c r="F193" s="42" t="n">
        <v>191</v>
      </c>
      <c r="G193" s="42" t="n">
        <v>191</v>
      </c>
      <c r="H193" s="42" t="n">
        <v>191</v>
      </c>
      <c r="I193" s="42" t="n">
        <v>0</v>
      </c>
      <c r="J193" s="41" t="inlineStr">
        <is>
          <t>-</t>
        </is>
      </c>
      <c r="K193">
        <f>LEFT(E193,2)</f>
        <v/>
      </c>
    </row>
    <row r="194" ht="13" customHeight="1" s="54">
      <c r="A194" s="38" t="n">
        <v>192</v>
      </c>
      <c r="B194" s="39" t="n">
        <v>12</v>
      </c>
      <c r="C194" s="41" t="inlineStr">
        <is>
          <t>Emanuel Wilson</t>
        </is>
      </c>
      <c r="D194" s="41" t="inlineStr">
        <is>
          <t>SEA</t>
        </is>
      </c>
      <c r="E194" s="41" t="inlineStr">
        <is>
          <t>RB62</t>
        </is>
      </c>
      <c r="F194" s="42" t="n">
        <v>140</v>
      </c>
      <c r="G194" s="42" t="n">
        <v>218</v>
      </c>
      <c r="H194" s="42" t="n">
        <v>180</v>
      </c>
      <c r="I194" s="42" t="n">
        <v>23.6</v>
      </c>
      <c r="J194" s="41" t="inlineStr">
        <is>
          <t>-</t>
        </is>
      </c>
      <c r="K194">
        <f>LEFT(E194,2)</f>
        <v/>
      </c>
    </row>
    <row r="195" ht="13" customHeight="1" s="54">
      <c r="A195" s="38" t="n">
        <v>193</v>
      </c>
      <c r="B195" s="39" t="n">
        <v>12</v>
      </c>
      <c r="C195" s="41" t="inlineStr">
        <is>
          <t>Cam Little</t>
        </is>
      </c>
      <c r="D195" s="41" t="inlineStr">
        <is>
          <t>JAC</t>
        </is>
      </c>
      <c r="E195" s="41" t="inlineStr">
        <is>
          <t>K3</t>
        </is>
      </c>
      <c r="F195" s="42" t="n">
        <v>192</v>
      </c>
      <c r="G195" s="42" t="n">
        <v>197</v>
      </c>
      <c r="H195" s="42" t="n">
        <v>193</v>
      </c>
      <c r="I195" s="42" t="n">
        <v>2.2</v>
      </c>
      <c r="J195" s="41" t="inlineStr">
        <is>
          <t>-</t>
        </is>
      </c>
      <c r="K195">
        <f>LEFT(E195,2)</f>
        <v/>
      </c>
    </row>
    <row r="196" ht="13" customHeight="1" s="54">
      <c r="A196" s="38" t="n">
        <v>194</v>
      </c>
      <c r="B196" s="39" t="n">
        <v>12</v>
      </c>
      <c r="C196" s="41" t="inlineStr">
        <is>
          <t>Jaylen Wright</t>
        </is>
      </c>
      <c r="D196" s="41" t="inlineStr">
        <is>
          <t>MIA</t>
        </is>
      </c>
      <c r="E196" s="41" t="inlineStr">
        <is>
          <t>RB63</t>
        </is>
      </c>
      <c r="F196" s="42" t="n">
        <v>140</v>
      </c>
      <c r="G196" s="42" t="n">
        <v>259</v>
      </c>
      <c r="H196" s="42" t="n">
        <v>193</v>
      </c>
      <c r="I196" s="42" t="n">
        <v>28.3</v>
      </c>
      <c r="J196" s="41" t="inlineStr">
        <is>
          <t>-</t>
        </is>
      </c>
      <c r="K196">
        <f>LEFT(E196,2)</f>
        <v/>
      </c>
    </row>
    <row r="197" ht="13" customHeight="1" s="54">
      <c r="A197" s="38" t="n">
        <v>195</v>
      </c>
      <c r="B197" s="39" t="n">
        <v>12</v>
      </c>
      <c r="C197" s="41" t="inlineStr">
        <is>
          <t>Elic Ayomanor</t>
        </is>
      </c>
      <c r="D197" s="41" t="inlineStr">
        <is>
          <t>TEN</t>
        </is>
      </c>
      <c r="E197" s="41" t="inlineStr">
        <is>
          <t>WR72</t>
        </is>
      </c>
      <c r="F197" s="42" t="n">
        <v>165</v>
      </c>
      <c r="G197" s="42" t="n">
        <v>243</v>
      </c>
      <c r="H197" s="42" t="n">
        <v>196</v>
      </c>
      <c r="I197" s="42" t="n">
        <v>21.8</v>
      </c>
      <c r="J197" s="41" t="inlineStr">
        <is>
          <t>-</t>
        </is>
      </c>
      <c r="K197">
        <f>LEFT(E197,2)</f>
        <v/>
      </c>
    </row>
    <row r="198" ht="13" customHeight="1" s="54">
      <c r="A198" s="38" t="n">
        <v>196</v>
      </c>
      <c r="B198" s="39" t="n">
        <v>12</v>
      </c>
      <c r="C198" s="41" t="inlineStr">
        <is>
          <t>Cameron Dicker</t>
        </is>
      </c>
      <c r="D198" s="41" t="inlineStr">
        <is>
          <t>LAC</t>
        </is>
      </c>
      <c r="E198" s="41" t="inlineStr">
        <is>
          <t>K4</t>
        </is>
      </c>
      <c r="F198" s="42" t="n">
        <v>192</v>
      </c>
      <c r="G198" s="42" t="n">
        <v>197</v>
      </c>
      <c r="H198" s="42" t="n">
        <v>196</v>
      </c>
      <c r="I198" s="42" t="n">
        <v>2.2</v>
      </c>
      <c r="J198" s="41" t="inlineStr">
        <is>
          <t>-</t>
        </is>
      </c>
      <c r="K198">
        <f>LEFT(E198,2)</f>
        <v/>
      </c>
    </row>
    <row r="199" ht="13" customHeight="1" s="54">
      <c r="A199" s="38" t="n">
        <v>197</v>
      </c>
      <c r="B199" s="39" t="n">
        <v>12</v>
      </c>
      <c r="C199" s="41" t="inlineStr">
        <is>
          <t>Terrance Ferguson</t>
        </is>
      </c>
      <c r="D199" s="41" t="inlineStr">
        <is>
          <t>LAR</t>
        </is>
      </c>
      <c r="E199" s="41" t="inlineStr">
        <is>
          <t>TE22</t>
        </is>
      </c>
      <c r="F199" s="42" t="n">
        <v>172</v>
      </c>
      <c r="G199" s="42" t="n">
        <v>245</v>
      </c>
      <c r="H199" s="42" t="n">
        <v>196</v>
      </c>
      <c r="I199" s="42" t="n">
        <v>20.6</v>
      </c>
      <c r="J199" s="41" t="inlineStr">
        <is>
          <t>-</t>
        </is>
      </c>
      <c r="K199">
        <f>LEFT(E199,2)</f>
        <v/>
      </c>
    </row>
    <row r="200" ht="13" customHeight="1" s="54">
      <c r="A200" s="38" t="n">
        <v>198</v>
      </c>
      <c r="B200" s="39" t="n">
        <v>12</v>
      </c>
      <c r="C200" s="41" t="inlineStr">
        <is>
          <t>Cleveland Browns</t>
        </is>
      </c>
      <c r="D200" s="41" t="inlineStr">
        <is>
          <t>CLE</t>
        </is>
      </c>
      <c r="E200" s="41" t="inlineStr">
        <is>
          <t>DST12</t>
        </is>
      </c>
      <c r="F200" s="42" t="n">
        <v>190</v>
      </c>
      <c r="G200" s="42" t="n">
        <v>205</v>
      </c>
      <c r="H200" s="42" t="n">
        <v>197</v>
      </c>
      <c r="I200" s="42" t="n">
        <v>5.7</v>
      </c>
      <c r="J200" s="41" t="inlineStr">
        <is>
          <t>-</t>
        </is>
      </c>
      <c r="K200">
        <f>LEFT(E200,2)</f>
        <v/>
      </c>
    </row>
    <row r="201" ht="13" customHeight="1" s="54">
      <c r="A201" s="38" t="n">
        <v>199</v>
      </c>
      <c r="B201" s="39" t="n">
        <v>12</v>
      </c>
      <c r="C201" s="41" t="inlineStr">
        <is>
          <t>Jaylin Noel</t>
        </is>
      </c>
      <c r="D201" s="41" t="inlineStr">
        <is>
          <t>HOU</t>
        </is>
      </c>
      <c r="E201" s="41" t="inlineStr">
        <is>
          <t>WR73</t>
        </is>
      </c>
      <c r="F201" s="42" t="n">
        <v>173</v>
      </c>
      <c r="G201" s="42" t="n">
        <v>222</v>
      </c>
      <c r="H201" s="42" t="n">
        <v>197</v>
      </c>
      <c r="I201" s="42" t="n">
        <v>13.8</v>
      </c>
      <c r="J201" s="41" t="inlineStr">
        <is>
          <t>-</t>
        </is>
      </c>
      <c r="K201">
        <f>LEFT(E201,2)</f>
        <v/>
      </c>
    </row>
    <row r="202" ht="13" customHeight="1" s="54">
      <c r="A202" s="38" t="n">
        <v>200</v>
      </c>
      <c r="B202" s="39" t="n">
        <v>12</v>
      </c>
      <c r="C202" s="41" t="inlineStr">
        <is>
          <t>AJ Barner</t>
        </is>
      </c>
      <c r="D202" s="41" t="inlineStr">
        <is>
          <t>SEA</t>
        </is>
      </c>
      <c r="E202" s="41" t="inlineStr">
        <is>
          <t>TE23</t>
        </is>
      </c>
      <c r="F202" s="42" t="n">
        <v>123</v>
      </c>
      <c r="G202" s="42" t="n">
        <v>228</v>
      </c>
      <c r="H202" s="42" t="n">
        <v>197</v>
      </c>
      <c r="I202" s="42" t="n">
        <v>22.2</v>
      </c>
      <c r="J202" s="41" t="inlineStr">
        <is>
          <t>-</t>
        </is>
      </c>
      <c r="K202">
        <f>LEFT(E202,2)</f>
        <v/>
      </c>
    </row>
    <row r="203" ht="13" customHeight="1" s="54">
      <c r="A203" s="38" t="n">
        <v>201</v>
      </c>
      <c r="B203" s="39" t="n">
        <v>12</v>
      </c>
      <c r="C203" s="41" t="inlineStr">
        <is>
          <t>Kyle Williams</t>
        </is>
      </c>
      <c r="D203" s="41" t="inlineStr">
        <is>
          <t>NE</t>
        </is>
      </c>
      <c r="E203" s="41" t="inlineStr">
        <is>
          <t>WR74</t>
        </is>
      </c>
      <c r="F203" s="42" t="n">
        <v>175</v>
      </c>
      <c r="G203" s="42" t="n">
        <v>243</v>
      </c>
      <c r="H203" s="42" t="n">
        <v>199</v>
      </c>
      <c r="I203" s="42" t="n">
        <v>22.1</v>
      </c>
      <c r="J203" s="41" t="inlineStr">
        <is>
          <t>-</t>
        </is>
      </c>
      <c r="K203">
        <f>LEFT(E203,2)</f>
        <v/>
      </c>
    </row>
    <row r="204" ht="13" customHeight="1" s="54">
      <c r="A204" s="38" t="n">
        <v>202</v>
      </c>
      <c r="B204" s="39" t="n">
        <v>12</v>
      </c>
      <c r="C204" s="41" t="inlineStr">
        <is>
          <t>Daniel Jones</t>
        </is>
      </c>
      <c r="D204" s="41" t="inlineStr">
        <is>
          <t>IND</t>
        </is>
      </c>
      <c r="E204" s="41" t="inlineStr">
        <is>
          <t>QB26</t>
        </is>
      </c>
      <c r="F204" s="42" t="n">
        <v>128</v>
      </c>
      <c r="G204" s="42" t="n">
        <v>254</v>
      </c>
      <c r="H204" s="42" t="n">
        <v>202</v>
      </c>
      <c r="I204" s="42" t="n">
        <v>40.4</v>
      </c>
      <c r="J204" s="41" t="inlineStr">
        <is>
          <t>-</t>
        </is>
      </c>
      <c r="K204">
        <f>LEFT(E204,2)</f>
        <v/>
      </c>
    </row>
    <row r="205" ht="13" customHeight="1" s="54">
      <c r="A205" s="38" t="n">
        <v>203</v>
      </c>
      <c r="B205" s="39" t="n">
        <v>12</v>
      </c>
      <c r="C205" s="41" t="inlineStr">
        <is>
          <t>Jalen McMillan</t>
        </is>
      </c>
      <c r="D205" s="41" t="inlineStr">
        <is>
          <t>TB</t>
        </is>
      </c>
      <c r="E205" s="41" t="inlineStr">
        <is>
          <t>WR75</t>
        </is>
      </c>
      <c r="F205" s="42" t="n">
        <v>162</v>
      </c>
      <c r="G205" s="42" t="n">
        <v>229</v>
      </c>
      <c r="H205" s="42" t="n">
        <v>203</v>
      </c>
      <c r="I205" s="42" t="n">
        <v>22</v>
      </c>
      <c r="J205" s="41" t="inlineStr">
        <is>
          <t>-</t>
        </is>
      </c>
      <c r="K205">
        <f>LEFT(E205,2)</f>
        <v/>
      </c>
    </row>
    <row r="206" ht="13" customHeight="1" s="54">
      <c r="A206" s="38" t="n">
        <v>204</v>
      </c>
      <c r="B206" s="39" t="n">
        <v>12</v>
      </c>
      <c r="C206" s="41" t="inlineStr">
        <is>
          <t>Jason Myers</t>
        </is>
      </c>
      <c r="D206" s="41" t="inlineStr">
        <is>
          <t>SEA</t>
        </is>
      </c>
      <c r="E206" s="41" t="inlineStr">
        <is>
          <t>K5</t>
        </is>
      </c>
      <c r="F206" s="42" t="n">
        <v>199</v>
      </c>
      <c r="G206" s="42" t="n">
        <v>210</v>
      </c>
      <c r="H206" s="42" t="n">
        <v>203</v>
      </c>
      <c r="I206" s="42" t="n">
        <v>4.5</v>
      </c>
      <c r="J206" s="41" t="inlineStr">
        <is>
          <t>-</t>
        </is>
      </c>
      <c r="K206">
        <f>LEFT(E206,2)</f>
        <v/>
      </c>
    </row>
    <row r="207" ht="13" customHeight="1" s="54">
      <c r="A207" s="38" t="n">
        <v>205</v>
      </c>
      <c r="B207" s="39" t="n">
        <v>12</v>
      </c>
      <c r="C207" s="41" t="inlineStr">
        <is>
          <t>Tyler Loop</t>
        </is>
      </c>
      <c r="D207" s="41" t="inlineStr">
        <is>
          <t>BAL</t>
        </is>
      </c>
      <c r="E207" s="41" t="inlineStr">
        <is>
          <t>K6</t>
        </is>
      </c>
      <c r="F207" s="42" t="n">
        <v>199</v>
      </c>
      <c r="G207" s="42" t="n">
        <v>212</v>
      </c>
      <c r="H207" s="42" t="n">
        <v>208</v>
      </c>
      <c r="I207" s="42" t="n">
        <v>4.8</v>
      </c>
      <c r="J207" s="41" t="inlineStr">
        <is>
          <t>-</t>
        </is>
      </c>
      <c r="K207">
        <f>LEFT(E207,2)</f>
        <v/>
      </c>
    </row>
    <row r="208" ht="13" customHeight="1" s="54">
      <c r="A208" s="38" t="n">
        <v>206</v>
      </c>
      <c r="B208" s="39" t="n">
        <v>12</v>
      </c>
      <c r="C208" s="41" t="inlineStr">
        <is>
          <t>Kaleb Johnson</t>
        </is>
      </c>
      <c r="D208" s="41" t="inlineStr">
        <is>
          <t>PIT</t>
        </is>
      </c>
      <c r="E208" s="41" t="inlineStr">
        <is>
          <t>RB64</t>
        </is>
      </c>
      <c r="F208" s="42" t="n">
        <v>134</v>
      </c>
      <c r="G208" s="42" t="n">
        <v>291</v>
      </c>
      <c r="H208" s="42" t="n">
        <v>210</v>
      </c>
      <c r="I208" s="42" t="n">
        <v>55.5</v>
      </c>
      <c r="J208" s="41" t="inlineStr">
        <is>
          <t>-</t>
        </is>
      </c>
      <c r="K208">
        <f>LEFT(E208,2)</f>
        <v/>
      </c>
    </row>
    <row r="209" ht="13" customHeight="1" s="54">
      <c r="A209" s="38" t="n">
        <v>207</v>
      </c>
      <c r="B209" s="39" t="n">
        <v>12</v>
      </c>
      <c r="C209" s="41" t="inlineStr">
        <is>
          <t>Evan McPherson</t>
        </is>
      </c>
      <c r="D209" s="41" t="inlineStr">
        <is>
          <t>CIN</t>
        </is>
      </c>
      <c r="E209" s="41" t="inlineStr">
        <is>
          <t>K7</t>
        </is>
      </c>
      <c r="F209" s="42" t="n">
        <v>199</v>
      </c>
      <c r="G209" s="42" t="n">
        <v>239</v>
      </c>
      <c r="H209" s="42" t="n">
        <v>210</v>
      </c>
      <c r="I209" s="42" t="n">
        <v>10.8</v>
      </c>
      <c r="J209" s="41" t="inlineStr">
        <is>
          <t>-</t>
        </is>
      </c>
      <c r="K209">
        <f>LEFT(E209,2)</f>
        <v/>
      </c>
    </row>
    <row r="210" ht="13" customHeight="1" s="54">
      <c r="A210" s="38" t="n">
        <v>208</v>
      </c>
      <c r="B210" s="39" t="n">
        <v>12</v>
      </c>
      <c r="C210" s="41" t="inlineStr">
        <is>
          <t>Tre Tucker</t>
        </is>
      </c>
      <c r="D210" s="41" t="inlineStr">
        <is>
          <t>LV</t>
        </is>
      </c>
      <c r="E210" s="41" t="inlineStr">
        <is>
          <t>WR76</t>
        </is>
      </c>
      <c r="F210" s="42" t="n">
        <v>200</v>
      </c>
      <c r="G210" s="42" t="n">
        <v>231</v>
      </c>
      <c r="H210" s="42" t="n">
        <v>210</v>
      </c>
      <c r="I210" s="42" t="n">
        <v>9.5</v>
      </c>
      <c r="J210" s="41" t="inlineStr">
        <is>
          <t>-</t>
        </is>
      </c>
      <c r="K210">
        <f>LEFT(E210,2)</f>
        <v/>
      </c>
    </row>
    <row r="211" ht="13" customHeight="1" s="54">
      <c r="A211" s="38" t="n">
        <v>209</v>
      </c>
      <c r="B211" s="39" t="n">
        <v>12</v>
      </c>
      <c r="C211" s="41" t="inlineStr">
        <is>
          <t>Tre Harris</t>
        </is>
      </c>
      <c r="D211" s="41" t="inlineStr">
        <is>
          <t>LAC</t>
        </is>
      </c>
      <c r="E211" s="41" t="inlineStr">
        <is>
          <t>WR77</t>
        </is>
      </c>
      <c r="F211" s="42" t="n">
        <v>194</v>
      </c>
      <c r="G211" s="42" t="n">
        <v>269</v>
      </c>
      <c r="H211" s="42" t="n">
        <v>210</v>
      </c>
      <c r="I211" s="42" t="n">
        <v>19.3</v>
      </c>
      <c r="J211" s="41" t="inlineStr">
        <is>
          <t>-</t>
        </is>
      </c>
      <c r="K211">
        <f>LEFT(E211,2)</f>
        <v/>
      </c>
    </row>
    <row r="212" ht="13" customHeight="1" s="54">
      <c r="A212" s="38" t="n">
        <v>210</v>
      </c>
      <c r="B212" s="39" t="n">
        <v>12</v>
      </c>
      <c r="C212" s="41" t="inlineStr">
        <is>
          <t>Ray Davis</t>
        </is>
      </c>
      <c r="D212" s="41" t="inlineStr">
        <is>
          <t>BUF</t>
        </is>
      </c>
      <c r="E212" s="41" t="inlineStr">
        <is>
          <t>RB65</t>
        </is>
      </c>
      <c r="F212" s="42" t="n">
        <v>167</v>
      </c>
      <c r="G212" s="42" t="n">
        <v>240</v>
      </c>
      <c r="H212" s="42" t="n">
        <v>211</v>
      </c>
      <c r="I212" s="42" t="n">
        <v>18.4</v>
      </c>
      <c r="J212" s="41" t="inlineStr">
        <is>
          <t>-</t>
        </is>
      </c>
      <c r="K212">
        <f>LEFT(E212,2)</f>
        <v/>
      </c>
    </row>
    <row r="213" ht="13" customHeight="1" s="54">
      <c r="A213" s="38" t="n">
        <v>211</v>
      </c>
      <c r="B213" s="39" t="n">
        <v>12</v>
      </c>
      <c r="C213" s="41" t="inlineStr">
        <is>
          <t>Jacoby Brissett</t>
        </is>
      </c>
      <c r="D213" s="41" t="inlineStr">
        <is>
          <t>ARI</t>
        </is>
      </c>
      <c r="E213" s="41" t="inlineStr">
        <is>
          <t>QB27</t>
        </is>
      </c>
      <c r="F213" s="42" t="n">
        <v>136</v>
      </c>
      <c r="G213" s="42" t="n">
        <v>284</v>
      </c>
      <c r="H213" s="42" t="n">
        <v>211</v>
      </c>
      <c r="I213" s="42" t="n">
        <v>53.8</v>
      </c>
      <c r="J213" s="41" t="inlineStr">
        <is>
          <t>-</t>
        </is>
      </c>
      <c r="K213">
        <f>LEFT(E213,2)</f>
        <v/>
      </c>
    </row>
    <row r="214" ht="13" customHeight="1" s="54">
      <c r="A214" s="38" t="n">
        <v>212</v>
      </c>
      <c r="B214" s="39" t="n">
        <v>12</v>
      </c>
      <c r="C214" s="41" t="inlineStr">
        <is>
          <t>Kansas City Chiefs</t>
        </is>
      </c>
      <c r="D214" s="41" t="inlineStr">
        <is>
          <t>KC</t>
        </is>
      </c>
      <c r="E214" s="41" t="inlineStr">
        <is>
          <t>DST13</t>
        </is>
      </c>
      <c r="F214" s="42" t="n">
        <v>205</v>
      </c>
      <c r="G214" s="42" t="n">
        <v>219</v>
      </c>
      <c r="H214" s="42" t="n">
        <v>212</v>
      </c>
      <c r="I214" s="42" t="n">
        <v>5</v>
      </c>
      <c r="J214" s="41" t="inlineStr">
        <is>
          <t>-</t>
        </is>
      </c>
      <c r="K214">
        <f>LEFT(E214,2)</f>
        <v/>
      </c>
    </row>
    <row r="215" ht="13" customHeight="1" s="54">
      <c r="A215" s="38" t="n">
        <v>213</v>
      </c>
      <c r="B215" s="39" t="n">
        <v>12</v>
      </c>
      <c r="C215" s="41" t="inlineStr">
        <is>
          <t>Andy Borregales</t>
        </is>
      </c>
      <c r="D215" s="41" t="inlineStr">
        <is>
          <t>NE</t>
        </is>
      </c>
      <c r="E215" s="41" t="inlineStr">
        <is>
          <t>K8</t>
        </is>
      </c>
      <c r="F215" s="42" t="n">
        <v>210</v>
      </c>
      <c r="G215" s="42" t="n">
        <v>216</v>
      </c>
      <c r="H215" s="42" t="n">
        <v>212</v>
      </c>
      <c r="I215" s="42" t="n">
        <v>1.7</v>
      </c>
      <c r="J215" s="41" t="inlineStr">
        <is>
          <t>-</t>
        </is>
      </c>
      <c r="K215">
        <f>LEFT(E215,2)</f>
        <v/>
      </c>
    </row>
    <row r="216" ht="13" customHeight="1" s="54">
      <c r="A216" s="38" t="n">
        <v>214</v>
      </c>
      <c r="B216" s="39" t="n">
        <v>12</v>
      </c>
      <c r="C216" s="41" t="inlineStr">
        <is>
          <t>Chris Brazzell II</t>
        </is>
      </c>
      <c r="D216" s="41" t="inlineStr">
        <is>
          <t>FA</t>
        </is>
      </c>
      <c r="E216" s="41" t="inlineStr">
        <is>
          <t>WR78</t>
        </is>
      </c>
      <c r="F216" s="42" t="n">
        <v>164</v>
      </c>
      <c r="G216" s="42" t="n">
        <v>276</v>
      </c>
      <c r="H216" s="42" t="n">
        <v>212</v>
      </c>
      <c r="I216" s="42" t="n">
        <v>36.1</v>
      </c>
      <c r="J216" s="41" t="inlineStr">
        <is>
          <t>-</t>
        </is>
      </c>
      <c r="K216">
        <f>LEFT(E216,2)</f>
        <v/>
      </c>
    </row>
    <row r="217" ht="13" customHeight="1" s="54">
      <c r="A217" s="38" t="n">
        <v>215</v>
      </c>
      <c r="B217" s="39" t="n">
        <v>12</v>
      </c>
      <c r="C217" s="41" t="inlineStr">
        <is>
          <t>Eddy Pineiro</t>
        </is>
      </c>
      <c r="D217" s="41" t="inlineStr">
        <is>
          <t>SF</t>
        </is>
      </c>
      <c r="E217" s="41" t="inlineStr">
        <is>
          <t>K9</t>
        </is>
      </c>
      <c r="F217" s="42" t="n">
        <v>210</v>
      </c>
      <c r="G217" s="42" t="n">
        <v>214</v>
      </c>
      <c r="H217" s="42" t="n">
        <v>213</v>
      </c>
      <c r="I217" s="42" t="n">
        <v>1.6</v>
      </c>
      <c r="J217" s="41" t="inlineStr">
        <is>
          <t>-</t>
        </is>
      </c>
      <c r="K217">
        <f>LEFT(E217,2)</f>
        <v/>
      </c>
    </row>
    <row r="218" ht="13" customHeight="1" s="54">
      <c r="A218" s="38" t="n">
        <v>216</v>
      </c>
      <c r="B218" s="39" t="n">
        <v>12</v>
      </c>
      <c r="C218" s="41" t="inlineStr">
        <is>
          <t>Nicholas Singleton</t>
        </is>
      </c>
      <c r="D218" s="41" t="inlineStr">
        <is>
          <t>FA</t>
        </is>
      </c>
      <c r="E218" s="41" t="inlineStr">
        <is>
          <t>RB66</t>
        </is>
      </c>
      <c r="F218" s="42" t="n">
        <v>161</v>
      </c>
      <c r="G218" s="42" t="n">
        <v>286</v>
      </c>
      <c r="H218" s="42" t="n">
        <v>214</v>
      </c>
      <c r="I218" s="42" t="n">
        <v>46</v>
      </c>
      <c r="J218" s="41" t="inlineStr">
        <is>
          <t>-</t>
        </is>
      </c>
      <c r="K218">
        <f>LEFT(E218,2)</f>
        <v/>
      </c>
    </row>
    <row r="219" ht="13" customHeight="1" s="54">
      <c r="A219" s="38" t="n">
        <v>217</v>
      </c>
      <c r="B219" s="39" t="n">
        <v>12</v>
      </c>
      <c r="C219" s="41" t="inlineStr">
        <is>
          <t>T.J. Hockenson</t>
        </is>
      </c>
      <c r="D219" s="41" t="inlineStr">
        <is>
          <t>MIN</t>
        </is>
      </c>
      <c r="E219" s="41" t="inlineStr">
        <is>
          <t>TE24</t>
        </is>
      </c>
      <c r="F219" s="42" t="n">
        <v>172</v>
      </c>
      <c r="G219" s="42" t="n">
        <v>253</v>
      </c>
      <c r="H219" s="42" t="n">
        <v>217</v>
      </c>
      <c r="I219" s="42" t="n">
        <v>20.1</v>
      </c>
      <c r="J219" s="41" t="inlineStr">
        <is>
          <t>-</t>
        </is>
      </c>
      <c r="K219">
        <f>LEFT(E219,2)</f>
        <v/>
      </c>
    </row>
    <row r="220" ht="13" customHeight="1" s="54">
      <c r="A220" s="38" t="n">
        <v>218</v>
      </c>
      <c r="B220" s="39" t="n">
        <v>12</v>
      </c>
      <c r="C220" s="41" t="inlineStr">
        <is>
          <t>Kaytron Allen</t>
        </is>
      </c>
      <c r="D220" s="41" t="inlineStr">
        <is>
          <t>FA</t>
        </is>
      </c>
      <c r="E220" s="41" t="inlineStr">
        <is>
          <t>RB67</t>
        </is>
      </c>
      <c r="F220" s="42" t="n">
        <v>155</v>
      </c>
      <c r="G220" s="42" t="n">
        <v>299</v>
      </c>
      <c r="H220" s="42" t="n">
        <v>218</v>
      </c>
      <c r="I220" s="42" t="n">
        <v>51.1</v>
      </c>
      <c r="J220" s="41" t="inlineStr">
        <is>
          <t>-</t>
        </is>
      </c>
      <c r="K220">
        <f>LEFT(E220,2)</f>
        <v/>
      </c>
    </row>
    <row r="221" ht="13" customHeight="1" s="54">
      <c r="A221" s="38" t="n">
        <v>219</v>
      </c>
      <c r="B221" s="39" t="n">
        <v>12</v>
      </c>
      <c r="C221" s="41" t="inlineStr">
        <is>
          <t>Chase McLaughlin</t>
        </is>
      </c>
      <c r="D221" s="41" t="inlineStr">
        <is>
          <t>TB</t>
        </is>
      </c>
      <c r="E221" s="41" t="inlineStr">
        <is>
          <t>K10</t>
        </is>
      </c>
      <c r="F221" s="42" t="n">
        <v>216</v>
      </c>
      <c r="G221" s="42" t="n">
        <v>224</v>
      </c>
      <c r="H221" s="42" t="n">
        <v>218</v>
      </c>
      <c r="I221" s="42" t="n">
        <v>3.5</v>
      </c>
      <c r="J221" s="41" t="inlineStr">
        <is>
          <t>-</t>
        </is>
      </c>
      <c r="K221">
        <f>LEFT(E221,2)</f>
        <v/>
      </c>
    </row>
    <row r="222" ht="13" customHeight="1" s="54">
      <c r="A222" s="38" t="n">
        <v>220</v>
      </c>
      <c r="B222" s="39" t="n">
        <v>12</v>
      </c>
      <c r="C222" s="41" t="inlineStr">
        <is>
          <t>Detroit Lions</t>
        </is>
      </c>
      <c r="D222" s="41" t="inlineStr">
        <is>
          <t>DET</t>
        </is>
      </c>
      <c r="E222" s="41" t="inlineStr">
        <is>
          <t>DST14</t>
        </is>
      </c>
      <c r="F222" s="42" t="n">
        <v>193</v>
      </c>
      <c r="G222" s="42" t="n">
        <v>248</v>
      </c>
      <c r="H222" s="42" t="n">
        <v>219</v>
      </c>
      <c r="I222" s="42" t="n">
        <v>19.2</v>
      </c>
      <c r="J222" s="41" t="inlineStr">
        <is>
          <t>-</t>
        </is>
      </c>
      <c r="K222">
        <f>LEFT(E222,2)</f>
        <v/>
      </c>
    </row>
    <row r="223" ht="13" customHeight="1" s="54">
      <c r="A223" s="38" t="n">
        <v>221</v>
      </c>
      <c r="B223" s="39" t="n">
        <v>12</v>
      </c>
      <c r="C223" s="41" t="inlineStr">
        <is>
          <t>Ryan Flournoy</t>
        </is>
      </c>
      <c r="D223" s="41" t="inlineStr">
        <is>
          <t>DAL</t>
        </is>
      </c>
      <c r="E223" s="41" t="inlineStr">
        <is>
          <t>WR79</t>
        </is>
      </c>
      <c r="F223" s="42" t="n">
        <v>203</v>
      </c>
      <c r="G223" s="42" t="n">
        <v>271</v>
      </c>
      <c r="H223" s="42" t="n">
        <v>219</v>
      </c>
      <c r="I223" s="42" t="n">
        <v>17.4</v>
      </c>
      <c r="J223" s="41" t="inlineStr">
        <is>
          <t>-</t>
        </is>
      </c>
      <c r="K223">
        <f>LEFT(E223,2)</f>
        <v/>
      </c>
    </row>
    <row r="224" ht="13" customHeight="1" s="54">
      <c r="A224" s="38" t="n">
        <v>222</v>
      </c>
      <c r="B224" s="39" t="n">
        <v>12</v>
      </c>
      <c r="C224" s="41" t="inlineStr">
        <is>
          <t>Joe Mixon</t>
        </is>
      </c>
      <c r="D224" s="41" t="inlineStr">
        <is>
          <t>FA</t>
        </is>
      </c>
      <c r="E224" s="41" t="inlineStr">
        <is>
          <t>RB68</t>
        </is>
      </c>
      <c r="F224" s="42" t="n">
        <v>121</v>
      </c>
      <c r="G224" s="42" t="n">
        <v>286</v>
      </c>
      <c r="H224" s="42" t="n">
        <v>209</v>
      </c>
      <c r="I224" s="42" t="n">
        <v>53.3</v>
      </c>
      <c r="J224" s="41" t="inlineStr">
        <is>
          <t>-</t>
        </is>
      </c>
      <c r="K224">
        <f>LEFT(E224,2)</f>
        <v/>
      </c>
    </row>
    <row r="225" ht="13" customHeight="1" s="54">
      <c r="A225" s="38" t="n">
        <v>223</v>
      </c>
      <c r="B225" s="39" t="n">
        <v>12</v>
      </c>
      <c r="C225" s="41" t="inlineStr">
        <is>
          <t>Buffalo Bills</t>
        </is>
      </c>
      <c r="D225" s="41" t="inlineStr">
        <is>
          <t>BUF</t>
        </is>
      </c>
      <c r="E225" s="41" t="inlineStr">
        <is>
          <t>DST15</t>
        </is>
      </c>
      <c r="F225" s="42" t="n">
        <v>211</v>
      </c>
      <c r="G225" s="42" t="n">
        <v>234</v>
      </c>
      <c r="H225" s="42" t="n">
        <v>220</v>
      </c>
      <c r="I225" s="42" t="n">
        <v>6</v>
      </c>
      <c r="J225" s="41" t="inlineStr">
        <is>
          <t>-</t>
        </is>
      </c>
      <c r="K225">
        <f>LEFT(E225,2)</f>
        <v/>
      </c>
    </row>
    <row r="226" ht="13" customHeight="1" s="54">
      <c r="A226" s="38" t="n">
        <v>224</v>
      </c>
      <c r="B226" s="39" t="n">
        <v>13</v>
      </c>
      <c r="C226" s="41" t="inlineStr">
        <is>
          <t>Tory Horton</t>
        </is>
      </c>
      <c r="D226" s="41" t="inlineStr">
        <is>
          <t>SEA</t>
        </is>
      </c>
      <c r="E226" s="41" t="inlineStr">
        <is>
          <t>WR80</t>
        </is>
      </c>
      <c r="F226" s="42" t="n">
        <v>204</v>
      </c>
      <c r="G226" s="42" t="n">
        <v>287</v>
      </c>
      <c r="H226" s="42" t="n">
        <v>221</v>
      </c>
      <c r="I226" s="42" t="n">
        <v>20.5</v>
      </c>
      <c r="J226" s="41" t="inlineStr">
        <is>
          <t>-</t>
        </is>
      </c>
      <c r="K226">
        <f>LEFT(E226,2)</f>
        <v/>
      </c>
    </row>
    <row r="227" ht="13" customHeight="1" s="54">
      <c r="A227" s="38" t="n">
        <v>225</v>
      </c>
      <c r="B227" s="39" t="n">
        <v>13</v>
      </c>
      <c r="C227" s="41" t="inlineStr">
        <is>
          <t>Pat Bryant</t>
        </is>
      </c>
      <c r="D227" s="41" t="inlineStr">
        <is>
          <t>DEN</t>
        </is>
      </c>
      <c r="E227" s="41" t="inlineStr">
        <is>
          <t>WR81</t>
        </is>
      </c>
      <c r="F227" s="42" t="n">
        <v>215</v>
      </c>
      <c r="G227" s="42" t="n">
        <v>238</v>
      </c>
      <c r="H227" s="42" t="n">
        <v>221</v>
      </c>
      <c r="I227" s="42" t="n">
        <v>7.4</v>
      </c>
      <c r="J227" s="41" t="inlineStr">
        <is>
          <t>-</t>
        </is>
      </c>
      <c r="K227">
        <f>LEFT(E227,2)</f>
        <v/>
      </c>
    </row>
    <row r="228" ht="13" customHeight="1" s="54">
      <c r="A228" s="38" t="n">
        <v>226</v>
      </c>
      <c r="B228" s="39" t="n">
        <v>13</v>
      </c>
      <c r="C228" s="41" t="inlineStr">
        <is>
          <t>Eli Stowers</t>
        </is>
      </c>
      <c r="D228" s="41" t="inlineStr">
        <is>
          <t>FA</t>
        </is>
      </c>
      <c r="E228" s="41" t="inlineStr">
        <is>
          <t>TE25</t>
        </is>
      </c>
      <c r="F228" s="42" t="n">
        <v>180</v>
      </c>
      <c r="G228" s="42" t="n">
        <v>280</v>
      </c>
      <c r="H228" s="42" t="n">
        <v>221</v>
      </c>
      <c r="I228" s="42" t="n">
        <v>26.9</v>
      </c>
      <c r="J228" s="41" t="inlineStr">
        <is>
          <t>-</t>
        </is>
      </c>
      <c r="K228">
        <f>LEFT(E228,2)</f>
        <v/>
      </c>
    </row>
    <row r="229" ht="13" customHeight="1" s="54">
      <c r="A229" s="38" t="n">
        <v>227</v>
      </c>
      <c r="B229" s="39" t="n">
        <v>13</v>
      </c>
      <c r="C229" s="41" t="inlineStr">
        <is>
          <t>Kendre Miller</t>
        </is>
      </c>
      <c r="D229" s="41" t="inlineStr">
        <is>
          <t>NO</t>
        </is>
      </c>
      <c r="E229" s="41" t="inlineStr">
        <is>
          <t>RB69</t>
        </is>
      </c>
      <c r="F229" s="42" t="n">
        <v>159</v>
      </c>
      <c r="G229" s="42" t="n">
        <v>296</v>
      </c>
      <c r="H229" s="42" t="n">
        <v>223</v>
      </c>
      <c r="I229" s="42" t="n">
        <v>44.8</v>
      </c>
      <c r="J229" s="41" t="inlineStr">
        <is>
          <t>-</t>
        </is>
      </c>
      <c r="K229">
        <f>LEFT(E229,2)</f>
        <v/>
      </c>
    </row>
    <row r="230" ht="13" customHeight="1" s="54">
      <c r="A230" s="38" t="n">
        <v>228</v>
      </c>
      <c r="B230" s="39" t="n">
        <v>13</v>
      </c>
      <c r="C230" s="41" t="inlineStr">
        <is>
          <t>Theo Johnson</t>
        </is>
      </c>
      <c r="D230" s="41" t="inlineStr">
        <is>
          <t>NYG</t>
        </is>
      </c>
      <c r="E230" s="41" t="inlineStr">
        <is>
          <t>TE26</t>
        </is>
      </c>
      <c r="F230" s="42" t="n">
        <v>180</v>
      </c>
      <c r="G230" s="42" t="n">
        <v>280</v>
      </c>
      <c r="H230" s="42" t="n">
        <v>223</v>
      </c>
      <c r="I230" s="42" t="n">
        <v>30.7</v>
      </c>
      <c r="J230" s="41" t="inlineStr">
        <is>
          <t>-</t>
        </is>
      </c>
      <c r="K230">
        <f>LEFT(E230,2)</f>
        <v/>
      </c>
    </row>
    <row r="231" ht="13" customHeight="1" s="54">
      <c r="A231" s="38" t="n">
        <v>229</v>
      </c>
      <c r="B231" s="39" t="n">
        <v>13</v>
      </c>
      <c r="C231" s="41" t="inlineStr">
        <is>
          <t>Calvin Ridley</t>
        </is>
      </c>
      <c r="D231" s="41" t="inlineStr">
        <is>
          <t>TEN</t>
        </is>
      </c>
      <c r="E231" s="41" t="inlineStr">
        <is>
          <t>WR82</t>
        </is>
      </c>
      <c r="F231" s="42" t="n">
        <v>179</v>
      </c>
      <c r="G231" s="42" t="n">
        <v>246</v>
      </c>
      <c r="H231" s="42" t="n">
        <v>223</v>
      </c>
      <c r="I231" s="42" t="n">
        <v>16.8</v>
      </c>
      <c r="J231" s="41" t="inlineStr">
        <is>
          <t>-</t>
        </is>
      </c>
      <c r="K231">
        <f>LEFT(E231,2)</f>
        <v/>
      </c>
    </row>
    <row r="232" ht="13" customHeight="1" s="54">
      <c r="A232" s="38" t="n">
        <v>230</v>
      </c>
      <c r="B232" s="39" t="n">
        <v>13</v>
      </c>
      <c r="C232" s="41" t="inlineStr">
        <is>
          <t>Baltimore Ravens</t>
        </is>
      </c>
      <c r="D232" s="41" t="inlineStr">
        <is>
          <t>BAL</t>
        </is>
      </c>
      <c r="E232" s="41" t="inlineStr">
        <is>
          <t>DST16</t>
        </is>
      </c>
      <c r="F232" s="42" t="n">
        <v>189</v>
      </c>
      <c r="G232" s="42" t="n">
        <v>248</v>
      </c>
      <c r="H232" s="42" t="n">
        <v>223</v>
      </c>
      <c r="I232" s="42" t="n">
        <v>16.4</v>
      </c>
      <c r="J232" s="41" t="inlineStr">
        <is>
          <t>-</t>
        </is>
      </c>
      <c r="K232">
        <f>LEFT(E232,2)</f>
        <v/>
      </c>
    </row>
    <row r="233" ht="13" customHeight="1" s="54">
      <c r="A233" s="38" t="n">
        <v>231</v>
      </c>
      <c r="B233" s="39" t="n">
        <v>13</v>
      </c>
      <c r="C233" s="41" t="inlineStr">
        <is>
          <t>Cairo Santos</t>
        </is>
      </c>
      <c r="D233" s="41" t="inlineStr">
        <is>
          <t>CHI</t>
        </is>
      </c>
      <c r="E233" s="41" t="inlineStr">
        <is>
          <t>K11</t>
        </is>
      </c>
      <c r="F233" s="42" t="n">
        <v>216</v>
      </c>
      <c r="G233" s="42" t="n">
        <v>233</v>
      </c>
      <c r="H233" s="42" t="n">
        <v>224</v>
      </c>
      <c r="I233" s="42" t="n">
        <v>4.7</v>
      </c>
      <c r="J233" s="41" t="inlineStr">
        <is>
          <t>-</t>
        </is>
      </c>
      <c r="K233">
        <f>LEFT(E233,2)</f>
        <v/>
      </c>
    </row>
    <row r="234" ht="13" customHeight="1" s="54">
      <c r="A234" s="38" t="n">
        <v>232</v>
      </c>
      <c r="B234" s="39" t="n">
        <v>13</v>
      </c>
      <c r="C234" s="41" t="inlineStr">
        <is>
          <t>Ollie Gordon II</t>
        </is>
      </c>
      <c r="D234" s="41" t="inlineStr">
        <is>
          <t>MIA</t>
        </is>
      </c>
      <c r="E234" s="41" t="inlineStr">
        <is>
          <t>RB70</t>
        </is>
      </c>
      <c r="F234" s="42" t="n">
        <v>174</v>
      </c>
      <c r="G234" s="42" t="n">
        <v>250</v>
      </c>
      <c r="H234" s="42" t="n">
        <v>226</v>
      </c>
      <c r="I234" s="42" t="n">
        <v>17.2</v>
      </c>
      <c r="J234" s="41" t="inlineStr">
        <is>
          <t>-</t>
        </is>
      </c>
      <c r="K234">
        <f>LEFT(E234,2)</f>
        <v/>
      </c>
    </row>
    <row r="235" ht="13" customHeight="1" s="54">
      <c r="A235" s="38" t="n">
        <v>233</v>
      </c>
      <c r="B235" s="39" t="n">
        <v>13</v>
      </c>
      <c r="C235" s="41" t="inlineStr">
        <is>
          <t>Devin Neal</t>
        </is>
      </c>
      <c r="D235" s="41" t="inlineStr">
        <is>
          <t>NO</t>
        </is>
      </c>
      <c r="E235" s="41" t="inlineStr">
        <is>
          <t>RB71</t>
        </is>
      </c>
      <c r="F235" s="42" t="n">
        <v>176</v>
      </c>
      <c r="G235" s="42" t="n">
        <v>300</v>
      </c>
      <c r="H235" s="42" t="n">
        <v>227</v>
      </c>
      <c r="I235" s="42" t="n">
        <v>36.7</v>
      </c>
      <c r="J235" s="41" t="inlineStr">
        <is>
          <t>-</t>
        </is>
      </c>
      <c r="K235">
        <f>LEFT(E235,2)</f>
        <v/>
      </c>
    </row>
    <row r="236" ht="13" customHeight="1" s="54">
      <c r="A236" s="38" t="n">
        <v>234</v>
      </c>
      <c r="B236" s="39" t="n">
        <v>13</v>
      </c>
      <c r="C236" s="41" t="inlineStr">
        <is>
          <t>Fernando Mendoza</t>
        </is>
      </c>
      <c r="D236" s="41" t="inlineStr">
        <is>
          <t>FA</t>
        </is>
      </c>
      <c r="E236" s="41" t="inlineStr">
        <is>
          <t>QB28</t>
        </is>
      </c>
      <c r="F236" s="42" t="n">
        <v>146</v>
      </c>
      <c r="G236" s="42" t="n">
        <v>302</v>
      </c>
      <c r="H236" s="42" t="n">
        <v>228</v>
      </c>
      <c r="I236" s="42" t="n">
        <v>53.7</v>
      </c>
      <c r="J236" s="41" t="inlineStr">
        <is>
          <t>-</t>
        </is>
      </c>
      <c r="K236">
        <f>LEFT(E236,2)</f>
        <v/>
      </c>
    </row>
    <row r="237" ht="13" customHeight="1" s="54">
      <c r="A237" s="38" t="n">
        <v>235</v>
      </c>
      <c r="B237" s="39" t="n">
        <v>13</v>
      </c>
      <c r="C237" s="41" t="inlineStr">
        <is>
          <t>Darnell Mooney</t>
        </is>
      </c>
      <c r="D237" s="41" t="inlineStr">
        <is>
          <t>NYG</t>
        </is>
      </c>
      <c r="E237" s="41" t="inlineStr">
        <is>
          <t>WR83</t>
        </is>
      </c>
      <c r="F237" s="42" t="n">
        <v>201</v>
      </c>
      <c r="G237" s="42" t="n">
        <v>268</v>
      </c>
      <c r="H237" s="42" t="n">
        <v>228</v>
      </c>
      <c r="I237" s="42" t="n">
        <v>14.3</v>
      </c>
      <c r="J237" s="41" t="inlineStr">
        <is>
          <t>-</t>
        </is>
      </c>
      <c r="K237">
        <f>LEFT(E237,2)</f>
        <v/>
      </c>
    </row>
    <row r="238" ht="13" customHeight="1" s="54">
      <c r="A238" s="38" t="n">
        <v>236</v>
      </c>
      <c r="B238" s="39" t="n">
        <v>13</v>
      </c>
      <c r="C238" s="41" t="inlineStr">
        <is>
          <t>Rashod Bateman</t>
        </is>
      </c>
      <c r="D238" s="41" t="inlineStr">
        <is>
          <t>BAL</t>
        </is>
      </c>
      <c r="E238" s="41" t="inlineStr">
        <is>
          <t>WR84</t>
        </is>
      </c>
      <c r="F238" s="42" t="n">
        <v>203</v>
      </c>
      <c r="G238" s="42" t="n">
        <v>264</v>
      </c>
      <c r="H238" s="42" t="n">
        <v>228</v>
      </c>
      <c r="I238" s="42" t="n">
        <v>16.6</v>
      </c>
      <c r="J238" s="41" t="inlineStr">
        <is>
          <t>-</t>
        </is>
      </c>
      <c r="K238">
        <f>LEFT(E238,2)</f>
        <v/>
      </c>
    </row>
    <row r="239" ht="13" customHeight="1" s="54">
      <c r="A239" s="38" t="n">
        <v>237</v>
      </c>
      <c r="B239" s="39" t="n">
        <v>13</v>
      </c>
      <c r="C239" s="41" t="inlineStr">
        <is>
          <t>Elijah Sarratt</t>
        </is>
      </c>
      <c r="D239" s="41" t="inlineStr">
        <is>
          <t>FA</t>
        </is>
      </c>
      <c r="E239" s="41" t="inlineStr">
        <is>
          <t>WR85</t>
        </is>
      </c>
      <c r="F239" s="42" t="n">
        <v>168</v>
      </c>
      <c r="G239" s="42" t="n">
        <v>289</v>
      </c>
      <c r="H239" s="42" t="n">
        <v>230</v>
      </c>
      <c r="I239" s="42" t="n">
        <v>37.9</v>
      </c>
      <c r="J239" s="41" t="inlineStr">
        <is>
          <t>-</t>
        </is>
      </c>
      <c r="K239">
        <f>LEFT(E239,2)</f>
        <v/>
      </c>
    </row>
    <row r="240" ht="13" customHeight="1" s="54">
      <c r="A240" s="38" t="n">
        <v>238</v>
      </c>
      <c r="B240" s="39" t="n">
        <v>13</v>
      </c>
      <c r="C240" s="41" t="inlineStr">
        <is>
          <t>David Njoku</t>
        </is>
      </c>
      <c r="D240" s="41" t="inlineStr">
        <is>
          <t>FA</t>
        </is>
      </c>
      <c r="E240" s="41" t="inlineStr">
        <is>
          <t>TE27</t>
        </is>
      </c>
      <c r="F240" s="42" t="n">
        <v>225</v>
      </c>
      <c r="G240" s="42" t="n">
        <v>256</v>
      </c>
      <c r="H240" s="42" t="n">
        <v>233</v>
      </c>
      <c r="I240" s="42" t="n">
        <v>9</v>
      </c>
      <c r="J240" s="41" t="inlineStr">
        <is>
          <t>-</t>
        </is>
      </c>
      <c r="K240">
        <f>LEFT(E240,2)</f>
        <v/>
      </c>
    </row>
    <row r="241" ht="13" customHeight="1" s="54">
      <c r="A241" s="38" t="n">
        <v>239</v>
      </c>
      <c r="B241" s="39" t="n">
        <v>13</v>
      </c>
      <c r="C241" s="41" t="inlineStr">
        <is>
          <t>Marvin Mims Jr.</t>
        </is>
      </c>
      <c r="D241" s="41" t="inlineStr">
        <is>
          <t>DEN</t>
        </is>
      </c>
      <c r="E241" s="41" t="inlineStr">
        <is>
          <t>WR86</t>
        </is>
      </c>
      <c r="F241" s="42" t="n">
        <v>220</v>
      </c>
      <c r="G241" s="42" t="n">
        <v>258</v>
      </c>
      <c r="H241" s="42" t="n">
        <v>234</v>
      </c>
      <c r="I241" s="42" t="n">
        <v>9.6</v>
      </c>
      <c r="J241" s="41" t="inlineStr">
        <is>
          <t>-</t>
        </is>
      </c>
      <c r="K241">
        <f>LEFT(E241,2)</f>
        <v/>
      </c>
    </row>
    <row r="242" ht="13" customHeight="1" s="54">
      <c r="A242" s="38" t="n">
        <v>240</v>
      </c>
      <c r="B242" s="39" t="n">
        <v>13</v>
      </c>
      <c r="C242" s="41" t="inlineStr">
        <is>
          <t>Jake Bates</t>
        </is>
      </c>
      <c r="D242" s="41" t="inlineStr">
        <is>
          <t>DET</t>
        </is>
      </c>
      <c r="E242" s="41" t="inlineStr">
        <is>
          <t>K12</t>
        </is>
      </c>
      <c r="F242" s="42" t="n">
        <v>216</v>
      </c>
      <c r="G242" s="42" t="n">
        <v>249</v>
      </c>
      <c r="H242" s="42" t="n">
        <v>235</v>
      </c>
      <c r="I242" s="42" t="n">
        <v>7.1</v>
      </c>
      <c r="J242" s="41" t="inlineStr">
        <is>
          <t>-</t>
        </is>
      </c>
      <c r="K242">
        <f>LEFT(E242,2)</f>
        <v/>
      </c>
    </row>
    <row r="243" ht="13" customHeight="1" s="54">
      <c r="A243" s="38" t="n">
        <v>241</v>
      </c>
      <c r="B243" s="39" t="n">
        <v>13</v>
      </c>
      <c r="C243" s="41" t="inlineStr">
        <is>
          <t>Mason Taylor</t>
        </is>
      </c>
      <c r="D243" s="41" t="inlineStr">
        <is>
          <t>NYJ</t>
        </is>
      </c>
      <c r="E243" s="41" t="inlineStr">
        <is>
          <t>TE28</t>
        </is>
      </c>
      <c r="F243" s="42" t="n">
        <v>202</v>
      </c>
      <c r="G243" s="42" t="n">
        <v>256</v>
      </c>
      <c r="H243" s="42" t="n">
        <v>238</v>
      </c>
      <c r="I243" s="42" t="n">
        <v>14.4</v>
      </c>
      <c r="J243" s="41" t="inlineStr">
        <is>
          <t>-</t>
        </is>
      </c>
      <c r="K243">
        <f>LEFT(E243,2)</f>
        <v/>
      </c>
    </row>
    <row r="244" ht="13" customHeight="1" s="54">
      <c r="A244" s="38" t="n">
        <v>242</v>
      </c>
      <c r="B244" s="39" t="n">
        <v>13</v>
      </c>
      <c r="C244" s="41" t="inlineStr">
        <is>
          <t>Keon Coleman</t>
        </is>
      </c>
      <c r="D244" s="41" t="inlineStr">
        <is>
          <t>BUF</t>
        </is>
      </c>
      <c r="E244" s="41" t="inlineStr">
        <is>
          <t>WR87</t>
        </is>
      </c>
      <c r="F244" s="42" t="n">
        <v>209</v>
      </c>
      <c r="G244" s="42" t="n">
        <v>288</v>
      </c>
      <c r="H244" s="42" t="n">
        <v>240</v>
      </c>
      <c r="I244" s="42" t="n">
        <v>23.2</v>
      </c>
      <c r="J244" s="41" t="inlineStr">
        <is>
          <t>-</t>
        </is>
      </c>
      <c r="K244">
        <f>LEFT(E244,2)</f>
        <v/>
      </c>
    </row>
    <row r="245" ht="13" customHeight="1" s="54">
      <c r="A245" s="38" t="n">
        <v>243</v>
      </c>
      <c r="B245" s="39" t="n">
        <v>13</v>
      </c>
      <c r="C245" s="41" t="inlineStr">
        <is>
          <t>Chig Okonkwo</t>
        </is>
      </c>
      <c r="D245" s="41" t="inlineStr">
        <is>
          <t>WAS</t>
        </is>
      </c>
      <c r="E245" s="41" t="inlineStr">
        <is>
          <t>TE29</t>
        </is>
      </c>
      <c r="F245" s="42" t="n">
        <v>195</v>
      </c>
      <c r="G245" s="42" t="n">
        <v>267</v>
      </c>
      <c r="H245" s="42" t="n">
        <v>241</v>
      </c>
      <c r="I245" s="42" t="n">
        <v>22.6</v>
      </c>
      <c r="J245" s="41" t="inlineStr">
        <is>
          <t>-</t>
        </is>
      </c>
      <c r="K245">
        <f>LEFT(E245,2)</f>
        <v/>
      </c>
    </row>
    <row r="246" ht="13" customHeight="1" s="54">
      <c r="A246" s="38" t="n">
        <v>244</v>
      </c>
      <c r="B246" s="39" t="n">
        <v>13</v>
      </c>
      <c r="C246" s="41" t="inlineStr">
        <is>
          <t>Xavier Legette</t>
        </is>
      </c>
      <c r="D246" s="41" t="inlineStr">
        <is>
          <t>CAR</t>
        </is>
      </c>
      <c r="E246" s="41" t="inlineStr">
        <is>
          <t>WR88</t>
        </is>
      </c>
      <c r="F246" s="42" t="n">
        <v>222</v>
      </c>
      <c r="G246" s="42" t="n">
        <v>276</v>
      </c>
      <c r="H246" s="42" t="n">
        <v>242</v>
      </c>
      <c r="I246" s="42" t="n">
        <v>14.3</v>
      </c>
      <c r="J246" s="41" t="inlineStr">
        <is>
          <t>-</t>
        </is>
      </c>
      <c r="K246">
        <f>LEFT(E246,2)</f>
        <v/>
      </c>
    </row>
    <row r="247" ht="13" customHeight="1" s="54">
      <c r="A247" s="38" t="n">
        <v>245</v>
      </c>
      <c r="B247" s="39" t="n">
        <v>13</v>
      </c>
      <c r="C247" s="41" t="inlineStr">
        <is>
          <t>Harrison Mevis</t>
        </is>
      </c>
      <c r="D247" s="41" t="inlineStr">
        <is>
          <t>LAR</t>
        </is>
      </c>
      <c r="E247" s="41" t="inlineStr">
        <is>
          <t>K13</t>
        </is>
      </c>
      <c r="F247" s="42" t="n">
        <v>233</v>
      </c>
      <c r="G247" s="42" t="n">
        <v>252</v>
      </c>
      <c r="H247" s="42" t="n">
        <v>242</v>
      </c>
      <c r="I247" s="42" t="n">
        <v>7.9</v>
      </c>
      <c r="J247" s="41" t="inlineStr">
        <is>
          <t>-</t>
        </is>
      </c>
      <c r="K247">
        <f>LEFT(E247,2)</f>
        <v/>
      </c>
    </row>
    <row r="248" ht="13" customHeight="1" s="54">
      <c r="A248" s="38" t="n">
        <v>246</v>
      </c>
      <c r="B248" s="39" t="n">
        <v>13</v>
      </c>
      <c r="C248" s="41" t="inlineStr">
        <is>
          <t>Dontayvion Wicks</t>
        </is>
      </c>
      <c r="D248" s="41" t="inlineStr">
        <is>
          <t>GB</t>
        </is>
      </c>
      <c r="E248" s="41" t="inlineStr">
        <is>
          <t>WR89</t>
        </is>
      </c>
      <c r="F248" s="42" t="n">
        <v>223</v>
      </c>
      <c r="G248" s="42" t="n">
        <v>266</v>
      </c>
      <c r="H248" s="42" t="n">
        <v>243</v>
      </c>
      <c r="I248" s="42" t="n">
        <v>14</v>
      </c>
      <c r="J248" s="41" t="inlineStr">
        <is>
          <t>-</t>
        </is>
      </c>
      <c r="K248">
        <f>LEFT(E248,2)</f>
        <v/>
      </c>
    </row>
    <row r="249" ht="13" customHeight="1" s="54">
      <c r="A249" s="38" t="n">
        <v>247</v>
      </c>
      <c r="B249" s="39" t="n">
        <v>13</v>
      </c>
      <c r="C249" s="41" t="inlineStr">
        <is>
          <t>Mack Hollins</t>
        </is>
      </c>
      <c r="D249" s="41" t="inlineStr">
        <is>
          <t>NE</t>
        </is>
      </c>
      <c r="E249" s="41" t="inlineStr">
        <is>
          <t>WR90</t>
        </is>
      </c>
      <c r="F249" s="42" t="n">
        <v>223</v>
      </c>
      <c r="G249" s="42" t="n">
        <v>285</v>
      </c>
      <c r="H249" s="42" t="n">
        <v>244</v>
      </c>
      <c r="I249" s="42" t="n">
        <v>17.9</v>
      </c>
      <c r="J249" s="41" t="inlineStr">
        <is>
          <t>-</t>
        </is>
      </c>
      <c r="K249">
        <f>LEFT(E249,2)</f>
        <v/>
      </c>
    </row>
    <row r="250" ht="13" customHeight="1" s="54">
      <c r="A250" s="38" t="n">
        <v>248</v>
      </c>
      <c r="B250" s="39" t="n">
        <v>13</v>
      </c>
      <c r="C250" s="41" t="inlineStr">
        <is>
          <t>Isaiah Davis</t>
        </is>
      </c>
      <c r="D250" s="41" t="inlineStr">
        <is>
          <t>NYJ</t>
        </is>
      </c>
      <c r="E250" s="41" t="inlineStr">
        <is>
          <t>RB72</t>
        </is>
      </c>
      <c r="F250" s="42" t="n">
        <v>230</v>
      </c>
      <c r="G250" s="42" t="n">
        <v>296</v>
      </c>
      <c r="H250" s="42" t="n">
        <v>246</v>
      </c>
      <c r="I250" s="42" t="n">
        <v>16.8</v>
      </c>
      <c r="J250" s="41" t="inlineStr">
        <is>
          <t>-</t>
        </is>
      </c>
      <c r="K250">
        <f>LEFT(E250,2)</f>
        <v/>
      </c>
    </row>
    <row r="251" ht="13" customHeight="1" s="54">
      <c r="A251" s="38" t="n">
        <v>249</v>
      </c>
      <c r="B251" s="39" t="n">
        <v>13</v>
      </c>
      <c r="C251" s="41" t="inlineStr">
        <is>
          <t>Colby Parkinson</t>
        </is>
      </c>
      <c r="D251" s="41" t="inlineStr">
        <is>
          <t>LAR</t>
        </is>
      </c>
      <c r="E251" s="41" t="inlineStr">
        <is>
          <t>TE30</t>
        </is>
      </c>
      <c r="F251" s="42" t="n">
        <v>228</v>
      </c>
      <c r="G251" s="42" t="n">
        <v>273</v>
      </c>
      <c r="H251" s="42" t="n">
        <v>248</v>
      </c>
      <c r="I251" s="42" t="n">
        <v>10.4</v>
      </c>
      <c r="J251" s="41" t="inlineStr">
        <is>
          <t>-</t>
        </is>
      </c>
      <c r="K251">
        <f>LEFT(E251,2)</f>
        <v/>
      </c>
    </row>
    <row r="252" ht="13" customHeight="1" s="54">
      <c r="A252" s="38" t="n">
        <v>250</v>
      </c>
      <c r="B252" s="39" t="n">
        <v>13</v>
      </c>
      <c r="C252" s="41" t="inlineStr">
        <is>
          <t>George Holani</t>
        </is>
      </c>
      <c r="D252" s="41" t="inlineStr">
        <is>
          <t>SEA</t>
        </is>
      </c>
      <c r="E252" s="41" t="inlineStr">
        <is>
          <t>RB73</t>
        </is>
      </c>
      <c r="F252" s="42" t="n">
        <v>156</v>
      </c>
      <c r="G252" s="42" t="n">
        <v>295</v>
      </c>
      <c r="H252" s="42" t="n">
        <v>248</v>
      </c>
      <c r="I252" s="42" t="n">
        <v>32.3</v>
      </c>
      <c r="J252" s="41" t="inlineStr">
        <is>
          <t>-</t>
        </is>
      </c>
      <c r="K252">
        <f>LEFT(E252,2)</f>
        <v/>
      </c>
    </row>
    <row r="253" ht="13" customHeight="1" s="54">
      <c r="A253" s="38" t="n">
        <v>251</v>
      </c>
      <c r="B253" s="39" t="n">
        <v>13</v>
      </c>
      <c r="C253" s="41" t="inlineStr">
        <is>
          <t>Najee Harris</t>
        </is>
      </c>
      <c r="D253" s="41" t="inlineStr">
        <is>
          <t>LAC</t>
        </is>
      </c>
      <c r="E253" s="41" t="inlineStr">
        <is>
          <t>RB74</t>
        </is>
      </c>
      <c r="F253" s="42" t="n">
        <v>227</v>
      </c>
      <c r="G253" s="42" t="n">
        <v>274</v>
      </c>
      <c r="H253" s="42" t="n">
        <v>239</v>
      </c>
      <c r="I253" s="42" t="n">
        <v>11.4</v>
      </c>
      <c r="J253" s="41" t="inlineStr">
        <is>
          <t>-</t>
        </is>
      </c>
      <c r="K253">
        <f>LEFT(E253,2)</f>
        <v/>
      </c>
    </row>
    <row r="254" ht="13" customHeight="1" s="54">
      <c r="A254" s="38" t="n">
        <v>252</v>
      </c>
      <c r="B254" s="39" t="n">
        <v>13</v>
      </c>
      <c r="C254" s="41" t="inlineStr">
        <is>
          <t>Chris Boswell</t>
        </is>
      </c>
      <c r="D254" s="41" t="inlineStr">
        <is>
          <t>PIT</t>
        </is>
      </c>
      <c r="E254" s="41" t="inlineStr">
        <is>
          <t>K14</t>
        </is>
      </c>
      <c r="F254" s="42" t="n">
        <v>249</v>
      </c>
      <c r="G254" s="42" t="n">
        <v>252</v>
      </c>
      <c r="H254" s="42" t="n">
        <v>251</v>
      </c>
      <c r="I254" s="42" t="n">
        <v>0.9</v>
      </c>
      <c r="J254" s="41" t="inlineStr">
        <is>
          <t>-</t>
        </is>
      </c>
      <c r="K254">
        <f>LEFT(E254,2)</f>
        <v/>
      </c>
    </row>
    <row r="255" ht="13" customHeight="1" s="54">
      <c r="A255" s="38" t="n">
        <v>253</v>
      </c>
      <c r="B255" s="39" t="n">
        <v>13</v>
      </c>
      <c r="C255" s="41" t="inlineStr">
        <is>
          <t>Pat Freiermuth</t>
        </is>
      </c>
      <c r="D255" s="41" t="inlineStr">
        <is>
          <t>PIT</t>
        </is>
      </c>
      <c r="E255" s="41" t="inlineStr">
        <is>
          <t>TE31</t>
        </is>
      </c>
      <c r="F255" s="42" t="n">
        <v>208</v>
      </c>
      <c r="G255" s="42" t="n">
        <v>260</v>
      </c>
      <c r="H255" s="42" t="n">
        <v>253</v>
      </c>
      <c r="I255" s="42" t="n">
        <v>11.7</v>
      </c>
      <c r="J255" s="41" t="inlineStr">
        <is>
          <t>-</t>
        </is>
      </c>
      <c r="K255">
        <f>LEFT(E255,2)</f>
        <v/>
      </c>
    </row>
    <row r="256" ht="13" customHeight="1" s="54">
      <c r="A256" s="38" t="n">
        <v>254</v>
      </c>
      <c r="B256" s="39" t="n">
        <v>13</v>
      </c>
      <c r="C256" s="41" t="inlineStr">
        <is>
          <t>Malachi Fields</t>
        </is>
      </c>
      <c r="D256" s="41" t="inlineStr">
        <is>
          <t>FA</t>
        </is>
      </c>
      <c r="E256" s="41" t="inlineStr">
        <is>
          <t>WR91</t>
        </is>
      </c>
      <c r="F256" s="42" t="n">
        <v>217</v>
      </c>
      <c r="G256" s="42" t="n">
        <v>276</v>
      </c>
      <c r="H256" s="42" t="n">
        <v>253</v>
      </c>
      <c r="I256" s="42" t="n">
        <v>18.2</v>
      </c>
      <c r="J256" s="41" t="inlineStr">
        <is>
          <t>-</t>
        </is>
      </c>
      <c r="K256">
        <f>LEFT(E256,2)</f>
        <v/>
      </c>
    </row>
    <row r="257" ht="13" customHeight="1" s="54">
      <c r="A257" s="38" t="n">
        <v>255</v>
      </c>
      <c r="B257" s="39" t="n">
        <v>13</v>
      </c>
      <c r="C257" s="41" t="inlineStr">
        <is>
          <t>Harrison Butker</t>
        </is>
      </c>
      <c r="D257" s="41" t="inlineStr">
        <is>
          <t>KC</t>
        </is>
      </c>
      <c r="E257" s="41" t="inlineStr">
        <is>
          <t>K15</t>
        </is>
      </c>
      <c r="F257" s="42" t="n">
        <v>214</v>
      </c>
      <c r="G257" s="42" t="n">
        <v>281</v>
      </c>
      <c r="H257" s="42" t="n">
        <v>254</v>
      </c>
      <c r="I257" s="42" t="n">
        <v>19.4</v>
      </c>
      <c r="J257" s="41" t="inlineStr">
        <is>
          <t>-</t>
        </is>
      </c>
      <c r="K257">
        <f>LEFT(E257,2)</f>
        <v/>
      </c>
    </row>
    <row r="258" ht="13" customHeight="1" s="54">
      <c r="A258" s="38" t="n">
        <v>256</v>
      </c>
      <c r="B258" s="39" t="n">
        <v>13</v>
      </c>
      <c r="C258" s="41" t="inlineStr">
        <is>
          <t>Ty Johnson</t>
        </is>
      </c>
      <c r="D258" s="41" t="inlineStr">
        <is>
          <t>BUF</t>
        </is>
      </c>
      <c r="E258" s="41" t="inlineStr">
        <is>
          <t>RB75</t>
        </is>
      </c>
      <c r="F258" s="42" t="n">
        <v>240</v>
      </c>
      <c r="G258" s="42" t="n">
        <v>289</v>
      </c>
      <c r="H258" s="42" t="n">
        <v>255</v>
      </c>
      <c r="I258" s="42" t="n">
        <v>14</v>
      </c>
      <c r="J258" s="41" t="inlineStr">
        <is>
          <t>-</t>
        </is>
      </c>
      <c r="K258">
        <f>LEFT(E258,2)</f>
        <v/>
      </c>
    </row>
    <row r="259" ht="13" customHeight="1" s="54">
      <c r="A259" s="38" t="n">
        <v>257</v>
      </c>
      <c r="B259" s="39" t="n">
        <v>13</v>
      </c>
      <c r="C259" s="41" t="inlineStr">
        <is>
          <t>Gunnar Helm</t>
        </is>
      </c>
      <c r="D259" s="41" t="inlineStr">
        <is>
          <t>TEN</t>
        </is>
      </c>
      <c r="E259" s="41" t="inlineStr">
        <is>
          <t>TE32</t>
        </is>
      </c>
      <c r="F259" s="42" t="n">
        <v>235</v>
      </c>
      <c r="G259" s="42" t="n">
        <v>273</v>
      </c>
      <c r="H259" s="42" t="n">
        <v>255</v>
      </c>
      <c r="I259" s="42" t="n">
        <v>9.800000000000001</v>
      </c>
      <c r="J259" s="41" t="inlineStr">
        <is>
          <t>-</t>
        </is>
      </c>
      <c r="K259">
        <f>LEFT(E259,2)</f>
        <v/>
      </c>
    </row>
    <row r="260" ht="13" customHeight="1" s="54">
      <c r="A260" s="38" t="n">
        <v>258</v>
      </c>
      <c r="B260" s="39" t="n">
        <v>13</v>
      </c>
      <c r="C260" s="41" t="inlineStr">
        <is>
          <t>Isaac Guerendo</t>
        </is>
      </c>
      <c r="D260" s="41" t="inlineStr">
        <is>
          <t>SF</t>
        </is>
      </c>
      <c r="E260" s="41" t="inlineStr">
        <is>
          <t>RB76</t>
        </is>
      </c>
      <c r="F260" s="42" t="n">
        <v>218</v>
      </c>
      <c r="G260" s="42" t="n">
        <v>317</v>
      </c>
      <c r="H260" s="42" t="n">
        <v>248</v>
      </c>
      <c r="I260" s="42" t="n">
        <v>27.5</v>
      </c>
      <c r="J260" s="41" t="inlineStr">
        <is>
          <t>-</t>
        </is>
      </c>
      <c r="K260">
        <f>LEFT(E260,2)</f>
        <v/>
      </c>
    </row>
    <row r="261" ht="13" customHeight="1" s="54">
      <c r="A261" s="38" t="n">
        <v>259</v>
      </c>
      <c r="B261" s="39" t="n">
        <v>13</v>
      </c>
      <c r="C261" s="41" t="inlineStr">
        <is>
          <t>Cooper Kupp</t>
        </is>
      </c>
      <c r="D261" s="41" t="inlineStr">
        <is>
          <t>SEA</t>
        </is>
      </c>
      <c r="E261" s="41" t="inlineStr">
        <is>
          <t>WR92</t>
        </is>
      </c>
      <c r="F261" s="42" t="n">
        <v>229</v>
      </c>
      <c r="G261" s="42" t="n">
        <v>344</v>
      </c>
      <c r="H261" s="42" t="n">
        <v>256</v>
      </c>
      <c r="I261" s="42" t="n">
        <v>25.8</v>
      </c>
      <c r="J261" s="41" t="inlineStr">
        <is>
          <t>-</t>
        </is>
      </c>
      <c r="K261">
        <f>LEFT(E261,2)</f>
        <v/>
      </c>
    </row>
    <row r="262" ht="13" customHeight="1" s="54">
      <c r="A262" s="38" t="n">
        <v>260</v>
      </c>
      <c r="B262" s="39" t="n">
        <v>13</v>
      </c>
      <c r="C262" s="41" t="inlineStr">
        <is>
          <t>Darius Slayton</t>
        </is>
      </c>
      <c r="D262" s="41" t="inlineStr">
        <is>
          <t>NYG</t>
        </is>
      </c>
      <c r="E262" s="41" t="inlineStr">
        <is>
          <t>WR93</t>
        </is>
      </c>
      <c r="F262" s="42" t="n">
        <v>238</v>
      </c>
      <c r="G262" s="42" t="n">
        <v>292</v>
      </c>
      <c r="H262" s="42" t="n">
        <v>257</v>
      </c>
      <c r="I262" s="42" t="n">
        <v>16.7</v>
      </c>
      <c r="J262" s="41" t="inlineStr">
        <is>
          <t>-</t>
        </is>
      </c>
      <c r="K262">
        <f>LEFT(E262,2)</f>
        <v/>
      </c>
    </row>
    <row r="263" ht="13" customHeight="1" s="54">
      <c r="A263" s="38" t="n">
        <v>261</v>
      </c>
      <c r="B263" s="39" t="n">
        <v>13</v>
      </c>
      <c r="C263" s="41" t="inlineStr">
        <is>
          <t>Michael Penix Jr.</t>
        </is>
      </c>
      <c r="D263" s="41" t="inlineStr">
        <is>
          <t>ATL</t>
        </is>
      </c>
      <c r="E263" s="41" t="inlineStr">
        <is>
          <t>QB29</t>
        </is>
      </c>
      <c r="F263" s="42" t="n">
        <v>178</v>
      </c>
      <c r="G263" s="42" t="n">
        <v>320</v>
      </c>
      <c r="H263" s="42" t="n">
        <v>259</v>
      </c>
      <c r="I263" s="42" t="n">
        <v>36.3</v>
      </c>
      <c r="J263" s="41" t="inlineStr">
        <is>
          <t>-</t>
        </is>
      </c>
      <c r="K263">
        <f>LEFT(E263,2)</f>
        <v/>
      </c>
    </row>
    <row r="264" ht="13" customHeight="1" s="54">
      <c r="A264" s="38" t="n">
        <v>262</v>
      </c>
      <c r="B264" s="39" t="n">
        <v>13</v>
      </c>
      <c r="C264" s="41" t="inlineStr">
        <is>
          <t>Jaydon Blue</t>
        </is>
      </c>
      <c r="D264" s="41" t="inlineStr">
        <is>
          <t>DAL</t>
        </is>
      </c>
      <c r="E264" s="41" t="inlineStr">
        <is>
          <t>RB77</t>
        </is>
      </c>
      <c r="F264" s="42" t="n">
        <v>161</v>
      </c>
      <c r="G264" s="42" t="n">
        <v>314</v>
      </c>
      <c r="H264" s="42" t="n">
        <v>260</v>
      </c>
      <c r="I264" s="42" t="n">
        <v>36.3</v>
      </c>
      <c r="J264" s="41" t="inlineStr">
        <is>
          <t>-</t>
        </is>
      </c>
      <c r="K264">
        <f>LEFT(E264,2)</f>
        <v/>
      </c>
    </row>
    <row r="265" ht="13" customHeight="1" s="54">
      <c r="A265" s="38" t="n">
        <v>263</v>
      </c>
      <c r="B265" s="39" t="n">
        <v>13</v>
      </c>
      <c r="C265" s="41" t="inlineStr">
        <is>
          <t>Zachariah Branch</t>
        </is>
      </c>
      <c r="D265" s="41" t="inlineStr">
        <is>
          <t>FA</t>
        </is>
      </c>
      <c r="E265" s="41" t="inlineStr">
        <is>
          <t>WR94</t>
        </is>
      </c>
      <c r="F265" s="42" t="n">
        <v>200</v>
      </c>
      <c r="G265" s="42" t="n">
        <v>297</v>
      </c>
      <c r="H265" s="42" t="n">
        <v>262</v>
      </c>
      <c r="I265" s="42" t="n">
        <v>26.7</v>
      </c>
      <c r="J265" s="41" t="inlineStr">
        <is>
          <t>-</t>
        </is>
      </c>
      <c r="K265">
        <f>LEFT(E265,2)</f>
        <v/>
      </c>
    </row>
    <row r="266" ht="13" customHeight="1" s="54">
      <c r="A266" s="38" t="n">
        <v>264</v>
      </c>
      <c r="B266" s="39" t="n">
        <v>13</v>
      </c>
      <c r="C266" s="41" t="inlineStr">
        <is>
          <t>Charlie Smyth</t>
        </is>
      </c>
      <c r="D266" s="41" t="inlineStr">
        <is>
          <t>NO</t>
        </is>
      </c>
      <c r="E266" s="41" t="inlineStr">
        <is>
          <t>K16</t>
        </is>
      </c>
      <c r="F266" s="42" t="n">
        <v>249</v>
      </c>
      <c r="G266" s="42" t="n">
        <v>316</v>
      </c>
      <c r="H266" s="42" t="n">
        <v>255</v>
      </c>
      <c r="I266" s="42" t="n">
        <v>16.4</v>
      </c>
      <c r="J266" s="41" t="inlineStr">
        <is>
          <t>-</t>
        </is>
      </c>
      <c r="K266">
        <f>LEFT(E266,2)</f>
        <v/>
      </c>
    </row>
    <row r="267" ht="13" customHeight="1" s="54">
      <c r="A267" s="38" t="n">
        <v>265</v>
      </c>
      <c r="B267" s="39" t="n">
        <v>14</v>
      </c>
      <c r="C267" s="41" t="inlineStr">
        <is>
          <t>Germie Bernard</t>
        </is>
      </c>
      <c r="D267" s="41" t="inlineStr">
        <is>
          <t>FA</t>
        </is>
      </c>
      <c r="E267" s="41" t="inlineStr">
        <is>
          <t>WR95</t>
        </is>
      </c>
      <c r="F267" s="42" t="n">
        <v>203</v>
      </c>
      <c r="G267" s="42" t="n">
        <v>318</v>
      </c>
      <c r="H267" s="42" t="n">
        <v>265</v>
      </c>
      <c r="I267" s="42" t="n">
        <v>34.9</v>
      </c>
      <c r="J267" s="41" t="inlineStr">
        <is>
          <t>-</t>
        </is>
      </c>
      <c r="K267">
        <f>LEFT(E267,2)</f>
        <v/>
      </c>
    </row>
    <row r="268" ht="13" customHeight="1" s="54">
      <c r="A268" s="38" t="n">
        <v>266</v>
      </c>
      <c r="B268" s="39" t="n">
        <v>14</v>
      </c>
      <c r="C268" s="41" t="inlineStr">
        <is>
          <t>Demond Claiborne</t>
        </is>
      </c>
      <c r="D268" s="41" t="inlineStr">
        <is>
          <t>FA</t>
        </is>
      </c>
      <c r="E268" s="41" t="inlineStr">
        <is>
          <t>RB78</t>
        </is>
      </c>
      <c r="F268" s="42" t="n">
        <v>232</v>
      </c>
      <c r="G268" s="42" t="n">
        <v>306</v>
      </c>
      <c r="H268" s="42" t="n">
        <v>265</v>
      </c>
      <c r="I268" s="42" t="n">
        <v>25.2</v>
      </c>
      <c r="J268" s="41" t="inlineStr">
        <is>
          <t>-</t>
        </is>
      </c>
      <c r="K268">
        <f>LEFT(E268,2)</f>
        <v/>
      </c>
    </row>
    <row r="269" ht="13" customHeight="1" s="54">
      <c r="A269" s="38" t="n">
        <v>267</v>
      </c>
      <c r="B269" s="39" t="n">
        <v>14</v>
      </c>
      <c r="C269" s="41" t="inlineStr">
        <is>
          <t>Atlanta Falcons</t>
        </is>
      </c>
      <c r="D269" s="41" t="inlineStr">
        <is>
          <t>ATL</t>
        </is>
      </c>
      <c r="E269" s="41" t="inlineStr">
        <is>
          <t>DST17</t>
        </is>
      </c>
      <c r="F269" s="42" t="n">
        <v>234</v>
      </c>
      <c r="G269" s="42" t="n">
        <v>279</v>
      </c>
      <c r="H269" s="42" t="n">
        <v>258</v>
      </c>
      <c r="I269" s="42" t="n">
        <v>16.6</v>
      </c>
      <c r="J269" s="41" t="inlineStr">
        <is>
          <t>-</t>
        </is>
      </c>
      <c r="K269">
        <f>LEFT(E269,2)</f>
        <v/>
      </c>
    </row>
    <row r="270" ht="13" customHeight="1" s="54">
      <c r="A270" s="38" t="n">
        <v>268</v>
      </c>
      <c r="B270" s="39" t="n">
        <v>14</v>
      </c>
      <c r="C270" s="41" t="inlineStr">
        <is>
          <t>Keenan Allen</t>
        </is>
      </c>
      <c r="D270" s="41" t="inlineStr">
        <is>
          <t>LAC</t>
        </is>
      </c>
      <c r="E270" s="41" t="inlineStr">
        <is>
          <t>WR96</t>
        </is>
      </c>
      <c r="F270" s="42" t="n">
        <v>258</v>
      </c>
      <c r="G270" s="42" t="n">
        <v>287</v>
      </c>
      <c r="H270" s="42" t="n">
        <v>266</v>
      </c>
      <c r="I270" s="42" t="n">
        <v>7</v>
      </c>
      <c r="J270" s="41" t="inlineStr">
        <is>
          <t>-</t>
        </is>
      </c>
      <c r="K270">
        <f>LEFT(E270,2)</f>
        <v/>
      </c>
    </row>
    <row r="271" ht="13" customHeight="1" s="54">
      <c r="A271" s="38" t="n">
        <v>269</v>
      </c>
      <c r="B271" s="39" t="n">
        <v>14</v>
      </c>
      <c r="C271" s="41" t="inlineStr">
        <is>
          <t>Devaughn Vele</t>
        </is>
      </c>
      <c r="D271" s="41" t="inlineStr">
        <is>
          <t>NO</t>
        </is>
      </c>
      <c r="E271" s="41" t="inlineStr">
        <is>
          <t>WR97</t>
        </is>
      </c>
      <c r="F271" s="42" t="n">
        <v>217</v>
      </c>
      <c r="G271" s="42" t="n">
        <v>292</v>
      </c>
      <c r="H271" s="42" t="n">
        <v>266</v>
      </c>
      <c r="I271" s="42" t="n">
        <v>15.9</v>
      </c>
      <c r="J271" s="41" t="inlineStr">
        <is>
          <t>-</t>
        </is>
      </c>
      <c r="K271">
        <f>LEFT(E271,2)</f>
        <v/>
      </c>
    </row>
    <row r="272" ht="13" customHeight="1" s="54">
      <c r="A272" s="38" t="n">
        <v>270</v>
      </c>
      <c r="B272" s="39" t="n">
        <v>14</v>
      </c>
      <c r="C272" s="41" t="inlineStr">
        <is>
          <t>Jaleel McLaughlin</t>
        </is>
      </c>
      <c r="D272" s="41" t="inlineStr">
        <is>
          <t>DEN</t>
        </is>
      </c>
      <c r="E272" s="41" t="inlineStr">
        <is>
          <t>RB79</t>
        </is>
      </c>
      <c r="F272" s="42" t="n">
        <v>227</v>
      </c>
      <c r="G272" s="42" t="n">
        <v>309</v>
      </c>
      <c r="H272" s="42" t="n">
        <v>260</v>
      </c>
      <c r="I272" s="42" t="n">
        <v>25.8</v>
      </c>
      <c r="J272" s="41" t="inlineStr">
        <is>
          <t>-</t>
        </is>
      </c>
      <c r="K272">
        <f>LEFT(E272,2)</f>
        <v/>
      </c>
    </row>
    <row r="273" ht="13" customHeight="1" s="54">
      <c r="A273" s="38" t="n">
        <v>271</v>
      </c>
      <c r="B273" s="39" t="n">
        <v>14</v>
      </c>
      <c r="C273" s="41" t="inlineStr">
        <is>
          <t>Cade Otton</t>
        </is>
      </c>
      <c r="D273" s="41" t="inlineStr">
        <is>
          <t>TB</t>
        </is>
      </c>
      <c r="E273" s="41" t="inlineStr">
        <is>
          <t>TE33</t>
        </is>
      </c>
      <c r="F273" s="42" t="n">
        <v>228</v>
      </c>
      <c r="G273" s="42" t="n">
        <v>290</v>
      </c>
      <c r="H273" s="42" t="n">
        <v>268</v>
      </c>
      <c r="I273" s="42" t="n">
        <v>12.9</v>
      </c>
      <c r="J273" s="41" t="inlineStr">
        <is>
          <t>-</t>
        </is>
      </c>
      <c r="K273">
        <f>LEFT(E273,2)</f>
        <v/>
      </c>
    </row>
    <row r="274" ht="13" customHeight="1" s="54">
      <c r="A274" s="38" t="n">
        <v>272</v>
      </c>
      <c r="B274" s="39" t="n">
        <v>14</v>
      </c>
      <c r="C274" s="41" t="inlineStr">
        <is>
          <t>Adam Randall</t>
        </is>
      </c>
      <c r="D274" s="41" t="inlineStr">
        <is>
          <t>FA</t>
        </is>
      </c>
      <c r="E274" s="41" t="inlineStr">
        <is>
          <t>RB80</t>
        </is>
      </c>
      <c r="F274" s="42" t="n">
        <v>236</v>
      </c>
      <c r="G274" s="42" t="n">
        <v>314</v>
      </c>
      <c r="H274" s="42" t="n">
        <v>268</v>
      </c>
      <c r="I274" s="42" t="n">
        <v>32.1</v>
      </c>
      <c r="J274" s="41" t="inlineStr">
        <is>
          <t>-</t>
        </is>
      </c>
      <c r="K274">
        <f>LEFT(E274,2)</f>
        <v/>
      </c>
    </row>
    <row r="275" ht="13" customHeight="1" s="54">
      <c r="A275" s="38" t="n">
        <v>273</v>
      </c>
      <c r="B275" s="39" t="n">
        <v>14</v>
      </c>
      <c r="C275" s="41" t="inlineStr">
        <is>
          <t>Brashard Smith</t>
        </is>
      </c>
      <c r="D275" s="41" t="inlineStr">
        <is>
          <t>KC</t>
        </is>
      </c>
      <c r="E275" s="41" t="inlineStr">
        <is>
          <t>RB81</t>
        </is>
      </c>
      <c r="F275" s="42" t="n">
        <v>247</v>
      </c>
      <c r="G275" s="42" t="n">
        <v>286</v>
      </c>
      <c r="H275" s="42" t="n">
        <v>268</v>
      </c>
      <c r="I275" s="42" t="n">
        <v>12.8</v>
      </c>
      <c r="J275" s="41" t="inlineStr">
        <is>
          <t>-</t>
        </is>
      </c>
      <c r="K275">
        <f>LEFT(E275,2)</f>
        <v/>
      </c>
    </row>
    <row r="276" ht="13" customHeight="1" s="54">
      <c r="A276" s="38" t="n">
        <v>274</v>
      </c>
      <c r="B276" s="39" t="n">
        <v>14</v>
      </c>
      <c r="C276" s="41" t="inlineStr">
        <is>
          <t>DJ Giddens</t>
        </is>
      </c>
      <c r="D276" s="41" t="inlineStr">
        <is>
          <t>IND</t>
        </is>
      </c>
      <c r="E276" s="41" t="inlineStr">
        <is>
          <t>RB82</t>
        </is>
      </c>
      <c r="F276" s="42" t="n">
        <v>207</v>
      </c>
      <c r="G276" s="42" t="n">
        <v>312</v>
      </c>
      <c r="H276" s="42" t="n">
        <v>261</v>
      </c>
      <c r="I276" s="42" t="n">
        <v>26.9</v>
      </c>
      <c r="J276" s="41" t="inlineStr">
        <is>
          <t>-</t>
        </is>
      </c>
      <c r="K276">
        <f>LEFT(E276,2)</f>
        <v/>
      </c>
    </row>
    <row r="277" ht="13" customHeight="1" s="54">
      <c r="A277" s="38" t="n">
        <v>275</v>
      </c>
      <c r="B277" s="39" t="n">
        <v>14</v>
      </c>
      <c r="C277" s="41" t="inlineStr">
        <is>
          <t>Isaiah Bond</t>
        </is>
      </c>
      <c r="D277" s="41" t="inlineStr">
        <is>
          <t>CLE</t>
        </is>
      </c>
      <c r="E277" s="41" t="inlineStr">
        <is>
          <t>WR98</t>
        </is>
      </c>
      <c r="F277" s="42" t="n">
        <v>231</v>
      </c>
      <c r="G277" s="42" t="n">
        <v>310</v>
      </c>
      <c r="H277" s="42" t="n">
        <v>261</v>
      </c>
      <c r="I277" s="42" t="n">
        <v>22.4</v>
      </c>
      <c r="J277" s="41" t="inlineStr">
        <is>
          <t>-</t>
        </is>
      </c>
      <c r="K277">
        <f>LEFT(E277,2)</f>
        <v/>
      </c>
    </row>
    <row r="278" ht="13" customHeight="1" s="54">
      <c r="A278" s="38" t="n">
        <v>276</v>
      </c>
      <c r="B278" s="39" t="n">
        <v>14</v>
      </c>
      <c r="C278" s="41" t="inlineStr">
        <is>
          <t>Malik Davis</t>
        </is>
      </c>
      <c r="D278" s="41" t="inlineStr">
        <is>
          <t>DAL</t>
        </is>
      </c>
      <c r="E278" s="41" t="inlineStr">
        <is>
          <t>RB83</t>
        </is>
      </c>
      <c r="F278" s="42" t="n">
        <v>236</v>
      </c>
      <c r="G278" s="42" t="n">
        <v>310</v>
      </c>
      <c r="H278" s="42" t="n">
        <v>261</v>
      </c>
      <c r="I278" s="42" t="n">
        <v>20.9</v>
      </c>
      <c r="J278" s="41" t="inlineStr">
        <is>
          <t>-</t>
        </is>
      </c>
      <c r="K278">
        <f>LEFT(E278,2)</f>
        <v/>
      </c>
    </row>
    <row r="279" ht="13" customHeight="1" s="54">
      <c r="A279" s="38" t="n">
        <v>277</v>
      </c>
      <c r="B279" s="39" t="n">
        <v>14</v>
      </c>
      <c r="C279" s="41" t="inlineStr">
        <is>
          <t>J.J. McCarthy</t>
        </is>
      </c>
      <c r="D279" s="41" t="inlineStr">
        <is>
          <t>MIN</t>
        </is>
      </c>
      <c r="E279" s="41" t="inlineStr">
        <is>
          <t>QB30</t>
        </is>
      </c>
      <c r="F279" s="42" t="n">
        <v>158</v>
      </c>
      <c r="G279" s="42" t="n">
        <v>379</v>
      </c>
      <c r="H279" s="42" t="n">
        <v>271</v>
      </c>
      <c r="I279" s="42" t="n">
        <v>68</v>
      </c>
      <c r="J279" s="41" t="inlineStr">
        <is>
          <t>-</t>
        </is>
      </c>
      <c r="K279">
        <f>LEFT(E279,2)</f>
        <v/>
      </c>
    </row>
    <row r="280" ht="13" customHeight="1" s="54">
      <c r="A280" s="38" t="n">
        <v>278</v>
      </c>
      <c r="B280" s="39" t="n">
        <v>14</v>
      </c>
      <c r="C280" s="41" t="inlineStr">
        <is>
          <t>Jalen Nailor</t>
        </is>
      </c>
      <c r="D280" s="41" t="inlineStr">
        <is>
          <t>LV</t>
        </is>
      </c>
      <c r="E280" s="41" t="inlineStr">
        <is>
          <t>WR99</t>
        </is>
      </c>
      <c r="F280" s="42" t="n">
        <v>153</v>
      </c>
      <c r="G280" s="42" t="n">
        <v>299</v>
      </c>
      <c r="H280" s="42" t="n">
        <v>253</v>
      </c>
      <c r="I280" s="42" t="n">
        <v>50</v>
      </c>
      <c r="J280" s="41" t="inlineStr">
        <is>
          <t>-</t>
        </is>
      </c>
      <c r="K280">
        <f>LEFT(E280,2)</f>
        <v/>
      </c>
    </row>
    <row r="281" ht="13" customHeight="1" s="54">
      <c r="A281" s="38" t="n">
        <v>279</v>
      </c>
      <c r="B281" s="39" t="n">
        <v>14</v>
      </c>
      <c r="C281" s="41" t="inlineStr">
        <is>
          <t>Evan Engram</t>
        </is>
      </c>
      <c r="D281" s="41" t="inlineStr">
        <is>
          <t>DEN</t>
        </is>
      </c>
      <c r="E281" s="41" t="inlineStr">
        <is>
          <t>TE34</t>
        </is>
      </c>
      <c r="F281" s="42" t="n">
        <v>260</v>
      </c>
      <c r="G281" s="42" t="n">
        <v>294</v>
      </c>
      <c r="H281" s="42" t="n">
        <v>277</v>
      </c>
      <c r="I281" s="42" t="n">
        <v>9.800000000000001</v>
      </c>
      <c r="J281" s="41" t="inlineStr">
        <is>
          <t>-</t>
        </is>
      </c>
      <c r="K281">
        <f>LEFT(E281,2)</f>
        <v/>
      </c>
    </row>
    <row r="282" ht="13" customHeight="1" s="54">
      <c r="A282" s="38" t="n">
        <v>280</v>
      </c>
      <c r="B282" s="39" t="n">
        <v>14</v>
      </c>
      <c r="C282" s="41" t="inlineStr">
        <is>
          <t>Tyquan Thornton</t>
        </is>
      </c>
      <c r="D282" s="41" t="inlineStr">
        <is>
          <t>KC</t>
        </is>
      </c>
      <c r="E282" s="41" t="inlineStr">
        <is>
          <t>WR100</t>
        </is>
      </c>
      <c r="F282" s="42" t="n">
        <v>226</v>
      </c>
      <c r="G282" s="42" t="n">
        <v>302</v>
      </c>
      <c r="H282" s="42" t="n">
        <v>271</v>
      </c>
      <c r="I282" s="42" t="n">
        <v>17</v>
      </c>
      <c r="J282" s="41" t="inlineStr">
        <is>
          <t>-</t>
        </is>
      </c>
      <c r="K282">
        <f>LEFT(E282,2)</f>
        <v/>
      </c>
    </row>
    <row r="283" ht="13" customHeight="1" s="54">
      <c r="A283" s="38" t="n">
        <v>281</v>
      </c>
      <c r="B283" s="39" t="n">
        <v>14</v>
      </c>
      <c r="C283" s="41" t="inlineStr">
        <is>
          <t>Shedeur Sanders</t>
        </is>
      </c>
      <c r="D283" s="41" t="inlineStr">
        <is>
          <t>CLE</t>
        </is>
      </c>
      <c r="E283" s="41" t="inlineStr">
        <is>
          <t>QB31</t>
        </is>
      </c>
      <c r="F283" s="42" t="n">
        <v>241</v>
      </c>
      <c r="G283" s="42" t="n">
        <v>323</v>
      </c>
      <c r="H283" s="42" t="n">
        <v>280</v>
      </c>
      <c r="I283" s="42" t="n">
        <v>26.6</v>
      </c>
      <c r="J283" s="41" t="inlineStr">
        <is>
          <t>-</t>
        </is>
      </c>
      <c r="K283">
        <f>LEFT(E283,2)</f>
        <v/>
      </c>
    </row>
    <row r="284" ht="13" customHeight="1" s="54">
      <c r="A284" s="38" t="n">
        <v>282</v>
      </c>
      <c r="B284" s="39" t="n">
        <v>14</v>
      </c>
      <c r="C284" s="41" t="inlineStr">
        <is>
          <t>MarShawn Lloyd</t>
        </is>
      </c>
      <c r="D284" s="41" t="inlineStr">
        <is>
          <t>GB</t>
        </is>
      </c>
      <c r="E284" s="41" t="inlineStr">
        <is>
          <t>RB84</t>
        </is>
      </c>
      <c r="F284" s="42" t="n">
        <v>240</v>
      </c>
      <c r="G284" s="42" t="n">
        <v>296</v>
      </c>
      <c r="H284" s="42" t="n">
        <v>274</v>
      </c>
      <c r="I284" s="42" t="n">
        <v>18.9</v>
      </c>
      <c r="J284" s="41" t="inlineStr">
        <is>
          <t>-</t>
        </is>
      </c>
      <c r="K284">
        <f>LEFT(E284,2)</f>
        <v/>
      </c>
    </row>
    <row r="285" ht="13" customHeight="1" s="54">
      <c r="A285" s="38" t="n">
        <v>283</v>
      </c>
      <c r="B285" s="39" t="n">
        <v>14</v>
      </c>
      <c r="C285" s="41" t="inlineStr">
        <is>
          <t>Wil Lutz</t>
        </is>
      </c>
      <c r="D285" s="41" t="inlineStr">
        <is>
          <t>DEN</t>
        </is>
      </c>
      <c r="E285" s="41" t="inlineStr">
        <is>
          <t>K17</t>
        </is>
      </c>
      <c r="F285" s="42" t="n">
        <v>252</v>
      </c>
      <c r="G285" s="42" t="n">
        <v>321</v>
      </c>
      <c r="H285" s="42" t="n">
        <v>281</v>
      </c>
      <c r="I285" s="42" t="n">
        <v>26.8</v>
      </c>
      <c r="J285" s="41" t="inlineStr">
        <is>
          <t>-</t>
        </is>
      </c>
      <c r="K285">
        <f>LEFT(E285,2)</f>
        <v/>
      </c>
    </row>
    <row r="286" ht="13" customHeight="1" s="54">
      <c r="A286" s="38" t="n">
        <v>284</v>
      </c>
      <c r="B286" s="39" t="n">
        <v>14</v>
      </c>
      <c r="C286" s="41" t="inlineStr">
        <is>
          <t>Andrei Iosivas</t>
        </is>
      </c>
      <c r="D286" s="41" t="inlineStr">
        <is>
          <t>CIN</t>
        </is>
      </c>
      <c r="E286" s="41" t="inlineStr">
        <is>
          <t>WR101</t>
        </is>
      </c>
      <c r="F286" s="42" t="n">
        <v>243</v>
      </c>
      <c r="G286" s="42" t="n">
        <v>297</v>
      </c>
      <c r="H286" s="42" t="n">
        <v>267</v>
      </c>
      <c r="I286" s="42" t="n">
        <v>19.4</v>
      </c>
      <c r="J286" s="41" t="inlineStr">
        <is>
          <t>-</t>
        </is>
      </c>
      <c r="K286">
        <f>LEFT(E286,2)</f>
        <v/>
      </c>
    </row>
    <row r="287" ht="13" customHeight="1" s="54">
      <c r="A287" s="38" t="n">
        <v>285</v>
      </c>
      <c r="B287" s="39" t="n">
        <v>14</v>
      </c>
      <c r="C287" s="41" t="inlineStr">
        <is>
          <t>Jarquez Hunter</t>
        </is>
      </c>
      <c r="D287" s="41" t="inlineStr">
        <is>
          <t>LAR</t>
        </is>
      </c>
      <c r="E287" s="41" t="inlineStr">
        <is>
          <t>RB85</t>
        </is>
      </c>
      <c r="F287" s="42" t="n">
        <v>247</v>
      </c>
      <c r="G287" s="42" t="n">
        <v>326</v>
      </c>
      <c r="H287" s="42" t="n">
        <v>279</v>
      </c>
      <c r="I287" s="42" t="n">
        <v>22.2</v>
      </c>
      <c r="J287" s="41" t="inlineStr">
        <is>
          <t>-</t>
        </is>
      </c>
      <c r="K287">
        <f>LEFT(E287,2)</f>
        <v/>
      </c>
    </row>
    <row r="288" ht="13" customHeight="1" s="54">
      <c r="A288" s="38" t="n">
        <v>286</v>
      </c>
      <c r="B288" s="39" t="n">
        <v>14</v>
      </c>
      <c r="C288" s="41" t="inlineStr">
        <is>
          <t>Jack Bech</t>
        </is>
      </c>
      <c r="D288" s="41" t="inlineStr">
        <is>
          <t>LV</t>
        </is>
      </c>
      <c r="E288" s="41" t="inlineStr">
        <is>
          <t>WR102</t>
        </is>
      </c>
      <c r="F288" s="42" t="n">
        <v>258</v>
      </c>
      <c r="G288" s="42" t="n">
        <v>318</v>
      </c>
      <c r="H288" s="42" t="n">
        <v>282</v>
      </c>
      <c r="I288" s="42" t="n">
        <v>13.8</v>
      </c>
      <c r="J288" s="41" t="inlineStr">
        <is>
          <t>-</t>
        </is>
      </c>
      <c r="K288">
        <f>LEFT(E288,2)</f>
        <v/>
      </c>
    </row>
    <row r="289" ht="13" customHeight="1" s="54">
      <c r="A289" s="38" t="n">
        <v>287</v>
      </c>
      <c r="B289" s="39" t="n">
        <v>14</v>
      </c>
      <c r="C289" s="41" t="inlineStr">
        <is>
          <t>Hollywood Brown</t>
        </is>
      </c>
      <c r="D289" s="41" t="inlineStr">
        <is>
          <t>PHI</t>
        </is>
      </c>
      <c r="E289" s="41" t="inlineStr">
        <is>
          <t>WR103</t>
        </is>
      </c>
      <c r="F289" s="42" t="n">
        <v>269</v>
      </c>
      <c r="G289" s="42" t="n">
        <v>330</v>
      </c>
      <c r="H289" s="42" t="n">
        <v>289</v>
      </c>
      <c r="I289" s="42" t="n">
        <v>15.7</v>
      </c>
      <c r="J289" s="41" t="inlineStr">
        <is>
          <t>-</t>
        </is>
      </c>
      <c r="K289">
        <f>LEFT(E289,2)</f>
        <v/>
      </c>
    </row>
    <row r="290" ht="13" customHeight="1" s="54">
      <c r="A290" s="38" t="n">
        <v>288</v>
      </c>
      <c r="B290" s="39" t="n">
        <v>14</v>
      </c>
      <c r="C290" s="41" t="inlineStr">
        <is>
          <t>Mike Gesicki</t>
        </is>
      </c>
      <c r="D290" s="41" t="inlineStr">
        <is>
          <t>CIN</t>
        </is>
      </c>
      <c r="E290" s="41" t="inlineStr">
        <is>
          <t>TE35</t>
        </is>
      </c>
      <c r="F290" s="42" t="n">
        <v>235</v>
      </c>
      <c r="G290" s="42" t="n">
        <v>294</v>
      </c>
      <c r="H290" s="42" t="n">
        <v>276</v>
      </c>
      <c r="I290" s="42" t="n">
        <v>15.1</v>
      </c>
      <c r="J290" s="41" t="inlineStr">
        <is>
          <t>-</t>
        </is>
      </c>
      <c r="K290">
        <f>LEFT(E290,2)</f>
        <v/>
      </c>
    </row>
    <row r="291" ht="13" customHeight="1" s="54">
      <c r="A291" s="38" t="n">
        <v>289</v>
      </c>
      <c r="B291" s="39" t="n">
        <v>14</v>
      </c>
      <c r="C291" s="41" t="inlineStr">
        <is>
          <t>Cedric Tillman</t>
        </is>
      </c>
      <c r="D291" s="41" t="inlineStr">
        <is>
          <t>CLE</t>
        </is>
      </c>
      <c r="E291" s="41" t="inlineStr">
        <is>
          <t>WR104</t>
        </is>
      </c>
      <c r="F291" s="42" t="n">
        <v>261</v>
      </c>
      <c r="G291" s="42" t="n">
        <v>295</v>
      </c>
      <c r="H291" s="42" t="n">
        <v>284</v>
      </c>
      <c r="I291" s="42" t="n">
        <v>9.9</v>
      </c>
      <c r="J291" s="41" t="inlineStr">
        <is>
          <t>-</t>
        </is>
      </c>
      <c r="K291">
        <f>LEFT(E291,2)</f>
        <v/>
      </c>
    </row>
    <row r="292" ht="13" customHeight="1" s="54">
      <c r="A292" s="38" t="n">
        <v>290</v>
      </c>
      <c r="B292" s="39" t="n">
        <v>14</v>
      </c>
      <c r="C292" s="41" t="inlineStr">
        <is>
          <t>LeQuint Allen Jr.</t>
        </is>
      </c>
      <c r="D292" s="41" t="inlineStr">
        <is>
          <t>JAC</t>
        </is>
      </c>
      <c r="E292" s="41" t="inlineStr">
        <is>
          <t>RB86</t>
        </is>
      </c>
      <c r="F292" s="42" t="n">
        <v>257</v>
      </c>
      <c r="G292" s="42" t="n">
        <v>317</v>
      </c>
      <c r="H292" s="42" t="n">
        <v>290</v>
      </c>
      <c r="I292" s="42" t="n">
        <v>16.7</v>
      </c>
      <c r="J292" s="41" t="inlineStr">
        <is>
          <t>-</t>
        </is>
      </c>
      <c r="K292">
        <f>LEFT(E292,2)</f>
        <v/>
      </c>
    </row>
    <row r="293" ht="13" customHeight="1" s="54">
      <c r="A293" s="38" t="n">
        <v>291</v>
      </c>
      <c r="B293" s="39" t="n">
        <v>14</v>
      </c>
      <c r="C293" s="41" t="inlineStr">
        <is>
          <t>Devin Singletary</t>
        </is>
      </c>
      <c r="D293" s="41" t="inlineStr">
        <is>
          <t>NYG</t>
        </is>
      </c>
      <c r="E293" s="41" t="inlineStr">
        <is>
          <t>RB87</t>
        </is>
      </c>
      <c r="F293" s="42" t="n">
        <v>262</v>
      </c>
      <c r="G293" s="42" t="n">
        <v>316</v>
      </c>
      <c r="H293" s="42" t="n">
        <v>285</v>
      </c>
      <c r="I293" s="42" t="n">
        <v>15</v>
      </c>
      <c r="J293" s="41" t="inlineStr">
        <is>
          <t>-</t>
        </is>
      </c>
      <c r="K293">
        <f>LEFT(E293,2)</f>
        <v/>
      </c>
    </row>
    <row r="294" ht="13" customHeight="1" s="54">
      <c r="A294" s="38" t="n">
        <v>292</v>
      </c>
      <c r="B294" s="39" t="n">
        <v>14</v>
      </c>
      <c r="C294" s="41" t="inlineStr">
        <is>
          <t>Christian Kirk</t>
        </is>
      </c>
      <c r="D294" s="41" t="inlineStr">
        <is>
          <t>SF</t>
        </is>
      </c>
      <c r="E294" s="41" t="inlineStr">
        <is>
          <t>WR105</t>
        </is>
      </c>
      <c r="F294" s="42" t="n">
        <v>268</v>
      </c>
      <c r="G294" s="42" t="n">
        <v>365</v>
      </c>
      <c r="H294" s="42" t="n">
        <v>291</v>
      </c>
      <c r="I294" s="42" t="n">
        <v>22.2</v>
      </c>
      <c r="J294" s="41" t="inlineStr">
        <is>
          <t>-</t>
        </is>
      </c>
      <c r="K294">
        <f>LEFT(E294,2)</f>
        <v/>
      </c>
    </row>
    <row r="295" ht="13" customHeight="1" s="54">
      <c r="A295" s="38" t="n">
        <v>293</v>
      </c>
      <c r="B295" s="39" t="n">
        <v>14</v>
      </c>
      <c r="C295" s="41" t="inlineStr">
        <is>
          <t>Malik Washington</t>
        </is>
      </c>
      <c r="D295" s="41" t="inlineStr">
        <is>
          <t>MIA</t>
        </is>
      </c>
      <c r="E295" s="41" t="inlineStr">
        <is>
          <t>WR106</t>
        </is>
      </c>
      <c r="F295" s="42" t="n">
        <v>217</v>
      </c>
      <c r="G295" s="42" t="n">
        <v>322</v>
      </c>
      <c r="H295" s="42" t="n">
        <v>286</v>
      </c>
      <c r="I295" s="42" t="n">
        <v>26.1</v>
      </c>
      <c r="J295" s="41" t="inlineStr">
        <is>
          <t>-</t>
        </is>
      </c>
      <c r="K295">
        <f>LEFT(E295,2)</f>
        <v/>
      </c>
    </row>
    <row r="296" ht="13" customHeight="1" s="54">
      <c r="A296" s="38" t="n">
        <v>294</v>
      </c>
      <c r="B296" s="39" t="n">
        <v>14</v>
      </c>
      <c r="C296" s="41" t="inlineStr">
        <is>
          <t>Indianapolis Colts</t>
        </is>
      </c>
      <c r="D296" s="41" t="inlineStr">
        <is>
          <t>IND</t>
        </is>
      </c>
      <c r="E296" s="41" t="inlineStr">
        <is>
          <t>DST18</t>
        </is>
      </c>
      <c r="F296" s="42" t="n">
        <v>274</v>
      </c>
      <c r="G296" s="42" t="n">
        <v>322</v>
      </c>
      <c r="H296" s="42" t="n">
        <v>289</v>
      </c>
      <c r="I296" s="42" t="n">
        <v>18.4</v>
      </c>
      <c r="J296" s="41" t="inlineStr">
        <is>
          <t>-</t>
        </is>
      </c>
      <c r="K296">
        <f>LEFT(E296,2)</f>
        <v/>
      </c>
    </row>
    <row r="297" ht="13" customHeight="1" s="54">
      <c r="A297" s="38" t="n">
        <v>295</v>
      </c>
      <c r="B297" s="39" t="n">
        <v>14</v>
      </c>
      <c r="C297" s="41" t="inlineStr">
        <is>
          <t>Geno Smith</t>
        </is>
      </c>
      <c r="D297" s="41" t="inlineStr">
        <is>
          <t>NYJ</t>
        </is>
      </c>
      <c r="E297" s="41" t="inlineStr">
        <is>
          <t>QB32</t>
        </is>
      </c>
      <c r="F297" s="42" t="n">
        <v>241</v>
      </c>
      <c r="G297" s="42" t="n">
        <v>320</v>
      </c>
      <c r="H297" s="42" t="n">
        <v>290</v>
      </c>
      <c r="I297" s="42" t="n">
        <v>29</v>
      </c>
      <c r="J297" s="41" t="inlineStr">
        <is>
          <t>-</t>
        </is>
      </c>
      <c r="K297">
        <f>LEFT(E297,2)</f>
        <v/>
      </c>
    </row>
    <row r="298" ht="13" customHeight="1" s="54">
      <c r="A298" s="38" t="n">
        <v>296</v>
      </c>
      <c r="B298" s="39" t="n">
        <v>14</v>
      </c>
      <c r="C298" s="41" t="inlineStr">
        <is>
          <t>Justice Hill</t>
        </is>
      </c>
      <c r="D298" s="41" t="inlineStr">
        <is>
          <t>BAL</t>
        </is>
      </c>
      <c r="E298" s="41" t="inlineStr">
        <is>
          <t>RB88</t>
        </is>
      </c>
      <c r="F298" s="42" t="n">
        <v>240</v>
      </c>
      <c r="G298" s="42" t="n">
        <v>325</v>
      </c>
      <c r="H298" s="42" t="n">
        <v>290</v>
      </c>
      <c r="I298" s="42" t="n">
        <v>21.8</v>
      </c>
      <c r="J298" s="41" t="inlineStr">
        <is>
          <t>-</t>
        </is>
      </c>
      <c r="K298">
        <f>LEFT(E298,2)</f>
        <v/>
      </c>
    </row>
    <row r="299" ht="13" customHeight="1" s="54">
      <c r="A299" s="38" t="n">
        <v>297</v>
      </c>
      <c r="B299" s="39" t="n">
        <v>14</v>
      </c>
      <c r="C299" s="41" t="inlineStr">
        <is>
          <t>Chris Bell</t>
        </is>
      </c>
      <c r="D299" s="41" t="inlineStr">
        <is>
          <t>FA</t>
        </is>
      </c>
      <c r="E299" s="41" t="inlineStr">
        <is>
          <t>WR107</t>
        </is>
      </c>
      <c r="F299" s="42" t="n">
        <v>268</v>
      </c>
      <c r="G299" s="42" t="n">
        <v>368</v>
      </c>
      <c r="H299" s="42" t="n">
        <v>296</v>
      </c>
      <c r="I299" s="42" t="n">
        <v>37</v>
      </c>
      <c r="J299" s="41" t="inlineStr">
        <is>
          <t>-</t>
        </is>
      </c>
      <c r="K299">
        <f>LEFT(E299,2)</f>
        <v/>
      </c>
    </row>
    <row r="300" ht="13" customHeight="1" s="54">
      <c r="A300" s="38" t="n">
        <v>298</v>
      </c>
      <c r="B300" s="39" t="n">
        <v>14</v>
      </c>
      <c r="C300" s="41" t="inlineStr">
        <is>
          <t>Samaje Perine</t>
        </is>
      </c>
      <c r="D300" s="41" t="inlineStr">
        <is>
          <t>CIN</t>
        </is>
      </c>
      <c r="E300" s="41" t="inlineStr">
        <is>
          <t>RB89</t>
        </is>
      </c>
      <c r="F300" s="42" t="n">
        <v>236</v>
      </c>
      <c r="G300" s="42" t="n">
        <v>336</v>
      </c>
      <c r="H300" s="42" t="n">
        <v>296</v>
      </c>
      <c r="I300" s="42" t="n">
        <v>24.5</v>
      </c>
      <c r="J300" s="41" t="inlineStr">
        <is>
          <t>-</t>
        </is>
      </c>
      <c r="K300">
        <f>LEFT(E300,2)</f>
        <v/>
      </c>
    </row>
    <row r="301" ht="13" customHeight="1" s="54">
      <c r="A301" s="38" t="n">
        <v>299</v>
      </c>
      <c r="B301" s="39" t="n">
        <v>14</v>
      </c>
      <c r="C301" s="41" t="inlineStr">
        <is>
          <t>Tua Tagovailoa</t>
        </is>
      </c>
      <c r="D301" s="41" t="inlineStr">
        <is>
          <t>ATL</t>
        </is>
      </c>
      <c r="E301" s="41" t="inlineStr">
        <is>
          <t>QB33</t>
        </is>
      </c>
      <c r="F301" s="42" t="n">
        <v>275</v>
      </c>
      <c r="G301" s="42" t="n">
        <v>315</v>
      </c>
      <c r="H301" s="42" t="n">
        <v>297</v>
      </c>
      <c r="I301" s="42" t="n">
        <v>12.6</v>
      </c>
      <c r="J301" s="41" t="inlineStr">
        <is>
          <t>-</t>
        </is>
      </c>
      <c r="K301">
        <f>LEFT(E301,2)</f>
        <v/>
      </c>
    </row>
    <row r="302" ht="13" customHeight="1" s="54">
      <c r="A302" s="38" t="n">
        <v>300</v>
      </c>
      <c r="B302" s="39" t="n">
        <v>14</v>
      </c>
      <c r="C302" s="41" t="inlineStr">
        <is>
          <t>Luke McCaffrey</t>
        </is>
      </c>
      <c r="D302" s="41" t="inlineStr">
        <is>
          <t>WAS</t>
        </is>
      </c>
      <c r="E302" s="41" t="inlineStr">
        <is>
          <t>WR108</t>
        </is>
      </c>
      <c r="F302" s="42" t="n">
        <v>263</v>
      </c>
      <c r="G302" s="42" t="n">
        <v>361</v>
      </c>
      <c r="H302" s="42" t="n">
        <v>285</v>
      </c>
      <c r="I302" s="42" t="n">
        <v>24.2</v>
      </c>
      <c r="J302" s="41" t="inlineStr">
        <is>
          <t>-</t>
        </is>
      </c>
      <c r="K302">
        <f>LEFT(E302,2)</f>
        <v/>
      </c>
    </row>
    <row r="303" ht="13" customHeight="1" s="54">
      <c r="A303" s="38" t="n">
        <v>301</v>
      </c>
      <c r="B303" s="39" t="n">
        <v>14</v>
      </c>
      <c r="C303" s="41" t="inlineStr">
        <is>
          <t>Calvin Austin III</t>
        </is>
      </c>
      <c r="D303" s="41" t="inlineStr">
        <is>
          <t>NYG</t>
        </is>
      </c>
      <c r="E303" s="41" t="inlineStr">
        <is>
          <t>WR109</t>
        </is>
      </c>
      <c r="F303" s="42" t="n">
        <v>263</v>
      </c>
      <c r="G303" s="42" t="n">
        <v>315</v>
      </c>
      <c r="H303" s="42" t="n">
        <v>286</v>
      </c>
      <c r="I303" s="42" t="n">
        <v>17.6</v>
      </c>
      <c r="J303" s="41" t="inlineStr">
        <is>
          <t>-</t>
        </is>
      </c>
      <c r="K303">
        <f>LEFT(E303,2)</f>
        <v/>
      </c>
    </row>
    <row r="304" ht="13" customHeight="1" s="54">
      <c r="A304" s="38" t="n">
        <v>302</v>
      </c>
      <c r="B304" s="39" t="n">
        <v>14</v>
      </c>
      <c r="C304" s="41" t="inlineStr">
        <is>
          <t>Chris Brooks</t>
        </is>
      </c>
      <c r="D304" s="41" t="inlineStr">
        <is>
          <t>GB</t>
        </is>
      </c>
      <c r="E304" s="41" t="inlineStr">
        <is>
          <t>RB90</t>
        </is>
      </c>
      <c r="F304" s="42" t="n">
        <v>250</v>
      </c>
      <c r="G304" s="42" t="n">
        <v>326</v>
      </c>
      <c r="H304" s="42" t="n">
        <v>298</v>
      </c>
      <c r="I304" s="42" t="n">
        <v>20.1</v>
      </c>
      <c r="J304" s="41" t="inlineStr">
        <is>
          <t>-</t>
        </is>
      </c>
      <c r="K304">
        <f>LEFT(E304,2)</f>
        <v/>
      </c>
    </row>
    <row r="305" ht="13" customHeight="1" s="54">
      <c r="A305" s="38" t="n">
        <v>303</v>
      </c>
      <c r="B305" s="39" t="n">
        <v>14</v>
      </c>
      <c r="C305" s="41" t="inlineStr">
        <is>
          <t>Konata Mumpfield</t>
        </is>
      </c>
      <c r="D305" s="41" t="inlineStr">
        <is>
          <t>LAR</t>
        </is>
      </c>
      <c r="E305" s="41" t="inlineStr">
        <is>
          <t>WR110</t>
        </is>
      </c>
      <c r="F305" s="42" t="n">
        <v>258</v>
      </c>
      <c r="G305" s="42" t="n">
        <v>311</v>
      </c>
      <c r="H305" s="42" t="n">
        <v>279</v>
      </c>
      <c r="I305" s="42" t="n">
        <v>17.3</v>
      </c>
      <c r="J305" s="41" t="inlineStr">
        <is>
          <t>-</t>
        </is>
      </c>
      <c r="K305">
        <f>LEFT(E305,2)</f>
        <v/>
      </c>
    </row>
    <row r="306" ht="13" customHeight="1" s="54">
      <c r="A306" s="38" t="n">
        <v>304</v>
      </c>
      <c r="B306" s="39" t="n">
        <v>14</v>
      </c>
      <c r="C306" s="41" t="inlineStr">
        <is>
          <t>Jordan James</t>
        </is>
      </c>
      <c r="D306" s="41" t="inlineStr">
        <is>
          <t>SF</t>
        </is>
      </c>
      <c r="E306" s="41" t="inlineStr">
        <is>
          <t>RB91</t>
        </is>
      </c>
      <c r="F306" s="42" t="n">
        <v>156</v>
      </c>
      <c r="G306" s="42" t="n">
        <v>377</v>
      </c>
      <c r="H306" s="42" t="n">
        <v>291</v>
      </c>
      <c r="I306" s="42" t="n">
        <v>56.9</v>
      </c>
      <c r="J306" s="41" t="inlineStr">
        <is>
          <t>-</t>
        </is>
      </c>
      <c r="K306">
        <f>LEFT(E306,2)</f>
        <v/>
      </c>
    </row>
    <row r="307" ht="13" customHeight="1" s="54">
      <c r="A307" s="38" t="n">
        <v>305</v>
      </c>
      <c r="B307" s="39" t="n">
        <v>14</v>
      </c>
      <c r="C307" s="41" t="inlineStr">
        <is>
          <t>Audric Estime</t>
        </is>
      </c>
      <c r="D307" s="41" t="inlineStr">
        <is>
          <t>NO</t>
        </is>
      </c>
      <c r="E307" s="41" t="inlineStr">
        <is>
          <t>RB92</t>
        </is>
      </c>
      <c r="F307" s="42" t="n">
        <v>259</v>
      </c>
      <c r="G307" s="42" t="n">
        <v>303</v>
      </c>
      <c r="H307" s="42" t="n">
        <v>285</v>
      </c>
      <c r="I307" s="42" t="n">
        <v>13.4</v>
      </c>
      <c r="J307" s="41" t="inlineStr">
        <is>
          <t>-</t>
        </is>
      </c>
      <c r="K307">
        <f>LEFT(E307,2)</f>
        <v/>
      </c>
    </row>
    <row r="308" ht="13" customHeight="1" s="54">
      <c r="A308" s="38" t="n">
        <v>306</v>
      </c>
      <c r="B308" s="39" t="n">
        <v>14</v>
      </c>
      <c r="C308" s="41" t="inlineStr">
        <is>
          <t>Jerome Ford</t>
        </is>
      </c>
      <c r="D308" s="41" t="inlineStr">
        <is>
          <t>WAS</t>
        </is>
      </c>
      <c r="E308" s="41" t="inlineStr">
        <is>
          <t>RB93</t>
        </is>
      </c>
      <c r="F308" s="42" t="n">
        <v>282</v>
      </c>
      <c r="G308" s="42" t="n">
        <v>337</v>
      </c>
      <c r="H308" s="42" t="n">
        <v>302</v>
      </c>
      <c r="I308" s="42" t="n">
        <v>14.2</v>
      </c>
      <c r="J308" s="41" t="inlineStr">
        <is>
          <t>-</t>
        </is>
      </c>
      <c r="K308">
        <f>LEFT(E308,2)</f>
        <v/>
      </c>
    </row>
    <row r="309" ht="13" customHeight="1" s="54">
      <c r="A309" s="38" t="n">
        <v>307</v>
      </c>
      <c r="B309" s="39" t="n">
        <v>14</v>
      </c>
      <c r="C309" s="41" t="inlineStr">
        <is>
          <t>New Orleans Saints</t>
        </is>
      </c>
      <c r="D309" s="41" t="inlineStr">
        <is>
          <t>NO</t>
        </is>
      </c>
      <c r="E309" s="41" t="inlineStr">
        <is>
          <t>DST19</t>
        </is>
      </c>
      <c r="F309" s="42" t="n">
        <v>248</v>
      </c>
      <c r="G309" s="42" t="n">
        <v>318</v>
      </c>
      <c r="H309" s="42" t="n">
        <v>274</v>
      </c>
      <c r="I309" s="42" t="n">
        <v>19.3</v>
      </c>
      <c r="J309" s="41" t="inlineStr">
        <is>
          <t>-</t>
        </is>
      </c>
      <c r="K309">
        <f>LEFT(E309,2)</f>
        <v/>
      </c>
    </row>
    <row r="310" ht="13" customHeight="1" s="54">
      <c r="A310" s="38" t="n">
        <v>308</v>
      </c>
      <c r="B310" s="39" t="n">
        <v>14</v>
      </c>
      <c r="C310" s="41" t="inlineStr">
        <is>
          <t>Kareem Hunt</t>
        </is>
      </c>
      <c r="D310" s="41" t="inlineStr">
        <is>
          <t>FA</t>
        </is>
      </c>
      <c r="E310" s="41" t="inlineStr">
        <is>
          <t>RB94</t>
        </is>
      </c>
      <c r="F310" s="42" t="n">
        <v>277</v>
      </c>
      <c r="G310" s="42" t="n">
        <v>353</v>
      </c>
      <c r="H310" s="42" t="n">
        <v>298</v>
      </c>
      <c r="I310" s="42" t="n">
        <v>17.8</v>
      </c>
      <c r="J310" s="41" t="inlineStr">
        <is>
          <t>-</t>
        </is>
      </c>
      <c r="K310">
        <f>LEFT(E310,2)</f>
        <v/>
      </c>
    </row>
    <row r="311" ht="13" customHeight="1" s="54">
      <c r="A311" s="38" t="n">
        <v>309</v>
      </c>
      <c r="B311" s="39" t="n">
        <v>14</v>
      </c>
      <c r="C311" s="41" t="inlineStr">
        <is>
          <t>San Francisco 49ers</t>
        </is>
      </c>
      <c r="D311" s="41" t="inlineStr">
        <is>
          <t>SF</t>
        </is>
      </c>
      <c r="E311" s="41" t="inlineStr">
        <is>
          <t>DST20</t>
        </is>
      </c>
      <c r="F311" s="42" t="n">
        <v>219</v>
      </c>
      <c r="G311" s="42" t="n">
        <v>279</v>
      </c>
      <c r="H311" s="42" t="n">
        <v>265</v>
      </c>
      <c r="I311" s="42" t="n">
        <v>21.6</v>
      </c>
      <c r="J311" s="41" t="inlineStr">
        <is>
          <t>-</t>
        </is>
      </c>
      <c r="K311">
        <f>LEFT(E311,2)</f>
        <v/>
      </c>
    </row>
    <row r="312" ht="13" customHeight="1" s="54">
      <c r="A312" s="38" t="n">
        <v>310</v>
      </c>
      <c r="B312" s="39" t="n">
        <v>14</v>
      </c>
      <c r="C312" s="41" t="inlineStr">
        <is>
          <t>Trevor Etienne</t>
        </is>
      </c>
      <c r="D312" s="41" t="inlineStr">
        <is>
          <t>CAR</t>
        </is>
      </c>
      <c r="E312" s="41" t="inlineStr">
        <is>
          <t>RB95</t>
        </is>
      </c>
      <c r="F312" s="42" t="n">
        <v>274</v>
      </c>
      <c r="G312" s="42" t="n">
        <v>321</v>
      </c>
      <c r="H312" s="42" t="n">
        <v>299</v>
      </c>
      <c r="I312" s="42" t="n">
        <v>13.4</v>
      </c>
      <c r="J312" s="41" t="inlineStr">
        <is>
          <t>-</t>
        </is>
      </c>
      <c r="K312">
        <f>LEFT(E312,2)</f>
        <v/>
      </c>
    </row>
    <row r="313" ht="13" customHeight="1" s="54">
      <c r="A313" s="38" t="n">
        <v>311</v>
      </c>
      <c r="B313" s="39" t="n">
        <v>14</v>
      </c>
      <c r="C313" s="41" t="inlineStr">
        <is>
          <t>Emari Demercado</t>
        </is>
      </c>
      <c r="D313" s="41" t="inlineStr">
        <is>
          <t>KC</t>
        </is>
      </c>
      <c r="E313" s="41" t="inlineStr">
        <is>
          <t>RB96</t>
        </is>
      </c>
      <c r="F313" s="42" t="n">
        <v>283</v>
      </c>
      <c r="G313" s="42" t="n">
        <v>310</v>
      </c>
      <c r="H313" s="42" t="n">
        <v>299</v>
      </c>
      <c r="I313" s="42" t="n">
        <v>10.8</v>
      </c>
      <c r="J313" s="41" t="inlineStr">
        <is>
          <t>-</t>
        </is>
      </c>
      <c r="K313">
        <f>LEFT(E313,2)</f>
        <v/>
      </c>
    </row>
    <row r="314" ht="13" customHeight="1" s="54">
      <c r="A314" s="38" t="n">
        <v>312</v>
      </c>
      <c r="B314" s="39" t="n">
        <v>14</v>
      </c>
      <c r="C314" s="41" t="inlineStr">
        <is>
          <t>Aaron Rodgers</t>
        </is>
      </c>
      <c r="D314" s="41" t="inlineStr">
        <is>
          <t>FA</t>
        </is>
      </c>
      <c r="E314" s="41" t="inlineStr">
        <is>
          <t>QB34</t>
        </is>
      </c>
      <c r="F314" s="42" t="n">
        <v>213</v>
      </c>
      <c r="G314" s="42" t="n">
        <v>314</v>
      </c>
      <c r="H314" s="42" t="n">
        <v>280</v>
      </c>
      <c r="I314" s="42" t="n">
        <v>28.1</v>
      </c>
      <c r="J314" s="41" t="inlineStr">
        <is>
          <t>-</t>
        </is>
      </c>
      <c r="K314">
        <f>LEFT(E314,2)</f>
        <v/>
      </c>
    </row>
    <row r="315" ht="13" customHeight="1" s="54">
      <c r="A315" s="38" t="n">
        <v>313</v>
      </c>
      <c r="B315" s="39" t="n">
        <v>14</v>
      </c>
      <c r="C315" s="41" t="inlineStr">
        <is>
          <t>Tahj Brooks</t>
        </is>
      </c>
      <c r="D315" s="41" t="inlineStr">
        <is>
          <t>CIN</t>
        </is>
      </c>
      <c r="E315" s="41" t="inlineStr">
        <is>
          <t>RB97</t>
        </is>
      </c>
      <c r="F315" s="42" t="n">
        <v>290</v>
      </c>
      <c r="G315" s="42" t="n">
        <v>337</v>
      </c>
      <c r="H315" s="42" t="n">
        <v>307</v>
      </c>
      <c r="I315" s="42" t="n">
        <v>11.3</v>
      </c>
      <c r="J315" s="41" t="inlineStr">
        <is>
          <t>-</t>
        </is>
      </c>
      <c r="K315">
        <f>LEFT(E315,2)</f>
        <v/>
      </c>
    </row>
    <row r="316" ht="13" customHeight="1" s="54">
      <c r="A316" s="38" t="n">
        <v>314</v>
      </c>
      <c r="B316" s="39" t="n">
        <v>14</v>
      </c>
      <c r="C316" s="41" t="inlineStr">
        <is>
          <t>Bam Knight</t>
        </is>
      </c>
      <c r="D316" s="41" t="inlineStr">
        <is>
          <t>ARI</t>
        </is>
      </c>
      <c r="E316" s="41" t="inlineStr">
        <is>
          <t>RB98</t>
        </is>
      </c>
      <c r="F316" s="42" t="n">
        <v>250</v>
      </c>
      <c r="G316" s="42" t="n">
        <v>386</v>
      </c>
      <c r="H316" s="42" t="n">
        <v>290</v>
      </c>
      <c r="I316" s="42" t="n">
        <v>35.1</v>
      </c>
      <c r="J316" s="41" t="inlineStr">
        <is>
          <t>-</t>
        </is>
      </c>
      <c r="K316">
        <f>LEFT(E316,2)</f>
        <v/>
      </c>
    </row>
    <row r="317" ht="13" customHeight="1" s="54">
      <c r="A317" s="38" t="n">
        <v>315</v>
      </c>
      <c r="B317" s="39" t="n">
        <v>14</v>
      </c>
      <c r="C317" s="41" t="inlineStr">
        <is>
          <t>Mac Jones</t>
        </is>
      </c>
      <c r="D317" s="41" t="inlineStr">
        <is>
          <t>SF</t>
        </is>
      </c>
      <c r="E317" s="41" t="inlineStr">
        <is>
          <t>QB35</t>
        </is>
      </c>
      <c r="F317" s="42" t="n">
        <v>275</v>
      </c>
      <c r="G317" s="42" t="n">
        <v>338</v>
      </c>
      <c r="H317" s="42" t="n">
        <v>307</v>
      </c>
      <c r="I317" s="42" t="n">
        <v>17.7</v>
      </c>
      <c r="J317" s="41" t="inlineStr">
        <is>
          <t>-</t>
        </is>
      </c>
      <c r="K317">
        <f>LEFT(E317,2)</f>
        <v/>
      </c>
    </row>
    <row r="318" ht="13" customHeight="1" s="54">
      <c r="A318" s="38" t="n">
        <v>316</v>
      </c>
      <c r="B318" s="39" t="n">
        <v>14</v>
      </c>
      <c r="C318" s="41" t="inlineStr">
        <is>
          <t>Tez Johnson</t>
        </is>
      </c>
      <c r="D318" s="41" t="inlineStr">
        <is>
          <t>TB</t>
        </is>
      </c>
      <c r="E318" s="41" t="inlineStr">
        <is>
          <t>WR111</t>
        </is>
      </c>
      <c r="F318" s="42" t="n">
        <v>262</v>
      </c>
      <c r="G318" s="42" t="n">
        <v>348</v>
      </c>
      <c r="H318" s="42" t="n">
        <v>291</v>
      </c>
      <c r="I318" s="42" t="n">
        <v>21.9</v>
      </c>
      <c r="J318" s="41" t="inlineStr">
        <is>
          <t>-</t>
        </is>
      </c>
      <c r="K318">
        <f>LEFT(E318,2)</f>
        <v/>
      </c>
    </row>
    <row r="319" ht="13" customHeight="1" s="54">
      <c r="A319" s="38" t="n">
        <v>317</v>
      </c>
      <c r="B319" s="39" t="n">
        <v>14</v>
      </c>
      <c r="C319" s="41" t="inlineStr">
        <is>
          <t>Ty Simpson</t>
        </is>
      </c>
      <c r="D319" s="41" t="inlineStr">
        <is>
          <t>FA</t>
        </is>
      </c>
      <c r="E319" s="41" t="inlineStr">
        <is>
          <t>QB36</t>
        </is>
      </c>
      <c r="F319" s="42" t="n">
        <v>310</v>
      </c>
      <c r="G319" s="42" t="n">
        <v>332</v>
      </c>
      <c r="H319" s="42" t="n">
        <v>321</v>
      </c>
      <c r="I319" s="42" t="n">
        <v>7.8</v>
      </c>
      <c r="J319" s="41" t="inlineStr">
        <is>
          <t>-</t>
        </is>
      </c>
      <c r="K319">
        <f>LEFT(E319,2)</f>
        <v/>
      </c>
    </row>
    <row r="320" ht="13" customHeight="1" s="54">
      <c r="A320" s="38" t="n">
        <v>318</v>
      </c>
      <c r="B320" s="39" t="n">
        <v>15</v>
      </c>
      <c r="C320" s="41" t="inlineStr">
        <is>
          <t>Nick Chubb</t>
        </is>
      </c>
      <c r="D320" s="41" t="inlineStr">
        <is>
          <t>FA</t>
        </is>
      </c>
      <c r="E320" s="41" t="inlineStr">
        <is>
          <t>RB99</t>
        </is>
      </c>
      <c r="F320" s="42" t="n">
        <v>293</v>
      </c>
      <c r="G320" s="42" t="n">
        <v>342</v>
      </c>
      <c r="H320" s="42" t="n">
        <v>310</v>
      </c>
      <c r="I320" s="42" t="n">
        <v>11.3</v>
      </c>
      <c r="J320" s="41" t="inlineStr">
        <is>
          <t>-</t>
        </is>
      </c>
      <c r="K320">
        <f>LEFT(E320,2)</f>
        <v/>
      </c>
    </row>
    <row r="321" ht="13" customHeight="1" s="54">
      <c r="A321" s="38" t="n">
        <v>319</v>
      </c>
      <c r="B321" s="39" t="n">
        <v>15</v>
      </c>
      <c r="C321" s="41" t="inlineStr">
        <is>
          <t>Jake Tonges</t>
        </is>
      </c>
      <c r="D321" s="41" t="inlineStr">
        <is>
          <t>SF</t>
        </is>
      </c>
      <c r="E321" s="41" t="inlineStr">
        <is>
          <t>TE36</t>
        </is>
      </c>
      <c r="F321" s="42" t="n">
        <v>235</v>
      </c>
      <c r="G321" s="42" t="n">
        <v>356</v>
      </c>
      <c r="H321" s="42" t="n">
        <v>271</v>
      </c>
      <c r="I321" s="42" t="n">
        <v>33.9</v>
      </c>
      <c r="J321" s="41" t="inlineStr">
        <is>
          <t>-</t>
        </is>
      </c>
      <c r="K321">
        <f>LEFT(E321,2)</f>
        <v/>
      </c>
    </row>
    <row r="322" ht="13" customHeight="1" s="54">
      <c r="A322" s="38" t="n">
        <v>320</v>
      </c>
      <c r="B322" s="39" t="n">
        <v>15</v>
      </c>
      <c r="C322" s="41" t="inlineStr">
        <is>
          <t>Jalen Royals</t>
        </is>
      </c>
      <c r="D322" s="41" t="inlineStr">
        <is>
          <t>KC</t>
        </is>
      </c>
      <c r="E322" s="41" t="inlineStr">
        <is>
          <t>WR112</t>
        </is>
      </c>
      <c r="F322" s="42" t="n">
        <v>301</v>
      </c>
      <c r="G322" s="42" t="n">
        <v>321</v>
      </c>
      <c r="H322" s="42" t="n">
        <v>304</v>
      </c>
      <c r="I322" s="42" t="n">
        <v>5.8</v>
      </c>
      <c r="J322" s="41" t="inlineStr">
        <is>
          <t>-</t>
        </is>
      </c>
      <c r="K322">
        <f>LEFT(E322,2)</f>
        <v/>
      </c>
    </row>
    <row r="323" ht="13" customHeight="1" s="54">
      <c r="A323" s="38" t="n">
        <v>321</v>
      </c>
      <c r="B323" s="39" t="n">
        <v>15</v>
      </c>
      <c r="C323" s="41" t="inlineStr">
        <is>
          <t>Will Shipley</t>
        </is>
      </c>
      <c r="D323" s="41" t="inlineStr">
        <is>
          <t>PHI</t>
        </is>
      </c>
      <c r="E323" s="41" t="inlineStr">
        <is>
          <t>RB100</t>
        </is>
      </c>
      <c r="F323" s="42" t="n">
        <v>311</v>
      </c>
      <c r="G323" s="42" t="n">
        <v>357</v>
      </c>
      <c r="H323" s="42" t="n">
        <v>321</v>
      </c>
      <c r="I323" s="42" t="n">
        <v>11.6</v>
      </c>
      <c r="J323" s="41" t="inlineStr">
        <is>
          <t>-</t>
        </is>
      </c>
      <c r="K323">
        <f>LEFT(E323,2)</f>
        <v/>
      </c>
    </row>
    <row r="324" ht="13" customHeight="1" s="54">
      <c r="A324" s="38" t="n">
        <v>322</v>
      </c>
      <c r="B324" s="39" t="n">
        <v>15</v>
      </c>
      <c r="C324" s="41" t="inlineStr">
        <is>
          <t>Will Reichard</t>
        </is>
      </c>
      <c r="D324" s="41" t="inlineStr">
        <is>
          <t>MIN</t>
        </is>
      </c>
      <c r="E324" s="41" t="inlineStr">
        <is>
          <t>K18</t>
        </is>
      </c>
      <c r="F324" s="42" t="n">
        <v>251</v>
      </c>
      <c r="G324" s="42" t="n">
        <v>318</v>
      </c>
      <c r="H324" s="42" t="n">
        <v>289</v>
      </c>
      <c r="I324" s="42" t="n">
        <v>20.2</v>
      </c>
      <c r="J324" s="41" t="inlineStr">
        <is>
          <t>-</t>
        </is>
      </c>
      <c r="K324">
        <f>LEFT(E324,2)</f>
        <v/>
      </c>
    </row>
    <row r="325" ht="13" customHeight="1" s="54">
      <c r="A325" s="38" t="n">
        <v>323</v>
      </c>
      <c r="B325" s="39" t="n">
        <v>15</v>
      </c>
      <c r="C325" s="41" t="inlineStr">
        <is>
          <t>Dont'e Thornton Jr.</t>
        </is>
      </c>
      <c r="D325" s="41" t="inlineStr">
        <is>
          <t>LV</t>
        </is>
      </c>
      <c r="E325" s="41" t="inlineStr">
        <is>
          <t>WR113</t>
        </is>
      </c>
      <c r="F325" s="42" t="n">
        <v>271</v>
      </c>
      <c r="G325" s="42" t="n">
        <v>357</v>
      </c>
      <c r="H325" s="42" t="n">
        <v>299</v>
      </c>
      <c r="I325" s="42" t="n">
        <v>24.8</v>
      </c>
      <c r="J325" s="41" t="inlineStr">
        <is>
          <t>-</t>
        </is>
      </c>
      <c r="K325">
        <f>LEFT(E325,2)</f>
        <v/>
      </c>
    </row>
    <row r="326" ht="13" customHeight="1" s="54">
      <c r="A326" s="38" t="n">
        <v>324</v>
      </c>
      <c r="B326" s="39" t="n">
        <v>15</v>
      </c>
      <c r="C326" s="41" t="inlineStr">
        <is>
          <t>Michael Carter</t>
        </is>
      </c>
      <c r="D326" s="41" t="inlineStr">
        <is>
          <t>TEN</t>
        </is>
      </c>
      <c r="E326" s="41" t="inlineStr">
        <is>
          <t>RB101</t>
        </is>
      </c>
      <c r="F326" s="42" t="n">
        <v>307</v>
      </c>
      <c r="G326" s="42" t="n">
        <v>331</v>
      </c>
      <c r="H326" s="42" t="n">
        <v>314</v>
      </c>
      <c r="I326" s="42" t="n">
        <v>6</v>
      </c>
      <c r="J326" s="41" t="inlineStr">
        <is>
          <t>-</t>
        </is>
      </c>
      <c r="K326">
        <f>LEFT(E326,2)</f>
        <v/>
      </c>
    </row>
    <row r="327" ht="13" customHeight="1" s="54">
      <c r="A327" s="38" t="n">
        <v>325</v>
      </c>
      <c r="B327" s="39" t="n">
        <v>15</v>
      </c>
      <c r="C327" s="41" t="inlineStr">
        <is>
          <t>Tommy Myers</t>
        </is>
      </c>
      <c r="D327" s="41" t="inlineStr">
        <is>
          <t>FA</t>
        </is>
      </c>
      <c r="E327" s="41" t="inlineStr">
        <is>
          <t>TE37</t>
        </is>
      </c>
      <c r="F327" s="42" t="n">
        <v>172</v>
      </c>
      <c r="G327" s="42" t="n">
        <v>290</v>
      </c>
      <c r="H327" s="42" t="n">
        <v>232</v>
      </c>
      <c r="I327" s="42" t="n">
        <v>40.3</v>
      </c>
      <c r="J327" s="41" t="inlineStr">
        <is>
          <t>-</t>
        </is>
      </c>
      <c r="K327">
        <f>LEFT(E327,2)</f>
        <v/>
      </c>
    </row>
    <row r="328" ht="13" customHeight="1" s="54">
      <c r="A328" s="38" t="n">
        <v>326</v>
      </c>
      <c r="B328" s="39" t="n">
        <v>15</v>
      </c>
      <c r="C328" s="41" t="inlineStr">
        <is>
          <t>Noah Gray</t>
        </is>
      </c>
      <c r="D328" s="41" t="inlineStr">
        <is>
          <t>KC</t>
        </is>
      </c>
      <c r="E328" s="41" t="inlineStr">
        <is>
          <t>TE38</t>
        </is>
      </c>
      <c r="F328" s="42" t="n">
        <v>275</v>
      </c>
      <c r="G328" s="42" t="n">
        <v>347</v>
      </c>
      <c r="H328" s="42" t="n">
        <v>299</v>
      </c>
      <c r="I328" s="42" t="n">
        <v>25</v>
      </c>
      <c r="J328" s="41" t="inlineStr">
        <is>
          <t>-</t>
        </is>
      </c>
      <c r="K328">
        <f>LEFT(E328,2)</f>
        <v/>
      </c>
    </row>
    <row r="329" ht="13" customHeight="1" s="54">
      <c r="A329" s="38" t="n">
        <v>327</v>
      </c>
      <c r="B329" s="39" t="n">
        <v>15</v>
      </c>
      <c r="C329" s="41" t="inlineStr">
        <is>
          <t>DeMario Douglas</t>
        </is>
      </c>
      <c r="D329" s="41" t="inlineStr">
        <is>
          <t>NE</t>
        </is>
      </c>
      <c r="E329" s="41" t="inlineStr">
        <is>
          <t>WR114</t>
        </is>
      </c>
      <c r="F329" s="42" t="n">
        <v>266</v>
      </c>
      <c r="G329" s="42" t="n">
        <v>370</v>
      </c>
      <c r="H329" s="42" t="n">
        <v>302</v>
      </c>
      <c r="I329" s="42" t="n">
        <v>27.8</v>
      </c>
      <c r="J329" s="41" t="inlineStr">
        <is>
          <t>-</t>
        </is>
      </c>
      <c r="K329">
        <f>LEFT(E329,2)</f>
        <v/>
      </c>
    </row>
    <row r="330" ht="13" customHeight="1" s="54">
      <c r="A330" s="38" t="n">
        <v>328</v>
      </c>
      <c r="B330" s="39" t="n">
        <v>15</v>
      </c>
      <c r="C330" s="41" t="inlineStr">
        <is>
          <t>Olamide Zaccheaus</t>
        </is>
      </c>
      <c r="D330" s="41" t="inlineStr">
        <is>
          <t>ATL</t>
        </is>
      </c>
      <c r="E330" s="41" t="inlineStr">
        <is>
          <t>WR115</t>
        </is>
      </c>
      <c r="F330" s="42" t="n">
        <v>267</v>
      </c>
      <c r="G330" s="42" t="n">
        <v>361</v>
      </c>
      <c r="H330" s="42" t="n">
        <v>305</v>
      </c>
      <c r="I330" s="42" t="n">
        <v>24.2</v>
      </c>
      <c r="J330" s="41" t="inlineStr">
        <is>
          <t>-</t>
        </is>
      </c>
      <c r="K330">
        <f>LEFT(E330,2)</f>
        <v/>
      </c>
    </row>
    <row r="331" ht="13" customHeight="1" s="54">
      <c r="A331" s="38" t="n">
        <v>329</v>
      </c>
      <c r="B331" s="39" t="n">
        <v>15</v>
      </c>
      <c r="C331" s="41" t="inlineStr">
        <is>
          <t>Anthony Richardson Sr.</t>
        </is>
      </c>
      <c r="D331" s="41" t="inlineStr">
        <is>
          <t>IND</t>
        </is>
      </c>
      <c r="E331" s="41" t="inlineStr">
        <is>
          <t>QB37</t>
        </is>
      </c>
      <c r="F331" s="42" t="n">
        <v>309</v>
      </c>
      <c r="G331" s="42" t="n">
        <v>375</v>
      </c>
      <c r="H331" s="42" t="n">
        <v>326</v>
      </c>
      <c r="I331" s="42" t="n">
        <v>19.5</v>
      </c>
      <c r="J331" s="41" t="inlineStr">
        <is>
          <t>-</t>
        </is>
      </c>
      <c r="K331">
        <f>LEFT(E331,2)</f>
        <v/>
      </c>
    </row>
    <row r="332" ht="13" customHeight="1" s="54">
      <c r="A332" s="38" t="n">
        <v>330</v>
      </c>
      <c r="B332" s="39" t="n">
        <v>15</v>
      </c>
      <c r="C332" s="41" t="inlineStr">
        <is>
          <t>Greg Dulcich</t>
        </is>
      </c>
      <c r="D332" s="41" t="inlineStr">
        <is>
          <t>MIA</t>
        </is>
      </c>
      <c r="E332" s="41" t="inlineStr">
        <is>
          <t>TE39</t>
        </is>
      </c>
      <c r="F332" s="42" t="n">
        <v>180</v>
      </c>
      <c r="G332" s="42" t="n">
        <v>290</v>
      </c>
      <c r="H332" s="42" t="n">
        <v>250</v>
      </c>
      <c r="I332" s="42" t="n">
        <v>42</v>
      </c>
      <c r="J332" s="41" t="inlineStr">
        <is>
          <t>-</t>
        </is>
      </c>
      <c r="K332">
        <f>LEFT(E332,2)</f>
        <v/>
      </c>
    </row>
    <row r="333" ht="13" customHeight="1" s="54">
      <c r="A333" s="38" t="n">
        <v>331</v>
      </c>
      <c r="B333" s="39" t="n">
        <v>15</v>
      </c>
      <c r="C333" s="41" t="inlineStr">
        <is>
          <t>Xavier Hutchinson</t>
        </is>
      </c>
      <c r="D333" s="41" t="inlineStr">
        <is>
          <t>HOU</t>
        </is>
      </c>
      <c r="E333" s="41" t="inlineStr">
        <is>
          <t>WR116</t>
        </is>
      </c>
      <c r="F333" s="42" t="n">
        <v>291</v>
      </c>
      <c r="G333" s="42" t="n">
        <v>346</v>
      </c>
      <c r="H333" s="42" t="n">
        <v>306</v>
      </c>
      <c r="I333" s="42" t="n">
        <v>20.3</v>
      </c>
      <c r="J333" s="41" t="inlineStr">
        <is>
          <t>-</t>
        </is>
      </c>
      <c r="K333">
        <f>LEFT(E333,2)</f>
        <v/>
      </c>
    </row>
    <row r="334" ht="13" customHeight="1" s="54">
      <c r="A334" s="38" t="n">
        <v>332</v>
      </c>
      <c r="B334" s="39" t="n">
        <v>15</v>
      </c>
      <c r="C334" s="41" t="inlineStr">
        <is>
          <t>Joshua Palmer</t>
        </is>
      </c>
      <c r="D334" s="41" t="inlineStr">
        <is>
          <t>BUF</t>
        </is>
      </c>
      <c r="E334" s="41" t="inlineStr">
        <is>
          <t>WR117</t>
        </is>
      </c>
      <c r="F334" s="42" t="n">
        <v>293</v>
      </c>
      <c r="G334" s="42" t="n">
        <v>350</v>
      </c>
      <c r="H334" s="42" t="n">
        <v>308</v>
      </c>
      <c r="I334" s="42" t="n">
        <v>21.2</v>
      </c>
      <c r="J334" s="41" t="inlineStr">
        <is>
          <t>-</t>
        </is>
      </c>
      <c r="K334">
        <f>LEFT(E334,2)</f>
        <v/>
      </c>
    </row>
    <row r="335" ht="13" customHeight="1" s="54">
      <c r="A335" s="38" t="n">
        <v>333</v>
      </c>
      <c r="B335" s="39" t="n">
        <v>15</v>
      </c>
      <c r="C335" s="41" t="inlineStr">
        <is>
          <t>Jaylin Lane</t>
        </is>
      </c>
      <c r="D335" s="41" t="inlineStr">
        <is>
          <t>WAS</t>
        </is>
      </c>
      <c r="E335" s="41" t="inlineStr">
        <is>
          <t>WR118</t>
        </is>
      </c>
      <c r="F335" s="42" t="n">
        <v>289</v>
      </c>
      <c r="G335" s="42" t="n">
        <v>318</v>
      </c>
      <c r="H335" s="42" t="n">
        <v>297</v>
      </c>
      <c r="I335" s="42" t="n">
        <v>10.4</v>
      </c>
      <c r="J335" s="41" t="inlineStr">
        <is>
          <t>-</t>
        </is>
      </c>
      <c r="K335">
        <f>LEFT(E335,2)</f>
        <v/>
      </c>
    </row>
    <row r="336" ht="13" customHeight="1" s="54">
      <c r="A336" s="38" t="n">
        <v>334</v>
      </c>
      <c r="B336" s="39" t="n">
        <v>15</v>
      </c>
      <c r="C336" s="41" t="inlineStr">
        <is>
          <t>John Metchie III</t>
        </is>
      </c>
      <c r="D336" s="41" t="inlineStr">
        <is>
          <t>CAR</t>
        </is>
      </c>
      <c r="E336" s="41" t="inlineStr">
        <is>
          <t>WR119</t>
        </is>
      </c>
      <c r="F336" s="42" t="n">
        <v>298</v>
      </c>
      <c r="G336" s="42" t="n">
        <v>373</v>
      </c>
      <c r="H336" s="42" t="n">
        <v>312</v>
      </c>
      <c r="I336" s="42" t="n">
        <v>25.3</v>
      </c>
      <c r="J336" s="41" t="inlineStr">
        <is>
          <t>-</t>
        </is>
      </c>
      <c r="K336">
        <f>LEFT(E336,2)</f>
        <v/>
      </c>
    </row>
    <row r="337" ht="13" customHeight="1" s="54">
      <c r="A337" s="38" t="n">
        <v>335</v>
      </c>
      <c r="B337" s="39" t="n">
        <v>15</v>
      </c>
      <c r="C337" s="41" t="inlineStr">
        <is>
          <t>Darren Waller</t>
        </is>
      </c>
      <c r="D337" s="41" t="inlineStr">
        <is>
          <t>FA</t>
        </is>
      </c>
      <c r="E337" s="41" t="inlineStr">
        <is>
          <t>TE40</t>
        </is>
      </c>
      <c r="F337" s="42" t="n">
        <v>256</v>
      </c>
      <c r="G337" s="42" t="n">
        <v>323</v>
      </c>
      <c r="H337" s="42" t="n">
        <v>286</v>
      </c>
      <c r="I337" s="42" t="n">
        <v>24.4</v>
      </c>
      <c r="J337" s="41" t="inlineStr">
        <is>
          <t>-</t>
        </is>
      </c>
      <c r="K337">
        <f>LEFT(E337,2)</f>
        <v/>
      </c>
    </row>
    <row r="338" ht="13" customHeight="1" s="54">
      <c r="A338" s="38" t="n">
        <v>336</v>
      </c>
      <c r="B338" s="39" t="n">
        <v>15</v>
      </c>
      <c r="C338" s="41" t="inlineStr">
        <is>
          <t>Austin Ekeler</t>
        </is>
      </c>
      <c r="D338" s="41" t="inlineStr">
        <is>
          <t>FA</t>
        </is>
      </c>
      <c r="E338" s="41" t="inlineStr">
        <is>
          <t>RB102</t>
        </is>
      </c>
      <c r="F338" s="42" t="n">
        <v>312</v>
      </c>
      <c r="G338" s="42" t="n">
        <v>359</v>
      </c>
      <c r="H338" s="42" t="n">
        <v>321</v>
      </c>
      <c r="I338" s="42" t="n">
        <v>14.6</v>
      </c>
      <c r="J338" s="41" t="inlineStr">
        <is>
          <t>-</t>
        </is>
      </c>
      <c r="K338">
        <f>LEFT(E338,2)</f>
        <v/>
      </c>
    </row>
    <row r="339" ht="13" customHeight="1" s="54">
      <c r="A339" s="38" t="n">
        <v>337</v>
      </c>
      <c r="B339" s="39" t="n">
        <v>15</v>
      </c>
      <c r="C339" s="41" t="inlineStr">
        <is>
          <t>Zane Gonzalez</t>
        </is>
      </c>
      <c r="D339" s="41" t="inlineStr">
        <is>
          <t>MIA</t>
        </is>
      </c>
      <c r="E339" s="41" t="inlineStr">
        <is>
          <t>K19</t>
        </is>
      </c>
      <c r="F339" s="42" t="n">
        <v>285</v>
      </c>
      <c r="G339" s="42" t="n">
        <v>332</v>
      </c>
      <c r="H339" s="42" t="n">
        <v>315</v>
      </c>
      <c r="I339" s="42" t="n">
        <v>13.2</v>
      </c>
      <c r="J339" s="41" t="inlineStr">
        <is>
          <t>-</t>
        </is>
      </c>
      <c r="K339">
        <f>LEFT(E339,2)</f>
        <v/>
      </c>
    </row>
    <row r="340" ht="13" customHeight="1" s="54">
      <c r="A340" s="38" t="n">
        <v>338</v>
      </c>
      <c r="B340" s="39" t="n">
        <v>15</v>
      </c>
      <c r="C340" s="41" t="inlineStr">
        <is>
          <t>John Bates</t>
        </is>
      </c>
      <c r="D340" s="41" t="inlineStr">
        <is>
          <t>WAS</t>
        </is>
      </c>
      <c r="E340" s="41" t="inlineStr">
        <is>
          <t>TE41</t>
        </is>
      </c>
      <c r="F340" s="42" t="n">
        <v>245</v>
      </c>
      <c r="G340" s="42" t="n">
        <v>352</v>
      </c>
      <c r="H340" s="42" t="n">
        <v>290</v>
      </c>
      <c r="I340" s="42" t="n">
        <v>35.8</v>
      </c>
      <c r="J340" s="41" t="inlineStr">
        <is>
          <t>-</t>
        </is>
      </c>
      <c r="K340">
        <f>LEFT(E340,2)</f>
        <v/>
      </c>
    </row>
    <row r="341" ht="13" customHeight="1" s="54">
      <c r="A341" s="38" t="n">
        <v>339</v>
      </c>
      <c r="B341" s="39" t="n">
        <v>15</v>
      </c>
      <c r="C341" s="41" t="inlineStr">
        <is>
          <t>Elijah Arroyo</t>
        </is>
      </c>
      <c r="D341" s="41" t="inlineStr">
        <is>
          <t>SEA</t>
        </is>
      </c>
      <c r="E341" s="41" t="inlineStr">
        <is>
          <t>TE42</t>
        </is>
      </c>
      <c r="F341" s="42" t="n">
        <v>260</v>
      </c>
      <c r="G341" s="42" t="n">
        <v>319</v>
      </c>
      <c r="H341" s="42" t="n">
        <v>292</v>
      </c>
      <c r="I341" s="42" t="n">
        <v>22.2</v>
      </c>
      <c r="J341" s="41" t="inlineStr">
        <is>
          <t>-</t>
        </is>
      </c>
      <c r="K341">
        <f>LEFT(E341,2)</f>
        <v/>
      </c>
    </row>
    <row r="342" ht="13" customHeight="1" s="54">
      <c r="A342" s="38" t="n">
        <v>340</v>
      </c>
      <c r="B342" s="39" t="n">
        <v>15</v>
      </c>
      <c r="C342" s="41" t="inlineStr">
        <is>
          <t>Carolina Panthers</t>
        </is>
      </c>
      <c r="D342" s="41" t="inlineStr">
        <is>
          <t>CAR</t>
        </is>
      </c>
      <c r="E342" s="41" t="inlineStr">
        <is>
          <t>DST21</t>
        </is>
      </c>
      <c r="F342" s="42" t="n">
        <v>278</v>
      </c>
      <c r="G342" s="42" t="n">
        <v>328</v>
      </c>
      <c r="H342" s="42" t="n">
        <v>306</v>
      </c>
      <c r="I342" s="42" t="n">
        <v>20.1</v>
      </c>
      <c r="J342" s="41" t="inlineStr">
        <is>
          <t>-</t>
        </is>
      </c>
      <c r="K342">
        <f>LEFT(E342,2)</f>
        <v/>
      </c>
    </row>
    <row r="343" ht="13" customHeight="1" s="54">
      <c r="A343" s="38" t="n">
        <v>341</v>
      </c>
      <c r="B343" s="39" t="n">
        <v>15</v>
      </c>
      <c r="C343" s="41" t="inlineStr">
        <is>
          <t>Seth McGowan</t>
        </is>
      </c>
      <c r="D343" s="41" t="inlineStr">
        <is>
          <t>FA</t>
        </is>
      </c>
      <c r="E343" s="41" t="inlineStr">
        <is>
          <t>RB103</t>
        </is>
      </c>
      <c r="F343" s="42" t="n">
        <v>240</v>
      </c>
      <c r="G343" s="42" t="n">
        <v>315</v>
      </c>
      <c r="H343" s="42" t="n">
        <v>271</v>
      </c>
      <c r="I343" s="42" t="n">
        <v>27.2</v>
      </c>
      <c r="J343" s="41" t="inlineStr">
        <is>
          <t>-</t>
        </is>
      </c>
      <c r="K343">
        <f>LEFT(E343,2)</f>
        <v/>
      </c>
    </row>
    <row r="344" ht="13" customHeight="1" s="54">
      <c r="A344" s="38" t="n">
        <v>342</v>
      </c>
      <c r="B344" s="39" t="n">
        <v>15</v>
      </c>
      <c r="C344" s="41" t="inlineStr">
        <is>
          <t>Le'Veon Moss</t>
        </is>
      </c>
      <c r="D344" s="41" t="inlineStr">
        <is>
          <t>FA</t>
        </is>
      </c>
      <c r="E344" s="41" t="inlineStr">
        <is>
          <t>RB104</t>
        </is>
      </c>
      <c r="F344" s="42" t="n">
        <v>207</v>
      </c>
      <c r="G344" s="42" t="n">
        <v>282</v>
      </c>
      <c r="H344" s="42" t="n">
        <v>249</v>
      </c>
      <c r="I344" s="42" t="n">
        <v>31.4</v>
      </c>
      <c r="J344" s="41" t="inlineStr">
        <is>
          <t>-</t>
        </is>
      </c>
      <c r="K344">
        <f>LEFT(E344,2)</f>
        <v/>
      </c>
    </row>
    <row r="345" ht="13" customHeight="1" s="54">
      <c r="A345" s="38" t="n">
        <v>343</v>
      </c>
      <c r="B345" s="39" t="n">
        <v>15</v>
      </c>
      <c r="C345" s="41" t="inlineStr">
        <is>
          <t>J'Mari Taylor</t>
        </is>
      </c>
      <c r="D345" s="41" t="inlineStr">
        <is>
          <t>FA</t>
        </is>
      </c>
      <c r="E345" s="41" t="inlineStr">
        <is>
          <t>RB105</t>
        </is>
      </c>
      <c r="F345" s="42" t="n">
        <v>181</v>
      </c>
      <c r="G345" s="42" t="n">
        <v>303</v>
      </c>
      <c r="H345" s="42" t="n">
        <v>253</v>
      </c>
      <c r="I345" s="42" t="n">
        <v>52</v>
      </c>
      <c r="J345" s="41" t="inlineStr">
        <is>
          <t>-</t>
        </is>
      </c>
      <c r="K345">
        <f>LEFT(E345,2)</f>
        <v/>
      </c>
    </row>
    <row r="346" ht="13" customHeight="1" s="54">
      <c r="A346" s="38" t="n">
        <v>344</v>
      </c>
      <c r="B346" s="39" t="n">
        <v>15</v>
      </c>
      <c r="C346" s="41" t="inlineStr">
        <is>
          <t>Jahan Dotson</t>
        </is>
      </c>
      <c r="D346" s="41" t="inlineStr">
        <is>
          <t>ATL</t>
        </is>
      </c>
      <c r="E346" s="41" t="inlineStr">
        <is>
          <t>WR120</t>
        </is>
      </c>
      <c r="F346" s="42" t="n">
        <v>168</v>
      </c>
      <c r="G346" s="42" t="n">
        <v>349</v>
      </c>
      <c r="H346" s="42" t="n">
        <v>253</v>
      </c>
      <c r="I346" s="42" t="n">
        <v>74.3</v>
      </c>
      <c r="J346" s="41" t="inlineStr">
        <is>
          <t>-</t>
        </is>
      </c>
      <c r="K346">
        <f>LEFT(E346,2)</f>
        <v/>
      </c>
    </row>
    <row r="347" ht="13" customHeight="1" s="54">
      <c r="A347" s="38" t="n">
        <v>345</v>
      </c>
      <c r="B347" s="39" t="n">
        <v>15</v>
      </c>
      <c r="C347" s="41" t="inlineStr">
        <is>
          <t>Ben Sinnott</t>
        </is>
      </c>
      <c r="D347" s="41" t="inlineStr">
        <is>
          <t>WAS</t>
        </is>
      </c>
      <c r="E347" s="41" t="inlineStr">
        <is>
          <t>TE43</t>
        </is>
      </c>
      <c r="F347" s="42" t="n">
        <v>263</v>
      </c>
      <c r="G347" s="42" t="n">
        <v>368</v>
      </c>
      <c r="H347" s="42" t="n">
        <v>305</v>
      </c>
      <c r="I347" s="42" t="n">
        <v>39</v>
      </c>
      <c r="J347" s="41" t="inlineStr">
        <is>
          <t>-</t>
        </is>
      </c>
      <c r="K347">
        <f>LEFT(E347,2)</f>
        <v/>
      </c>
    </row>
    <row r="348" ht="13" customHeight="1" s="54">
      <c r="A348" s="38" t="n">
        <v>346</v>
      </c>
      <c r="B348" s="39" t="n">
        <v>15</v>
      </c>
      <c r="C348" s="41" t="inlineStr">
        <is>
          <t>Kirk Cousins</t>
        </is>
      </c>
      <c r="D348" s="41" t="inlineStr">
        <is>
          <t>LV</t>
        </is>
      </c>
      <c r="E348" s="41" t="inlineStr">
        <is>
          <t>QB38</t>
        </is>
      </c>
      <c r="F348" s="42" t="n">
        <v>287</v>
      </c>
      <c r="G348" s="42" t="n">
        <v>322</v>
      </c>
      <c r="H348" s="42" t="n">
        <v>306</v>
      </c>
      <c r="I348" s="42" t="n">
        <v>11.2</v>
      </c>
      <c r="J348" s="41" t="inlineStr">
        <is>
          <t>-</t>
        </is>
      </c>
      <c r="K348">
        <f>LEFT(E348,2)</f>
        <v/>
      </c>
    </row>
    <row r="349" ht="13" customHeight="1" s="54">
      <c r="A349" s="38" t="n">
        <v>347</v>
      </c>
      <c r="B349" s="39" t="n">
        <v>15</v>
      </c>
      <c r="C349" s="41" t="inlineStr">
        <is>
          <t>Deshaun Watson</t>
        </is>
      </c>
      <c r="D349" s="41" t="inlineStr">
        <is>
          <t>CLE</t>
        </is>
      </c>
      <c r="E349" s="41" t="inlineStr">
        <is>
          <t>QB39</t>
        </is>
      </c>
      <c r="F349" s="42" t="n">
        <v>241</v>
      </c>
      <c r="G349" s="42" t="n">
        <v>367</v>
      </c>
      <c r="H349" s="42" t="n">
        <v>307</v>
      </c>
      <c r="I349" s="42" t="n">
        <v>42.1</v>
      </c>
      <c r="J349" s="41" t="inlineStr">
        <is>
          <t>-</t>
        </is>
      </c>
      <c r="K349">
        <f>LEFT(E349,2)</f>
        <v/>
      </c>
    </row>
    <row r="350" ht="13" customHeight="1" s="54">
      <c r="A350" s="38" t="n">
        <v>348</v>
      </c>
      <c r="B350" s="39" t="n">
        <v>15</v>
      </c>
      <c r="C350" s="41" t="inlineStr">
        <is>
          <t>Joe Milton III</t>
        </is>
      </c>
      <c r="D350" s="41" t="inlineStr">
        <is>
          <t>DAL</t>
        </is>
      </c>
      <c r="E350" s="41" t="inlineStr">
        <is>
          <t>QB40</t>
        </is>
      </c>
      <c r="F350" s="42" t="n">
        <v>311</v>
      </c>
      <c r="G350" s="42" t="n">
        <v>319</v>
      </c>
      <c r="H350" s="42" t="n">
        <v>313</v>
      </c>
      <c r="I350" s="42" t="n">
        <v>2.9</v>
      </c>
      <c r="J350" s="41" t="inlineStr">
        <is>
          <t>-</t>
        </is>
      </c>
      <c r="K350">
        <f>LEFT(E350,2)</f>
        <v/>
      </c>
    </row>
    <row r="351" ht="13" customHeight="1" s="54">
      <c r="A351" s="38" t="n">
        <v>349</v>
      </c>
      <c r="B351" s="39" t="n">
        <v>15</v>
      </c>
      <c r="C351" s="41" t="inlineStr">
        <is>
          <t>Kalif Raymond</t>
        </is>
      </c>
      <c r="D351" s="41" t="inlineStr">
        <is>
          <t>CHI</t>
        </is>
      </c>
      <c r="E351" s="41" t="inlineStr">
        <is>
          <t>WR121</t>
        </is>
      </c>
      <c r="F351" s="42" t="n">
        <v>244</v>
      </c>
      <c r="G351" s="42" t="n">
        <v>373</v>
      </c>
      <c r="H351" s="42" t="n">
        <v>302</v>
      </c>
      <c r="I351" s="42" t="n">
        <v>47.6</v>
      </c>
      <c r="J351" s="41" t="inlineStr">
        <is>
          <t>-</t>
        </is>
      </c>
      <c r="K351">
        <f>LEFT(E351,2)</f>
        <v/>
      </c>
    </row>
    <row r="352" ht="13" customHeight="1" s="54">
      <c r="A352" s="38" t="n">
        <v>350</v>
      </c>
      <c r="B352" s="39" t="n">
        <v>15</v>
      </c>
      <c r="C352" s="41" t="inlineStr">
        <is>
          <t>Antonio Williams</t>
        </is>
      </c>
      <c r="D352" s="41" t="inlineStr">
        <is>
          <t>FA</t>
        </is>
      </c>
      <c r="E352" s="41" t="inlineStr">
        <is>
          <t>WR122</t>
        </is>
      </c>
      <c r="F352" s="42" t="n">
        <v>194</v>
      </c>
      <c r="G352" s="42" t="n">
        <v>268</v>
      </c>
      <c r="H352" s="42" t="n">
        <v>231</v>
      </c>
      <c r="I352" s="42" t="n">
        <v>37</v>
      </c>
      <c r="J352" s="41" t="inlineStr">
        <is>
          <t>-</t>
        </is>
      </c>
      <c r="K352">
        <f>LEFT(E352,2)</f>
        <v/>
      </c>
    </row>
    <row r="353" ht="13" customHeight="1" s="54">
      <c r="A353" s="38" t="n">
        <v>351</v>
      </c>
      <c r="B353" s="39" t="n">
        <v>15</v>
      </c>
      <c r="C353" s="41" t="inlineStr">
        <is>
          <t>Chicago Bears</t>
        </is>
      </c>
      <c r="D353" s="41" t="inlineStr">
        <is>
          <t>CHI</t>
        </is>
      </c>
      <c r="E353" s="41" t="inlineStr">
        <is>
          <t>DST22</t>
        </is>
      </c>
      <c r="F353" s="42" t="n">
        <v>185</v>
      </c>
      <c r="G353" s="42" t="n">
        <v>278</v>
      </c>
      <c r="H353" s="42" t="n">
        <v>232</v>
      </c>
      <c r="I353" s="42" t="n">
        <v>46.5</v>
      </c>
      <c r="J353" s="41" t="inlineStr">
        <is>
          <t>-</t>
        </is>
      </c>
    </row>
    <row r="354" ht="13" customHeight="1" s="54">
      <c r="A354" s="38" t="n">
        <v>352</v>
      </c>
      <c r="B354" s="39" t="n">
        <v>15</v>
      </c>
      <c r="C354" s="41" t="inlineStr">
        <is>
          <t>Jawhar Jordan</t>
        </is>
      </c>
      <c r="D354" s="41" t="inlineStr">
        <is>
          <t>HOU</t>
        </is>
      </c>
      <c r="E354" s="41" t="inlineStr">
        <is>
          <t>RB106</t>
        </is>
      </c>
      <c r="F354" s="42" t="n">
        <v>315</v>
      </c>
      <c r="G354" s="42" t="n">
        <v>328</v>
      </c>
      <c r="H354" s="42" t="n">
        <v>321</v>
      </c>
      <c r="I354" s="42" t="n">
        <v>5.5</v>
      </c>
      <c r="J354" s="41" t="inlineStr">
        <is>
          <t>-</t>
        </is>
      </c>
    </row>
    <row r="355" ht="13" customHeight="1" s="54">
      <c r="A355" s="38" t="n">
        <v>353</v>
      </c>
      <c r="B355" s="39" t="n">
        <v>15</v>
      </c>
      <c r="C355" s="41" t="inlineStr">
        <is>
          <t>Darnell Washington</t>
        </is>
      </c>
      <c r="D355" s="41" t="inlineStr">
        <is>
          <t>PIT</t>
        </is>
      </c>
      <c r="E355" s="41" t="inlineStr">
        <is>
          <t>TE44</t>
        </is>
      </c>
      <c r="F355" s="42" t="n">
        <v>262</v>
      </c>
      <c r="G355" s="42" t="n">
        <v>341</v>
      </c>
      <c r="H355" s="42" t="n">
        <v>306</v>
      </c>
      <c r="I355" s="42" t="n">
        <v>35.6</v>
      </c>
      <c r="J355" s="41" t="inlineStr">
        <is>
          <t>-</t>
        </is>
      </c>
    </row>
    <row r="356" ht="13" customHeight="1" s="54">
      <c r="A356" s="38" t="n">
        <v>354</v>
      </c>
      <c r="B356" s="39" t="n">
        <v>15</v>
      </c>
      <c r="C356" s="41" t="inlineStr">
        <is>
          <t>Dameon Pierce</t>
        </is>
      </c>
      <c r="D356" s="41" t="inlineStr">
        <is>
          <t>PHI</t>
        </is>
      </c>
      <c r="E356" s="41" t="inlineStr">
        <is>
          <t>RB107</t>
        </is>
      </c>
      <c r="F356" s="42" t="n">
        <v>306</v>
      </c>
      <c r="G356" s="42" t="n">
        <v>381</v>
      </c>
      <c r="H356" s="42" t="n">
        <v>323</v>
      </c>
      <c r="I356" s="42" t="n">
        <v>28.9</v>
      </c>
      <c r="J356" s="41" t="inlineStr">
        <is>
          <t>-</t>
        </is>
      </c>
    </row>
    <row r="357" ht="13" customHeight="1" s="54">
      <c r="A357" s="38" t="n">
        <v>355</v>
      </c>
      <c r="B357" s="39" t="n">
        <v>15</v>
      </c>
      <c r="C357" s="41" t="inlineStr">
        <is>
          <t>Raheim Sanders</t>
        </is>
      </c>
      <c r="D357" s="41" t="inlineStr">
        <is>
          <t>CLE</t>
        </is>
      </c>
      <c r="E357" s="41" t="inlineStr">
        <is>
          <t>RB108</t>
        </is>
      </c>
      <c r="F357" s="42" t="n">
        <v>312</v>
      </c>
      <c r="G357" s="42" t="n">
        <v>363</v>
      </c>
      <c r="H357" s="42" t="n">
        <v>325</v>
      </c>
      <c r="I357" s="42" t="n">
        <v>19.4</v>
      </c>
      <c r="J357" s="41" t="inlineStr">
        <is>
          <t>-</t>
        </is>
      </c>
    </row>
    <row r="358" ht="13" customHeight="1" s="54">
      <c r="A358" s="38" t="n">
        <v>356</v>
      </c>
      <c r="B358" s="39" t="n">
        <v>15</v>
      </c>
      <c r="C358" s="41" t="inlineStr">
        <is>
          <t>Terrell Jennings</t>
        </is>
      </c>
      <c r="D358" s="41" t="inlineStr">
        <is>
          <t>NE</t>
        </is>
      </c>
      <c r="E358" s="41" t="inlineStr">
        <is>
          <t>RB109</t>
        </is>
      </c>
      <c r="F358" s="42" t="n">
        <v>308</v>
      </c>
      <c r="G358" s="42" t="n">
        <v>383</v>
      </c>
      <c r="H358" s="42" t="n">
        <v>326</v>
      </c>
      <c r="I358" s="42" t="n">
        <v>28.7</v>
      </c>
      <c r="J358" s="41" t="inlineStr">
        <is>
          <t>-</t>
        </is>
      </c>
    </row>
    <row r="359" ht="13" customHeight="1" s="54">
      <c r="A359" s="38" t="n">
        <v>357</v>
      </c>
      <c r="B359" s="39" t="n">
        <v>15</v>
      </c>
      <c r="C359" s="41" t="inlineStr">
        <is>
          <t>Antonio Gibson</t>
        </is>
      </c>
      <c r="D359" s="41" t="inlineStr">
        <is>
          <t>FA</t>
        </is>
      </c>
      <c r="E359" s="41" t="inlineStr">
        <is>
          <t>RB110</t>
        </is>
      </c>
      <c r="F359" s="42" t="n">
        <v>309</v>
      </c>
      <c r="G359" s="42" t="n">
        <v>387</v>
      </c>
      <c r="H359" s="42" t="n">
        <v>328</v>
      </c>
      <c r="I359" s="42" t="n">
        <v>29.9</v>
      </c>
      <c r="J359" s="41" t="inlineStr">
        <is>
          <t>-</t>
        </is>
      </c>
    </row>
    <row r="360" ht="13" customHeight="1" s="54">
      <c r="A360" s="38" t="n">
        <v>358</v>
      </c>
      <c r="B360" s="39" t="n">
        <v>15</v>
      </c>
      <c r="C360" s="41" t="inlineStr">
        <is>
          <t>Justin Fields</t>
        </is>
      </c>
      <c r="D360" s="41" t="inlineStr">
        <is>
          <t>KC</t>
        </is>
      </c>
      <c r="E360" s="41" t="inlineStr">
        <is>
          <t>QB41</t>
        </is>
      </c>
      <c r="F360" s="42" t="n">
        <v>307</v>
      </c>
      <c r="G360" s="42" t="n">
        <v>355</v>
      </c>
      <c r="H360" s="42" t="n">
        <v>328</v>
      </c>
      <c r="I360" s="42" t="n">
        <v>16.2</v>
      </c>
      <c r="J360" s="41" t="inlineStr">
        <is>
          <t>-</t>
        </is>
      </c>
    </row>
    <row r="361" ht="13" customHeight="1" s="54">
      <c r="A361" s="38" t="n">
        <v>359</v>
      </c>
      <c r="B361" s="39" t="n">
        <v>15</v>
      </c>
      <c r="C361" s="41" t="inlineStr">
        <is>
          <t>Tutu Atwell</t>
        </is>
      </c>
      <c r="D361" s="41" t="inlineStr">
        <is>
          <t>MIA</t>
        </is>
      </c>
      <c r="E361" s="41" t="inlineStr">
        <is>
          <t>WR123</t>
        </is>
      </c>
      <c r="F361" s="42" t="n">
        <v>203</v>
      </c>
      <c r="G361" s="42" t="n">
        <v>375</v>
      </c>
      <c r="H361" s="42" t="n">
        <v>295</v>
      </c>
      <c r="I361" s="42" t="n">
        <v>70.7</v>
      </c>
      <c r="J361" s="41" t="inlineStr">
        <is>
          <t>-</t>
        </is>
      </c>
    </row>
    <row r="362" ht="13" customHeight="1" s="54">
      <c r="A362" s="38" t="n">
        <v>360</v>
      </c>
      <c r="B362" s="39" t="n">
        <v>15</v>
      </c>
      <c r="C362" s="41" t="inlineStr">
        <is>
          <t>Miami Dolphins</t>
        </is>
      </c>
      <c r="D362" s="41" t="inlineStr">
        <is>
          <t>MIA</t>
        </is>
      </c>
      <c r="E362" s="41" t="inlineStr">
        <is>
          <t>DST23</t>
        </is>
      </c>
      <c r="F362" s="42" t="n">
        <v>319</v>
      </c>
      <c r="G362" s="42" t="n">
        <v>355</v>
      </c>
      <c r="H362" s="42" t="n">
        <v>329</v>
      </c>
      <c r="I362" s="42" t="n">
        <v>13.7</v>
      </c>
      <c r="J362" s="41" t="inlineStr">
        <is>
          <t>-</t>
        </is>
      </c>
    </row>
    <row r="363" ht="13" customHeight="1" s="54">
      <c r="A363" s="38" t="n">
        <v>361</v>
      </c>
      <c r="B363" s="39" t="n">
        <v>15</v>
      </c>
      <c r="C363" s="41" t="inlineStr">
        <is>
          <t>Tyler Higbee</t>
        </is>
      </c>
      <c r="D363" s="41" t="inlineStr">
        <is>
          <t>LAR</t>
        </is>
      </c>
      <c r="E363" s="41" t="inlineStr">
        <is>
          <t>TE45</t>
        </is>
      </c>
      <c r="F363" s="42" t="n">
        <v>258</v>
      </c>
      <c r="G363" s="42" t="n">
        <v>359</v>
      </c>
      <c r="H363" s="42" t="n">
        <v>318</v>
      </c>
      <c r="I363" s="42" t="n">
        <v>40.4</v>
      </c>
      <c r="J363" s="41" t="inlineStr">
        <is>
          <t>-</t>
        </is>
      </c>
    </row>
    <row r="364" ht="13" customHeight="1" s="54">
      <c r="A364" s="38" t="n">
        <v>362</v>
      </c>
      <c r="B364" s="39" t="n">
        <v>16</v>
      </c>
      <c r="C364" s="41" t="inlineStr">
        <is>
          <t>Michael Mayer</t>
        </is>
      </c>
      <c r="D364" s="41" t="inlineStr">
        <is>
          <t>LV</t>
        </is>
      </c>
      <c r="E364" s="41" t="inlineStr">
        <is>
          <t>TE46</t>
        </is>
      </c>
      <c r="F364" s="42" t="n">
        <v>275</v>
      </c>
      <c r="G364" s="42" t="n">
        <v>377</v>
      </c>
      <c r="H364" s="42" t="n">
        <v>325</v>
      </c>
      <c r="I364" s="42" t="n">
        <v>36.1</v>
      </c>
      <c r="J364" s="41" t="inlineStr">
        <is>
          <t>-</t>
        </is>
      </c>
    </row>
    <row r="365" ht="13" customHeight="1" s="54">
      <c r="A365" s="38" t="n">
        <v>363</v>
      </c>
      <c r="B365" s="39" t="n">
        <v>16</v>
      </c>
      <c r="C365" s="41" t="inlineStr">
        <is>
          <t>Jalen Tolbert</t>
        </is>
      </c>
      <c r="D365" s="41" t="inlineStr">
        <is>
          <t>MIA</t>
        </is>
      </c>
      <c r="E365" s="41" t="inlineStr">
        <is>
          <t>WR124</t>
        </is>
      </c>
      <c r="F365" s="42" t="n">
        <v>226</v>
      </c>
      <c r="G365" s="42" t="n">
        <v>319</v>
      </c>
      <c r="H365" s="42" t="n">
        <v>273</v>
      </c>
      <c r="I365" s="42" t="n">
        <v>46.5</v>
      </c>
      <c r="J365" s="41" t="inlineStr">
        <is>
          <t>-</t>
        </is>
      </c>
    </row>
    <row r="366" ht="13" customHeight="1" s="54">
      <c r="A366" s="38" t="n">
        <v>364</v>
      </c>
      <c r="B366" s="39" t="n">
        <v>16</v>
      </c>
      <c r="C366" s="41" t="inlineStr">
        <is>
          <t>Ted Hurst</t>
        </is>
      </c>
      <c r="D366" s="41" t="inlineStr">
        <is>
          <t>FA</t>
        </is>
      </c>
      <c r="E366" s="41" t="inlineStr">
        <is>
          <t>WR125</t>
        </is>
      </c>
      <c r="F366" s="42" t="n">
        <v>261</v>
      </c>
      <c r="G366" s="42" t="n">
        <v>304</v>
      </c>
      <c r="H366" s="42" t="n">
        <v>283</v>
      </c>
      <c r="I366" s="42" t="n">
        <v>21.5</v>
      </c>
      <c r="J366" s="41" t="inlineStr">
        <is>
          <t>-</t>
        </is>
      </c>
    </row>
    <row r="367" ht="13" customHeight="1" s="54">
      <c r="A367" s="38" t="n">
        <v>365</v>
      </c>
      <c r="B367" s="39" t="n">
        <v>16</v>
      </c>
      <c r="C367" s="41" t="inlineStr">
        <is>
          <t>Skyler Bell</t>
        </is>
      </c>
      <c r="D367" s="41" t="inlineStr">
        <is>
          <t>FA</t>
        </is>
      </c>
      <c r="E367" s="41" t="inlineStr">
        <is>
          <t>WR126</t>
        </is>
      </c>
      <c r="F367" s="42" t="n">
        <v>263</v>
      </c>
      <c r="G367" s="42" t="n">
        <v>311</v>
      </c>
      <c r="H367" s="42" t="n">
        <v>287</v>
      </c>
      <c r="I367" s="42" t="n">
        <v>24</v>
      </c>
      <c r="J367" s="41" t="inlineStr">
        <is>
          <t>-</t>
        </is>
      </c>
    </row>
    <row r="368" ht="13" customHeight="1" s="54">
      <c r="A368" s="38" t="n">
        <v>366</v>
      </c>
      <c r="B368" s="39" t="n">
        <v>16</v>
      </c>
      <c r="C368" s="41" t="inlineStr">
        <is>
          <t>Ja'Kobi Lane</t>
        </is>
      </c>
      <c r="D368" s="41" t="inlineStr">
        <is>
          <t>FA</t>
        </is>
      </c>
      <c r="E368" s="41" t="inlineStr">
        <is>
          <t>WR127</t>
        </is>
      </c>
      <c r="F368" s="42" t="n">
        <v>272</v>
      </c>
      <c r="G368" s="42" t="n">
        <v>302</v>
      </c>
      <c r="H368" s="42" t="n">
        <v>287</v>
      </c>
      <c r="I368" s="42" t="n">
        <v>15</v>
      </c>
      <c r="J368" s="41" t="inlineStr">
        <is>
          <t>-</t>
        </is>
      </c>
    </row>
    <row r="369" ht="13" customHeight="1" s="54">
      <c r="A369" s="38" t="n">
        <v>367</v>
      </c>
      <c r="B369" s="39" t="n">
        <v>16</v>
      </c>
      <c r="C369" s="41" t="inlineStr">
        <is>
          <t>Marcus Mariota</t>
        </is>
      </c>
      <c r="D369" s="41" t="inlineStr">
        <is>
          <t>WAS</t>
        </is>
      </c>
      <c r="E369" s="41" t="inlineStr">
        <is>
          <t>QB42</t>
        </is>
      </c>
      <c r="F369" s="42" t="n">
        <v>286</v>
      </c>
      <c r="G369" s="42" t="n">
        <v>389</v>
      </c>
      <c r="H369" s="42" t="n">
        <v>334</v>
      </c>
      <c r="I369" s="42" t="n">
        <v>42.3</v>
      </c>
      <c r="J369" s="41" t="inlineStr">
        <is>
          <t>-</t>
        </is>
      </c>
    </row>
    <row r="370" ht="13" customHeight="1" s="54">
      <c r="A370" s="38" t="n">
        <v>368</v>
      </c>
      <c r="B370" s="39" t="n">
        <v>16</v>
      </c>
      <c r="C370" s="41" t="inlineStr">
        <is>
          <t>Noah Fant</t>
        </is>
      </c>
      <c r="D370" s="41" t="inlineStr">
        <is>
          <t>NO</t>
        </is>
      </c>
      <c r="E370" s="41" t="inlineStr">
        <is>
          <t>TE47</t>
        </is>
      </c>
      <c r="F370" s="42" t="n">
        <v>313</v>
      </c>
      <c r="G370" s="42" t="n">
        <v>319</v>
      </c>
      <c r="H370" s="42" t="n">
        <v>316</v>
      </c>
      <c r="I370" s="42" t="n">
        <v>3</v>
      </c>
      <c r="J370" s="41" t="inlineStr">
        <is>
          <t>-</t>
        </is>
      </c>
    </row>
    <row r="371" ht="13" customHeight="1" s="54">
      <c r="A371" s="38" t="n">
        <v>369</v>
      </c>
      <c r="B371" s="39" t="n">
        <v>16</v>
      </c>
      <c r="C371" s="41" t="inlineStr">
        <is>
          <t>Michael Trigg</t>
        </is>
      </c>
      <c r="D371" s="41" t="inlineStr">
        <is>
          <t>FA</t>
        </is>
      </c>
      <c r="E371" s="41" t="inlineStr">
        <is>
          <t>TE48</t>
        </is>
      </c>
      <c r="F371" s="42" t="n">
        <v>273</v>
      </c>
      <c r="G371" s="42" t="n">
        <v>376</v>
      </c>
      <c r="H371" s="42" t="n">
        <v>325</v>
      </c>
      <c r="I371" s="42" t="n">
        <v>51.5</v>
      </c>
      <c r="J371" s="41" t="inlineStr">
        <is>
          <t>-</t>
        </is>
      </c>
    </row>
    <row r="372" ht="13" customHeight="1" s="54">
      <c r="A372" s="38" t="n">
        <v>370</v>
      </c>
      <c r="B372" s="39" t="n">
        <v>16</v>
      </c>
      <c r="C372" s="41" t="inlineStr">
        <is>
          <t>Dawson Knox</t>
        </is>
      </c>
      <c r="D372" s="41" t="inlineStr">
        <is>
          <t>BUF</t>
        </is>
      </c>
      <c r="E372" s="41" t="inlineStr">
        <is>
          <t>TE49</t>
        </is>
      </c>
      <c r="F372" s="42" t="n">
        <v>317</v>
      </c>
      <c r="G372" s="42" t="n">
        <v>372</v>
      </c>
      <c r="H372" s="42" t="n">
        <v>348</v>
      </c>
      <c r="I372" s="42" t="n">
        <v>23.1</v>
      </c>
      <c r="J372" s="41" t="inlineStr">
        <is>
          <t>-</t>
        </is>
      </c>
    </row>
    <row r="373" ht="13" customHeight="1" s="54">
      <c r="A373" s="38" t="n">
        <v>371</v>
      </c>
      <c r="B373" s="39" t="n">
        <v>16</v>
      </c>
      <c r="C373" s="41" t="inlineStr">
        <is>
          <t>Joe Flacco</t>
        </is>
      </c>
      <c r="D373" s="41" t="inlineStr">
        <is>
          <t>CIN</t>
        </is>
      </c>
      <c r="E373" s="41" t="inlineStr">
        <is>
          <t>QB43</t>
        </is>
      </c>
      <c r="F373" s="42" t="n">
        <v>288</v>
      </c>
      <c r="G373" s="42" t="n">
        <v>380</v>
      </c>
      <c r="H373" s="42" t="n">
        <v>334</v>
      </c>
      <c r="I373" s="42" t="n">
        <v>46</v>
      </c>
      <c r="J373" s="41" t="inlineStr">
        <is>
          <t>-</t>
        </is>
      </c>
    </row>
    <row r="374" ht="13" customHeight="1" s="54">
      <c r="A374" s="38" t="n">
        <v>372</v>
      </c>
      <c r="B374" s="39" t="n">
        <v>16</v>
      </c>
      <c r="C374" s="41" t="inlineStr">
        <is>
          <t>Luke Musgrave</t>
        </is>
      </c>
      <c r="D374" s="41" t="inlineStr">
        <is>
          <t>GB</t>
        </is>
      </c>
      <c r="E374" s="41" t="inlineStr">
        <is>
          <t>TE50</t>
        </is>
      </c>
      <c r="F374" s="42" t="n">
        <v>326</v>
      </c>
      <c r="G374" s="42" t="n">
        <v>348</v>
      </c>
      <c r="H374" s="42" t="n">
        <v>337</v>
      </c>
      <c r="I374" s="42" t="n">
        <v>11</v>
      </c>
      <c r="J374" s="41" t="inlineStr">
        <is>
          <t>-</t>
        </is>
      </c>
    </row>
    <row r="375" ht="13" customHeight="1" s="54">
      <c r="A375" s="38" t="n">
        <v>373</v>
      </c>
      <c r="B375" s="39" t="n">
        <v>16</v>
      </c>
      <c r="C375" s="41" t="inlineStr">
        <is>
          <t>Max Klare</t>
        </is>
      </c>
      <c r="D375" s="41" t="inlineStr">
        <is>
          <t>FA</t>
        </is>
      </c>
      <c r="E375" s="41" t="inlineStr">
        <is>
          <t>TE51</t>
        </is>
      </c>
      <c r="F375" s="42" t="n">
        <v>324</v>
      </c>
      <c r="G375" s="42" t="n">
        <v>354</v>
      </c>
      <c r="H375" s="42" t="n">
        <v>339</v>
      </c>
      <c r="I375" s="42" t="n">
        <v>15</v>
      </c>
      <c r="J375" s="41" t="inlineStr">
        <is>
          <t>-</t>
        </is>
      </c>
    </row>
    <row r="376" ht="13" customHeight="1" s="54">
      <c r="A376" s="38" t="n">
        <v>374</v>
      </c>
      <c r="B376" s="39" t="n">
        <v>16</v>
      </c>
      <c r="C376" s="41" t="inlineStr">
        <is>
          <t>Cole Kmet</t>
        </is>
      </c>
      <c r="D376" s="41" t="inlineStr">
        <is>
          <t>CHI</t>
        </is>
      </c>
      <c r="E376" s="41" t="inlineStr">
        <is>
          <t>TE52</t>
        </is>
      </c>
      <c r="F376" s="42" t="n">
        <v>343</v>
      </c>
      <c r="G376" s="42" t="n">
        <v>344</v>
      </c>
      <c r="H376" s="42" t="n">
        <v>344</v>
      </c>
      <c r="I376" s="42" t="n">
        <v>0.5</v>
      </c>
      <c r="J376" s="41" t="inlineStr">
        <is>
          <t>-</t>
        </is>
      </c>
    </row>
    <row r="377" ht="13" customHeight="1" s="54">
      <c r="A377" s="38" t="n">
        <v>375</v>
      </c>
      <c r="B377" s="39" t="n">
        <v>16</v>
      </c>
      <c r="C377" s="41" t="inlineStr">
        <is>
          <t>Ja'Tavion Sanders</t>
        </is>
      </c>
      <c r="D377" s="41" t="inlineStr">
        <is>
          <t>CAR</t>
        </is>
      </c>
      <c r="E377" s="41" t="inlineStr">
        <is>
          <t>TE53</t>
        </is>
      </c>
      <c r="F377" s="42" t="n">
        <v>335</v>
      </c>
      <c r="G377" s="42" t="n">
        <v>358</v>
      </c>
      <c r="H377" s="42" t="n">
        <v>347</v>
      </c>
      <c r="I377" s="42" t="n">
        <v>11.5</v>
      </c>
      <c r="J377" s="41" t="inlineStr">
        <is>
          <t>-</t>
        </is>
      </c>
    </row>
    <row r="378" ht="13" customHeight="1" s="54">
      <c r="A378" s="38" t="n">
        <v>376</v>
      </c>
      <c r="B378" s="39" t="n">
        <v>16</v>
      </c>
      <c r="C378" s="41" t="inlineStr">
        <is>
          <t>Jonnu Smith</t>
        </is>
      </c>
      <c r="D378" s="41" t="inlineStr">
        <is>
          <t>FA</t>
        </is>
      </c>
      <c r="E378" s="41" t="inlineStr">
        <is>
          <t>TE54</t>
        </is>
      </c>
      <c r="F378" s="42" t="n">
        <v>335</v>
      </c>
      <c r="G378" s="42" t="n">
        <v>362</v>
      </c>
      <c r="H378" s="42" t="n">
        <v>349</v>
      </c>
      <c r="I378" s="42" t="n">
        <v>13.5</v>
      </c>
      <c r="J378" s="41" t="inlineStr">
        <is>
          <t>-</t>
        </is>
      </c>
    </row>
    <row r="379" ht="13" customHeight="1" s="54">
      <c r="A379" s="38" t="n">
        <v>377</v>
      </c>
      <c r="B379" s="39" t="n">
        <v>16</v>
      </c>
      <c r="C379" s="41" t="inlineStr">
        <is>
          <t>Tyler Badie</t>
        </is>
      </c>
      <c r="D379" s="41" t="inlineStr">
        <is>
          <t>DEN</t>
        </is>
      </c>
      <c r="E379" s="41" t="inlineStr">
        <is>
          <t>RB111</t>
        </is>
      </c>
      <c r="F379" s="42" t="n">
        <v>328</v>
      </c>
      <c r="G379" s="42" t="n">
        <v>379</v>
      </c>
      <c r="H379" s="42" t="n">
        <v>354</v>
      </c>
      <c r="I379" s="42" t="n">
        <v>25.5</v>
      </c>
      <c r="J379" s="41" t="inlineStr">
        <is>
          <t>-</t>
        </is>
      </c>
    </row>
    <row r="380" ht="13" customHeight="1" s="54">
      <c r="A380" s="38" t="n">
        <v>378</v>
      </c>
      <c r="B380" s="39" t="n">
        <v>16</v>
      </c>
      <c r="C380" s="41" t="inlineStr">
        <is>
          <t>Gardner Minshew II</t>
        </is>
      </c>
      <c r="D380" s="41" t="inlineStr">
        <is>
          <t>ARI</t>
        </is>
      </c>
      <c r="E380" s="41" t="inlineStr">
        <is>
          <t>QB44</t>
        </is>
      </c>
      <c r="F380" s="42" t="n">
        <v>335</v>
      </c>
      <c r="G380" s="42" t="n">
        <v>382</v>
      </c>
      <c r="H380" s="42" t="n">
        <v>359</v>
      </c>
      <c r="I380" s="42" t="n">
        <v>23.5</v>
      </c>
      <c r="J380" s="41" t="inlineStr">
        <is>
          <t>-</t>
        </is>
      </c>
    </row>
    <row r="381" ht="13" customHeight="1" s="54">
      <c r="A381" s="38" t="n">
        <v>379</v>
      </c>
      <c r="B381" s="39" t="n">
        <v>16</v>
      </c>
      <c r="C381" s="41" t="inlineStr">
        <is>
          <t>Zach Ertz</t>
        </is>
      </c>
      <c r="D381" s="41" t="inlineStr">
        <is>
          <t>FA</t>
        </is>
      </c>
      <c r="E381" s="41" t="inlineStr">
        <is>
          <t>TE55</t>
        </is>
      </c>
      <c r="F381" s="42" t="n">
        <v>350</v>
      </c>
      <c r="G381" s="42" t="n">
        <v>385</v>
      </c>
      <c r="H381" s="42" t="n">
        <v>368</v>
      </c>
      <c r="I381" s="42" t="n">
        <v>17.5</v>
      </c>
      <c r="J381" s="41" t="inlineStr">
        <is>
          <t>-</t>
        </is>
      </c>
    </row>
    <row r="382" ht="13" customHeight="1" s="54">
      <c r="A382" s="38" t="n">
        <v>380</v>
      </c>
      <c r="B382" s="39" t="n">
        <v>16</v>
      </c>
      <c r="C382" s="41" t="inlineStr">
        <is>
          <t>Jameis Winston</t>
        </is>
      </c>
      <c r="D382" s="41" t="inlineStr">
        <is>
          <t>NYG</t>
        </is>
      </c>
      <c r="E382" s="41" t="inlineStr">
        <is>
          <t>QB45</t>
        </is>
      </c>
      <c r="F382" s="42" t="n">
        <v>358</v>
      </c>
      <c r="G382" s="42" t="n">
        <v>374</v>
      </c>
      <c r="H382" s="42" t="n">
        <v>366</v>
      </c>
      <c r="I382" s="42" t="n">
        <v>8</v>
      </c>
      <c r="J382" s="41" t="inlineStr">
        <is>
          <t>-</t>
        </is>
      </c>
    </row>
    <row r="383" ht="13" customHeight="1" s="54">
      <c r="A383" s="38" t="n">
        <v>381</v>
      </c>
      <c r="B383" s="39" t="n">
        <v>16</v>
      </c>
      <c r="C383" s="41" t="inlineStr">
        <is>
          <t>Justin Joly</t>
        </is>
      </c>
      <c r="D383" s="41" t="inlineStr">
        <is>
          <t>FA</t>
        </is>
      </c>
      <c r="E383" s="41" t="inlineStr">
        <is>
          <t>TE56</t>
        </is>
      </c>
      <c r="F383" s="42" t="n">
        <v>371</v>
      </c>
      <c r="G383" s="42" t="n">
        <v>376</v>
      </c>
      <c r="H383" s="42" t="n">
        <v>374</v>
      </c>
      <c r="I383" s="42" t="n">
        <v>2.5</v>
      </c>
      <c r="J383" s="41" t="inlineStr">
        <is>
          <t>-</t>
        </is>
      </c>
    </row>
    <row r="384" ht="13" customHeight="1" s="54">
      <c r="A384" s="38" t="n"/>
      <c r="B384" s="39" t="n"/>
      <c r="C384" s="41" t="n"/>
      <c r="D384" s="41" t="n"/>
      <c r="E384" s="41" t="n"/>
      <c r="F384" s="42" t="n"/>
      <c r="G384" s="42" t="n"/>
      <c r="H384" s="42" t="n"/>
      <c r="I384" s="42" t="n"/>
      <c r="J384" s="41"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D30"/>
  <sheetViews>
    <sheetView tabSelected="1" zoomScale="125" workbookViewId="0">
      <selection activeCell="B12" sqref="B12"/>
    </sheetView>
  </sheetViews>
  <sheetFormatPr baseColWidth="10" defaultColWidth="12.5" defaultRowHeight="15.75" customHeight="1"/>
  <sheetData>
    <row r="1" ht="15.75" customHeight="1" s="54">
      <c r="A1" s="26" t="inlineStr">
        <is>
          <t>Iack</t>
        </is>
      </c>
      <c r="B1" s="40" t="inlineStr">
        <is>
          <t>De'Von Achane</t>
        </is>
      </c>
    </row>
    <row r="2" ht="15.75" customHeight="1" s="54">
      <c r="A2" s="26" t="inlineStr">
        <is>
          <t>Iack</t>
        </is>
      </c>
      <c r="B2" s="26" t="inlineStr">
        <is>
          <t>Ashton Jeanty</t>
        </is>
      </c>
    </row>
    <row r="3" ht="15.75" customHeight="1" s="54">
      <c r="A3" s="26" t="inlineStr">
        <is>
          <t>Iack</t>
        </is>
      </c>
      <c r="B3" s="26" t="inlineStr">
        <is>
          <t>Amon-Ra St. Brown</t>
        </is>
      </c>
    </row>
    <row r="4" ht="15.75" customHeight="1" s="54">
      <c r="A4" s="26" t="inlineStr">
        <is>
          <t>Web</t>
        </is>
      </c>
      <c r="B4" s="41" t="inlineStr">
        <is>
          <t>Omarion Hampton</t>
        </is>
      </c>
    </row>
    <row r="5" ht="15.75" customHeight="1" s="54">
      <c r="A5" s="26" t="inlineStr">
        <is>
          <t>Web</t>
        </is>
      </c>
      <c r="B5" s="26" t="inlineStr">
        <is>
          <t>Bijan Robinson</t>
        </is>
      </c>
      <c r="D5" s="40" t="n"/>
    </row>
    <row r="6" ht="15.75" customHeight="1" s="54">
      <c r="A6" s="26" t="inlineStr">
        <is>
          <t>Web</t>
        </is>
      </c>
      <c r="B6" s="41" t="inlineStr">
        <is>
          <t>Nico Collins</t>
        </is>
      </c>
      <c r="D6" s="41" t="n"/>
    </row>
    <row r="7" ht="15.75" customHeight="1" s="54">
      <c r="A7" s="26" t="inlineStr">
        <is>
          <t>Kev</t>
        </is>
      </c>
      <c r="B7" s="41" t="inlineStr">
        <is>
          <t>Jahmyr Gibbs</t>
        </is>
      </c>
    </row>
    <row r="8" ht="15.75" customHeight="1" s="54">
      <c r="A8" s="26" t="inlineStr">
        <is>
          <t>Kev</t>
        </is>
      </c>
      <c r="B8" s="41" t="inlineStr">
        <is>
          <t>Rashee Rice</t>
        </is>
      </c>
    </row>
    <row r="9" ht="15.75" customHeight="1" s="54">
      <c r="A9" s="26" t="inlineStr">
        <is>
          <t>Kev</t>
        </is>
      </c>
      <c r="B9" s="40" t="inlineStr">
        <is>
          <t>George Pickens</t>
        </is>
      </c>
    </row>
    <row r="10" ht="15.75" customHeight="1" s="54">
      <c r="A10" s="26" t="inlineStr">
        <is>
          <t>JF</t>
        </is>
      </c>
      <c r="B10" s="40" t="inlineStr">
        <is>
          <t>Saquon Barkley</t>
        </is>
      </c>
    </row>
    <row r="11" ht="15.75" customHeight="1" s="54">
      <c r="A11" s="26" t="inlineStr">
        <is>
          <t>JF</t>
        </is>
      </c>
      <c r="B11" s="26" t="inlineStr">
        <is>
          <t>Jaxon Smith-Njigba</t>
        </is>
      </c>
    </row>
    <row r="12" ht="15.75" customHeight="1" s="54">
      <c r="A12" s="26" t="inlineStr">
        <is>
          <t>JF</t>
        </is>
      </c>
      <c r="B12" s="41" t="inlineStr">
        <is>
          <t>James Cook III</t>
        </is>
      </c>
    </row>
    <row r="13" ht="15.75" customHeight="1" s="54">
      <c r="A13" s="26" t="inlineStr">
        <is>
          <t>Ben</t>
        </is>
      </c>
      <c r="B13" s="41" t="inlineStr">
        <is>
          <t>Malik Nabers</t>
        </is>
      </c>
    </row>
    <row r="14" ht="15.75" customHeight="1" s="54">
      <c r="A14" s="26" t="inlineStr">
        <is>
          <t>Ben</t>
        </is>
      </c>
      <c r="B14" s="41" t="inlineStr">
        <is>
          <t>Brock Bowers</t>
        </is>
      </c>
    </row>
    <row r="15" ht="15.75" customHeight="1" s="54">
      <c r="A15" s="26" t="inlineStr">
        <is>
          <t>Ben</t>
        </is>
      </c>
      <c r="B15" s="41" t="inlineStr">
        <is>
          <t>CeeDee Lamb</t>
        </is>
      </c>
    </row>
    <row r="16" ht="15.75" customHeight="1" s="54">
      <c r="A16" s="26" t="inlineStr">
        <is>
          <t>Phil</t>
        </is>
      </c>
      <c r="B16" s="26" t="inlineStr">
        <is>
          <t>Drake Maye</t>
        </is>
      </c>
      <c r="D16" s="26" t="n"/>
    </row>
    <row r="17" ht="15.75" customHeight="1" s="54">
      <c r="A17" s="26" t="inlineStr">
        <is>
          <t>Phil</t>
        </is>
      </c>
      <c r="B17" s="26" t="inlineStr">
        <is>
          <t>Garrett Wilson</t>
        </is>
      </c>
      <c r="D17" s="41" t="n"/>
    </row>
    <row r="18" ht="15.75" customHeight="1" s="54">
      <c r="A18" s="26" t="inlineStr">
        <is>
          <t>Phil</t>
        </is>
      </c>
      <c r="B18" s="41" t="inlineStr">
        <is>
          <t>Kyren Williams</t>
        </is>
      </c>
    </row>
    <row r="19" ht="15.75" customHeight="1" s="54">
      <c r="A19" s="26" t="inlineStr">
        <is>
          <t>Hugo</t>
        </is>
      </c>
      <c r="B19" s="41" t="inlineStr">
        <is>
          <t>A.J. Brown</t>
        </is>
      </c>
    </row>
    <row r="20" ht="15.75" customHeight="1" s="54">
      <c r="A20" s="26" t="inlineStr">
        <is>
          <t>Hugo</t>
        </is>
      </c>
      <c r="B20" s="40" t="inlineStr">
        <is>
          <t>Justin Jefferson</t>
        </is>
      </c>
    </row>
    <row r="21" ht="15.75" customHeight="1" s="54">
      <c r="A21" s="26" t="inlineStr">
        <is>
          <t>Hugo</t>
        </is>
      </c>
      <c r="B21" s="41" t="inlineStr">
        <is>
          <t>Chase Brown</t>
        </is>
      </c>
    </row>
    <row r="22" ht="15.75" customHeight="1" s="54">
      <c r="A22" s="26" t="inlineStr">
        <is>
          <t>Thomas</t>
        </is>
      </c>
      <c r="B22" s="41" t="inlineStr">
        <is>
          <t>Christian McCaffrey</t>
        </is>
      </c>
    </row>
    <row r="23" ht="15.75" customHeight="1" s="54">
      <c r="A23" s="26" t="inlineStr">
        <is>
          <t>Thomas</t>
        </is>
      </c>
      <c r="B23" s="41" t="inlineStr">
        <is>
          <t>Jonathan Taylor</t>
        </is>
      </c>
    </row>
    <row r="24" ht="15.75" customHeight="1" s="54">
      <c r="A24" s="26" t="inlineStr">
        <is>
          <t>Thomas</t>
        </is>
      </c>
      <c r="B24" s="40" t="inlineStr">
        <is>
          <t>Puka Nacua</t>
        </is>
      </c>
    </row>
    <row r="25" ht="15.75" customHeight="1" s="54">
      <c r="A25" s="26" t="inlineStr">
        <is>
          <t>Fred</t>
        </is>
      </c>
      <c r="B25" s="26" t="inlineStr">
        <is>
          <t>Drake London</t>
        </is>
      </c>
    </row>
    <row r="26" ht="13" customHeight="1" s="54">
      <c r="A26" s="26" t="inlineStr">
        <is>
          <t>Fred</t>
        </is>
      </c>
      <c r="B26" s="40" t="inlineStr">
        <is>
          <t>Trey McBride</t>
        </is>
      </c>
    </row>
    <row r="27" ht="13" customHeight="1" s="54">
      <c r="A27" s="26" t="inlineStr">
        <is>
          <t>Fred</t>
        </is>
      </c>
      <c r="B27" s="41" t="inlineStr">
        <is>
          <t>Tetairoa McMillan</t>
        </is>
      </c>
    </row>
    <row r="28" ht="13" customHeight="1" s="54">
      <c r="A28" s="26" t="inlineStr">
        <is>
          <t>Jerome</t>
        </is>
      </c>
      <c r="B28" s="41" t="inlineStr">
        <is>
          <t>Ja'Marr Chase</t>
        </is>
      </c>
    </row>
    <row r="29" ht="13" customHeight="1" s="54">
      <c r="A29" s="26" t="inlineStr">
        <is>
          <t>Jerome</t>
        </is>
      </c>
      <c r="B29" t="inlineStr">
        <is>
          <t>Chris Olave</t>
        </is>
      </c>
    </row>
    <row r="30" ht="13" customHeight="1" s="54">
      <c r="A30" s="26" t="inlineStr">
        <is>
          <t>Jerome</t>
        </is>
      </c>
      <c r="B30" s="41" t="inlineStr">
        <is>
          <t>Josh Allen</t>
        </is>
      </c>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1000"/>
  <sheetViews>
    <sheetView workbookViewId="0">
      <selection activeCell="A1" sqref="A1"/>
    </sheetView>
  </sheetViews>
  <sheetFormatPr baseColWidth="10" defaultColWidth="12.5" defaultRowHeight="15.75" customHeight="1"/>
  <sheetData>
    <row r="1" ht="15.75" customHeight="1" s="54">
      <c r="A1" s="44" t="inlineStr">
        <is>
          <t>Draft Picks</t>
        </is>
      </c>
      <c r="B1" s="26" t="inlineStr">
        <is>
          <t>Joueurs</t>
        </is>
      </c>
    </row>
    <row r="2" ht="15" customHeight="1" s="54">
      <c r="A2" s="45" t="inlineStr">
        <is>
          <t>Web</t>
        </is>
      </c>
      <c r="B2">
        <f>IFERROR(__xludf.DUMMYFUNCTION("FILTER('ALL PPR Drafts'!D2:D1000, ('ALL PPR Drafts'!C2:C1000&lt;&gt;""x"")*('ALL PPR Drafts'!D2:D1000&lt;&gt;""""))"),"Jeremiyah Love")</f>
        <v/>
      </c>
    </row>
    <row r="3" ht="15" customHeight="1" s="54">
      <c r="A3" s="45" t="inlineStr">
        <is>
          <t>Hugo</t>
        </is>
      </c>
      <c r="B3">
        <f>IFERROR(__xludf.DUMMYFUNCTION("""COMPUTED_VALUE"""),"Derrick Henry")</f>
        <v/>
      </c>
    </row>
    <row r="4" ht="15" customHeight="1" s="54">
      <c r="A4" s="45" t="inlineStr">
        <is>
          <t>Kev</t>
        </is>
      </c>
      <c r="B4">
        <f>IFERROR(__xludf.DUMMYFUNCTION("""COMPUTED_VALUE"""),"Lamar Jackson")</f>
        <v/>
      </c>
    </row>
    <row r="5" ht="15" customHeight="1" s="54">
      <c r="A5" s="45" t="inlineStr">
        <is>
          <t>Fred</t>
        </is>
      </c>
      <c r="B5">
        <f>IFERROR(__xludf.DUMMYFUNCTION("""COMPUTED_VALUE"""),"Tee Higgins")</f>
        <v/>
      </c>
    </row>
    <row r="6" ht="15" customHeight="1" s="54">
      <c r="A6" s="45" t="inlineStr">
        <is>
          <t>Web</t>
        </is>
      </c>
      <c r="B6">
        <f>IFERROR(__xludf.DUMMYFUNCTION("""COMPUTED_VALUE"""),"Kenneth Walker III")</f>
        <v/>
      </c>
    </row>
    <row r="7" ht="15" customHeight="1" s="54">
      <c r="A7" s="45" t="inlineStr">
        <is>
          <t>Fred</t>
        </is>
      </c>
      <c r="B7">
        <f>IFERROR(__xludf.DUMMYFUNCTION("""COMPUTED_VALUE"""),"A.J. Brown")</f>
        <v/>
      </c>
    </row>
    <row r="8" ht="15" customHeight="1" s="54">
      <c r="A8" s="45" t="inlineStr">
        <is>
          <t>Web</t>
        </is>
      </c>
      <c r="B8">
        <f>IFERROR(__xludf.DUMMYFUNCTION("""COMPUTED_VALUE"""),"Josh Jacobs")</f>
        <v/>
      </c>
    </row>
    <row r="9" ht="15" customHeight="1" s="54">
      <c r="A9" s="45" t="inlineStr">
        <is>
          <t>Web</t>
        </is>
      </c>
      <c r="B9">
        <f>IFERROR(__xludf.DUMMYFUNCTION("""COMPUTED_VALUE"""),"Davante Adams")</f>
        <v/>
      </c>
    </row>
    <row r="10" ht="15" customHeight="1" s="54">
      <c r="A10" s="45" t="inlineStr">
        <is>
          <t>Fred</t>
        </is>
      </c>
      <c r="B10">
        <f>IFERROR(__xludf.DUMMYFUNCTION("""COMPUTED_VALUE"""),"Breece Hall")</f>
        <v/>
      </c>
    </row>
    <row r="11" ht="15" customHeight="1" s="54">
      <c r="A11" s="45" t="inlineStr">
        <is>
          <t>Thomas</t>
        </is>
      </c>
      <c r="B11">
        <f>IFERROR(__xludf.DUMMYFUNCTION("""COMPUTED_VALUE"""),"Tucker Kraft")</f>
        <v/>
      </c>
    </row>
    <row r="12" ht="15" customHeight="1" s="54">
      <c r="A12" s="45" t="inlineStr">
        <is>
          <t>Iack</t>
        </is>
      </c>
      <c r="B12">
        <f>IFERROR(__xludf.DUMMYFUNCTION("""COMPUTED_VALUE"""),"Zay Flowers")</f>
        <v/>
      </c>
    </row>
    <row r="13" ht="15" customHeight="1" s="54">
      <c r="A13" s="45" t="inlineStr">
        <is>
          <t>Kev</t>
        </is>
      </c>
      <c r="B13">
        <f>IFERROR(__xludf.DUMMYFUNCTION("""COMPUTED_VALUE"""),"Joe Burrow")</f>
        <v/>
      </c>
    </row>
    <row r="14" ht="15" customHeight="1" s="54">
      <c r="A14" s="45" t="inlineStr">
        <is>
          <t>Phil</t>
        </is>
      </c>
      <c r="B14">
        <f>IFERROR(__xludf.DUMMYFUNCTION("""COMPUTED_VALUE"""),"Javonte Williams")</f>
        <v/>
      </c>
    </row>
    <row r="15" ht="15" customHeight="1" s="54">
      <c r="A15" s="45" t="inlineStr">
        <is>
          <t>Ben</t>
        </is>
      </c>
      <c r="B15">
        <f>IFERROR(__xludf.DUMMYFUNCTION("""COMPUTED_VALUE"""),"Travis Etienne Jr.")</f>
        <v/>
      </c>
    </row>
    <row r="16" ht="15" customHeight="1" s="54">
      <c r="A16" s="45" t="inlineStr">
        <is>
          <t>Hugo</t>
        </is>
      </c>
      <c r="B16">
        <f>IFERROR(__xludf.DUMMYFUNCTION("""COMPUTED_VALUE"""),"Jameson Williams")</f>
        <v/>
      </c>
    </row>
    <row r="17" ht="15" customHeight="1" s="54">
      <c r="A17" s="45" t="inlineStr">
        <is>
          <t>Fred</t>
        </is>
      </c>
      <c r="B17">
        <f>IFERROR(__xludf.DUMMYFUNCTION("""COMPUTED_VALUE"""),"Jayden Daniels")</f>
        <v/>
      </c>
    </row>
    <row r="18" ht="15" customHeight="1" s="54">
      <c r="A18" s="45" t="inlineStr">
        <is>
          <t>Fred</t>
        </is>
      </c>
      <c r="B18">
        <f>IFERROR(__xludf.DUMMYFUNCTION("""COMPUTED_VALUE"""),"Carnell Tate")</f>
        <v/>
      </c>
    </row>
    <row r="19" ht="15" customHeight="1" s="54">
      <c r="A19" s="45" t="inlineStr">
        <is>
          <t>Kev</t>
        </is>
      </c>
      <c r="B19">
        <f>IFERROR(__xludf.DUMMYFUNCTION("""COMPUTED_VALUE"""),"Bucky Irving")</f>
        <v/>
      </c>
    </row>
    <row r="20" ht="15" customHeight="1" s="54">
      <c r="A20" s="45" t="inlineStr">
        <is>
          <t>Ben</t>
        </is>
      </c>
      <c r="B20">
        <f>IFERROR(__xludf.DUMMYFUNCTION("""COMPUTED_VALUE"""),"Ladd McConkey")</f>
        <v/>
      </c>
    </row>
    <row r="21" ht="15" customHeight="1" s="54">
      <c r="A21" s="45" t="inlineStr">
        <is>
          <t>Ben</t>
        </is>
      </c>
      <c r="B21">
        <f>IFERROR(__xludf.DUMMYFUNCTION("""COMPUTED_VALUE"""),"Terry McLaurin")</f>
        <v/>
      </c>
    </row>
    <row r="22" ht="15" customHeight="1" s="54">
      <c r="A22" s="45" t="inlineStr">
        <is>
          <t>JF</t>
        </is>
      </c>
      <c r="B22">
        <f>IFERROR(__xludf.DUMMYFUNCTION("""COMPUTED_VALUE"""),"Colston Loveland")</f>
        <v/>
      </c>
    </row>
    <row r="23" ht="15" customHeight="1" s="54">
      <c r="A23" s="45" t="inlineStr">
        <is>
          <t>Kev</t>
        </is>
      </c>
      <c r="B23">
        <f>IFERROR(__xludf.DUMMYFUNCTION("""COMPUTED_VALUE"""),"Jaylen Waddle")</f>
        <v/>
      </c>
    </row>
    <row r="24" ht="15" customHeight="1" s="54">
      <c r="A24" s="45" t="inlineStr">
        <is>
          <t>Ben</t>
        </is>
      </c>
      <c r="B24">
        <f>IFERROR(__xludf.DUMMYFUNCTION("""COMPUTED_VALUE"""),"Christian Watson")</f>
        <v/>
      </c>
    </row>
    <row r="25" ht="15" customHeight="1" s="54">
      <c r="A25" s="45" t="inlineStr">
        <is>
          <t>Ben</t>
        </is>
      </c>
      <c r="B25">
        <f>IFERROR(__xludf.DUMMYFUNCTION("""COMPUTED_VALUE"""),"TreVeyon Henderson")</f>
        <v/>
      </c>
    </row>
    <row r="26" ht="15" customHeight="1" s="54">
      <c r="A26" s="45" t="inlineStr">
        <is>
          <t>Hugo</t>
        </is>
      </c>
      <c r="B26">
        <f>IFERROR(__xludf.DUMMYFUNCTION("""COMPUTED_VALUE"""),"Jalen Hurts")</f>
        <v/>
      </c>
    </row>
    <row r="27" ht="15" customHeight="1" s="54">
      <c r="A27" s="45" t="inlineStr">
        <is>
          <t>Web</t>
        </is>
      </c>
      <c r="B27">
        <f>IFERROR(__xludf.DUMMYFUNCTION("""COMPUTED_VALUE"""),"Luther Burden III")</f>
        <v/>
      </c>
    </row>
    <row r="28" ht="15" customHeight="1" s="54">
      <c r="A28" s="45" t="inlineStr">
        <is>
          <t>JF</t>
        </is>
      </c>
      <c r="B28">
        <f>IFERROR(__xludf.DUMMYFUNCTION("""COMPUTED_VALUE"""),"Emeka Egbuka")</f>
        <v/>
      </c>
    </row>
    <row r="29" ht="15" customHeight="1" s="54">
      <c r="A29" s="45" t="inlineStr">
        <is>
          <t>Iack</t>
        </is>
      </c>
      <c r="B29">
        <f>IFERROR(__xludf.DUMMYFUNCTION("""COMPUTED_VALUE"""),"Mike Evans")</f>
        <v/>
      </c>
    </row>
    <row r="30" ht="15" customHeight="1" s="54">
      <c r="A30" s="45" t="inlineStr">
        <is>
          <t>JF</t>
        </is>
      </c>
      <c r="B30">
        <f>IFERROR(__xludf.DUMMYFUNCTION("""COMPUTED_VALUE"""),"DeVonta Smith")</f>
        <v/>
      </c>
    </row>
    <row r="31" ht="15" customHeight="1" s="54">
      <c r="A31" s="45" t="inlineStr">
        <is>
          <t>Thomas</t>
        </is>
      </c>
      <c r="B31">
        <f>IFERROR(__xludf.DUMMYFUNCTION("""COMPUTED_VALUE"""),"D'Andre Swift")</f>
        <v/>
      </c>
    </row>
    <row r="32" ht="15" customHeight="1" s="54">
      <c r="A32" s="45" t="inlineStr">
        <is>
          <t>Web</t>
        </is>
      </c>
      <c r="B32">
        <f>IFERROR(__xludf.DUMMYFUNCTION("""COMPUTED_VALUE"""),"Cam Skattebo")</f>
        <v/>
      </c>
    </row>
    <row r="33" ht="15" customHeight="1" s="54">
      <c r="A33" s="45" t="inlineStr">
        <is>
          <t>Ben</t>
        </is>
      </c>
      <c r="B33">
        <f>IFERROR(__xludf.DUMMYFUNCTION("""COMPUTED_VALUE"""),"Quinshon Judkins")</f>
        <v/>
      </c>
    </row>
    <row r="34" ht="15" customHeight="1" s="54">
      <c r="A34" s="45" t="inlineStr">
        <is>
          <t>Phil</t>
        </is>
      </c>
      <c r="B34">
        <f>IFERROR(__xludf.DUMMYFUNCTION("""COMPUTED_VALUE"""),"Makai Lemon")</f>
        <v/>
      </c>
    </row>
    <row r="35" ht="15" customHeight="1" s="54">
      <c r="A35" s="45" t="inlineStr">
        <is>
          <t>Web</t>
        </is>
      </c>
      <c r="B35">
        <f>IFERROR(__xludf.DUMMYFUNCTION("""COMPUTED_VALUE"""),"David Montgomery")</f>
        <v/>
      </c>
    </row>
    <row r="36" ht="15" customHeight="1" s="54">
      <c r="A36" s="45" t="inlineStr">
        <is>
          <t>Hugo</t>
        </is>
      </c>
      <c r="B36">
        <f>IFERROR(__xludf.DUMMYFUNCTION("""COMPUTED_VALUE"""),"DJ Moore")</f>
        <v/>
      </c>
    </row>
    <row r="37" ht="15" customHeight="1" s="54">
      <c r="A37" s="45" t="inlineStr">
        <is>
          <t>Web</t>
        </is>
      </c>
      <c r="B37">
        <f>IFERROR(__xludf.DUMMYFUNCTION("""COMPUTED_VALUE"""),"Bhayshul Tuten")</f>
        <v/>
      </c>
    </row>
    <row r="38" ht="15" customHeight="1" s="54">
      <c r="A38" s="45" t="inlineStr">
        <is>
          <t>JF</t>
        </is>
      </c>
      <c r="B38">
        <f>IFERROR(__xludf.DUMMYFUNCTION("""COMPUTED_VALUE"""),"Jordyn Tyson")</f>
        <v/>
      </c>
    </row>
    <row r="39" ht="15" customHeight="1" s="54">
      <c r="A39" s="45" t="inlineStr">
        <is>
          <t>Kev</t>
        </is>
      </c>
      <c r="B39">
        <f>IFERROR(__xludf.DUMMYFUNCTION("""COMPUTED_VALUE"""),"Rome Odunze")</f>
        <v/>
      </c>
    </row>
    <row r="40" ht="15" customHeight="1" s="54">
      <c r="A40" s="45" t="inlineStr">
        <is>
          <t>JF</t>
        </is>
      </c>
      <c r="B40">
        <f>IFERROR(__xludf.DUMMYFUNCTION("""COMPUTED_VALUE"""),"RJ Harvey")</f>
        <v/>
      </c>
    </row>
    <row r="41" ht="15" customHeight="1" s="54">
      <c r="A41" s="45" t="inlineStr">
        <is>
          <t>Ben</t>
        </is>
      </c>
      <c r="B41">
        <f>IFERROR(__xludf.DUMMYFUNCTION("""COMPUTED_VALUE"""),"Tyler Warren")</f>
        <v/>
      </c>
    </row>
    <row r="42" ht="15" customHeight="1" s="54">
      <c r="A42" s="45" t="inlineStr">
        <is>
          <t>Iack</t>
        </is>
      </c>
      <c r="B42">
        <f>IFERROR(__xludf.DUMMYFUNCTION("""COMPUTED_VALUE"""),"Alec Pierce")</f>
        <v/>
      </c>
    </row>
    <row r="43" ht="15" customHeight="1" s="54">
      <c r="A43" s="45" t="inlineStr">
        <is>
          <t>Iack</t>
        </is>
      </c>
      <c r="B43">
        <f>IFERROR(__xludf.DUMMYFUNCTION("""COMPUTED_VALUE"""),"Jaxson Dart")</f>
        <v/>
      </c>
    </row>
    <row r="44" ht="15" customHeight="1" s="54">
      <c r="A44" s="45" t="inlineStr">
        <is>
          <t>Phil</t>
        </is>
      </c>
      <c r="B44">
        <f>IFERROR(__xludf.DUMMYFUNCTION("""COMPUTED_VALUE"""),"Caleb Williams")</f>
        <v/>
      </c>
    </row>
    <row r="45" ht="15" customHeight="1" s="54">
      <c r="A45" s="45" t="inlineStr">
        <is>
          <t>Thomas</t>
        </is>
      </c>
      <c r="B45">
        <f>IFERROR(__xludf.DUMMYFUNCTION("""COMPUTED_VALUE"""),"Jaylen Warren")</f>
        <v/>
      </c>
    </row>
    <row r="46" ht="15" customHeight="1" s="54">
      <c r="A46" s="45" t="inlineStr">
        <is>
          <t>Hugo</t>
        </is>
      </c>
      <c r="B46">
        <f>IFERROR(__xludf.DUMMYFUNCTION("""COMPUTED_VALUE"""),"Courtland Sutton")</f>
        <v/>
      </c>
    </row>
    <row r="47" ht="15" customHeight="1" s="54">
      <c r="A47" s="45" t="inlineStr">
        <is>
          <t>Iack</t>
        </is>
      </c>
      <c r="B47">
        <f>IFERROR(__xludf.DUMMYFUNCTION("""COMPUTED_VALUE"""),"Harold Fannin Jr.")</f>
        <v/>
      </c>
    </row>
    <row r="48" ht="15" customHeight="1" s="54">
      <c r="A48" s="45" t="inlineStr">
        <is>
          <t>Fred</t>
        </is>
      </c>
      <c r="B48">
        <f>IFERROR(__xludf.DUMMYFUNCTION("""COMPUTED_VALUE"""),"DK Metcalf")</f>
        <v/>
      </c>
    </row>
    <row r="49" ht="15" customHeight="1" s="54">
      <c r="A49" s="45" t="inlineStr">
        <is>
          <t>Kev</t>
        </is>
      </c>
      <c r="B49">
        <f>IFERROR(__xludf.DUMMYFUNCTION("""COMPUTED_VALUE"""),"Justin Herbert")</f>
        <v/>
      </c>
    </row>
    <row r="50" ht="15" customHeight="1" s="54">
      <c r="A50" s="45" t="inlineStr">
        <is>
          <t>Web</t>
        </is>
      </c>
      <c r="B50">
        <f>IFERROR(__xludf.DUMMYFUNCTION("""COMPUTED_VALUE"""),"Kyle Monangai")</f>
        <v/>
      </c>
    </row>
    <row r="51" ht="15" customHeight="1" s="54">
      <c r="A51" s="45" t="inlineStr">
        <is>
          <t>JF</t>
        </is>
      </c>
      <c r="B51">
        <f>IFERROR(__xludf.DUMMYFUNCTION("""COMPUTED_VALUE"""),"Blake Corum")</f>
        <v/>
      </c>
    </row>
    <row r="52" ht="15" customHeight="1" s="54">
      <c r="A52" s="45" t="n"/>
      <c r="B52">
        <f>IFERROR(__xludf.DUMMYFUNCTION("""COMPUTED_VALUE"""),"Rico Dowdle")</f>
        <v/>
      </c>
    </row>
    <row r="53" ht="15" customHeight="1" s="54">
      <c r="A53" s="45" t="n"/>
      <c r="B53">
        <f>IFERROR(__xludf.DUMMYFUNCTION("""COMPUTED_VALUE"""),"Marvin Harrison Jr.")</f>
        <v/>
      </c>
    </row>
    <row r="54" ht="15" customHeight="1" s="54">
      <c r="A54" s="45" t="n"/>
      <c r="B54">
        <f>IFERROR(__xludf.DUMMYFUNCTION("""COMPUTED_VALUE"""),"Rhamondre Stevenson")</f>
        <v/>
      </c>
    </row>
    <row r="55" ht="15" customHeight="1" s="54">
      <c r="A55" s="45" t="n"/>
      <c r="B55">
        <f>IFERROR(__xludf.DUMMYFUNCTION("""COMPUTED_VALUE"""),"Sam LaPorta")</f>
        <v/>
      </c>
    </row>
    <row r="56" ht="15" customHeight="1" s="54">
      <c r="A56" s="45" t="n"/>
      <c r="B56">
        <f>IFERROR(__xludf.DUMMYFUNCTION("""COMPUTED_VALUE"""),"Trevor Lawrence")</f>
        <v/>
      </c>
    </row>
    <row r="57" ht="15" customHeight="1" s="54">
      <c r="A57" s="45" t="n"/>
      <c r="B57">
        <f>IFERROR(__xludf.DUMMYFUNCTION("""COMPUTED_VALUE"""),"Kyle Pitts Sr.")</f>
        <v/>
      </c>
    </row>
    <row r="58" ht="15" customHeight="1" s="54">
      <c r="A58" s="45" t="n"/>
      <c r="B58">
        <f>IFERROR(__xludf.DUMMYFUNCTION("""COMPUTED_VALUE"""),"Dak Prescott")</f>
        <v/>
      </c>
    </row>
    <row r="59" ht="15" customHeight="1" s="54">
      <c r="A59" s="45" t="n"/>
      <c r="B59">
        <f>IFERROR(__xludf.DUMMYFUNCTION("""COMPUTED_VALUE"""),"Tyler Allgeier")</f>
        <v/>
      </c>
    </row>
    <row r="60" ht="15" customHeight="1" s="54">
      <c r="A60" s="45" t="n"/>
      <c r="B60">
        <f>IFERROR(__xludf.DUMMYFUNCTION("""COMPUTED_VALUE"""),"Tony Pollard")</f>
        <v/>
      </c>
    </row>
    <row r="61" ht="15" customHeight="1" s="54">
      <c r="A61" s="45" t="n"/>
      <c r="B61">
        <f>IFERROR(__xludf.DUMMYFUNCTION("""COMPUTED_VALUE"""),"Brock Purdy")</f>
        <v/>
      </c>
    </row>
    <row r="62" ht="15" customHeight="1" s="54">
      <c r="A62" s="45" t="n"/>
      <c r="B62">
        <f>IFERROR(__xludf.DUMMYFUNCTION("""COMPUTED_VALUE"""),"Patrick Mahomes II")</f>
        <v/>
      </c>
    </row>
    <row r="63" ht="15" customHeight="1" s="54">
      <c r="A63" s="45" t="n"/>
      <c r="B63">
        <f>IFERROR(__xludf.DUMMYFUNCTION("""COMPUTED_VALUE"""),"Chuba Hubbard")</f>
        <v/>
      </c>
    </row>
    <row r="64" ht="15" customHeight="1" s="54">
      <c r="A64" s="45" t="n"/>
      <c r="B64">
        <f>IFERROR(__xludf.DUMMYFUNCTION("""COMPUTED_VALUE"""),"Michael Wilson")</f>
        <v/>
      </c>
    </row>
    <row r="65" ht="15" customHeight="1" s="54">
      <c r="A65" s="45" t="n"/>
      <c r="B65">
        <f>IFERROR(__xludf.DUMMYFUNCTION("""COMPUTED_VALUE"""),"Jordan Addison")</f>
        <v/>
      </c>
    </row>
    <row r="66" ht="15" customHeight="1" s="54">
      <c r="A66" s="45" t="n"/>
      <c r="B66">
        <f>IFERROR(__xludf.DUMMYFUNCTION("""COMPUTED_VALUE"""),"Zach Charbonnet")</f>
        <v/>
      </c>
    </row>
    <row r="67" ht="15" customHeight="1" s="54">
      <c r="A67" s="45" t="n"/>
      <c r="B67">
        <f>IFERROR(__xludf.DUMMYFUNCTION("""COMPUTED_VALUE"""),"Chris Godwin Jr.")</f>
        <v/>
      </c>
    </row>
    <row r="68" ht="15" customHeight="1" s="54">
      <c r="A68" s="45" t="n"/>
      <c r="B68">
        <f>IFERROR(__xludf.DUMMYFUNCTION("""COMPUTED_VALUE"""),"J.K. Dobbins")</f>
        <v/>
      </c>
    </row>
    <row r="69" ht="15" customHeight="1" s="54">
      <c r="A69" s="45" t="n"/>
      <c r="B69">
        <f>IFERROR(__xludf.DUMMYFUNCTION("""COMPUTED_VALUE"""),"Dalton Kincaid")</f>
        <v/>
      </c>
    </row>
    <row r="70" ht="15" customHeight="1" s="54">
      <c r="A70" s="45" t="n"/>
      <c r="B70">
        <f>IFERROR(__xludf.DUMMYFUNCTION("""COMPUTED_VALUE"""),"Jacory Croskey-Merritt")</f>
        <v/>
      </c>
    </row>
    <row r="71" ht="15" customHeight="1" s="54">
      <c r="A71" s="45" t="n"/>
      <c r="B71">
        <f>IFERROR(__xludf.DUMMYFUNCTION("""COMPUTED_VALUE"""),"Bo Nix")</f>
        <v/>
      </c>
    </row>
    <row r="72" ht="15" customHeight="1" s="54">
      <c r="A72" s="45" t="n"/>
      <c r="B72">
        <f>IFERROR(__xludf.DUMMYFUNCTION("""COMPUTED_VALUE"""),"Matthew Stafford")</f>
        <v/>
      </c>
    </row>
    <row r="73" ht="15" customHeight="1" s="54">
      <c r="A73" s="45" t="n"/>
      <c r="B73">
        <f>IFERROR(__xludf.DUMMYFUNCTION("""COMPUTED_VALUE"""),"Ricky Pearsall")</f>
        <v/>
      </c>
    </row>
    <row r="74" ht="15" customHeight="1" s="54">
      <c r="A74" s="45" t="n"/>
      <c r="B74">
        <f>IFERROR(__xludf.DUMMYFUNCTION("""COMPUTED_VALUE"""),"Parker Washington")</f>
        <v/>
      </c>
    </row>
    <row r="75" ht="15" customHeight="1" s="54">
      <c r="A75" s="45" t="n"/>
      <c r="B75">
        <f>IFERROR(__xludf.DUMMYFUNCTION("""COMPUTED_VALUE"""),"Quentin Johnston")</f>
        <v/>
      </c>
    </row>
    <row r="76" ht="15" customHeight="1" s="54">
      <c r="A76" s="45" t="n"/>
      <c r="B76">
        <f>IFERROR(__xludf.DUMMYFUNCTION("""COMPUTED_VALUE"""),"Oronde Gadsden II")</f>
        <v/>
      </c>
    </row>
    <row r="77" ht="15" customHeight="1" s="54">
      <c r="A77" s="45" t="n"/>
      <c r="B77">
        <f>IFERROR(__xludf.DUMMYFUNCTION("""COMPUTED_VALUE"""),"Michael Pittman Jr.")</f>
        <v/>
      </c>
    </row>
    <row r="78" ht="15" customHeight="1" s="54">
      <c r="A78" s="45" t="n"/>
      <c r="B78">
        <f>IFERROR(__xludf.DUMMYFUNCTION("""COMPUTED_VALUE"""),"Woody Marks")</f>
        <v/>
      </c>
    </row>
    <row r="79" ht="15" customHeight="1" s="54">
      <c r="A79" s="45" t="n"/>
      <c r="B79">
        <f>IFERROR(__xludf.DUMMYFUNCTION("""COMPUTED_VALUE"""),"Jordan Love")</f>
        <v/>
      </c>
    </row>
    <row r="80" ht="15" customHeight="1" s="54">
      <c r="A80" s="45" t="n"/>
      <c r="B80">
        <f>IFERROR(__xludf.DUMMYFUNCTION("""COMPUTED_VALUE"""),"Brandon Aiyuk")</f>
        <v/>
      </c>
    </row>
    <row r="81" ht="15" customHeight="1" s="54">
      <c r="A81" s="45" t="n"/>
      <c r="B81">
        <f>IFERROR(__xludf.DUMMYFUNCTION("""COMPUTED_VALUE"""),"Jakobi Meyers")</f>
        <v/>
      </c>
    </row>
    <row r="82" ht="15" customHeight="1" s="54">
      <c r="A82" s="45" t="n"/>
      <c r="B82">
        <f>IFERROR(__xludf.DUMMYFUNCTION("""COMPUTED_VALUE"""),"Jared Goff")</f>
        <v/>
      </c>
    </row>
    <row r="83" ht="15" customHeight="1" s="54">
      <c r="A83" s="45" t="n"/>
      <c r="B83">
        <f>IFERROR(__xludf.DUMMYFUNCTION("""COMPUTED_VALUE"""),"Aaron Jones Sr.")</f>
        <v/>
      </c>
    </row>
    <row r="84" ht="15" customHeight="1" s="54">
      <c r="A84" s="45" t="n"/>
      <c r="B84">
        <f>IFERROR(__xludf.DUMMYFUNCTION("""COMPUTED_VALUE"""),"Jake Ferguson")</f>
        <v/>
      </c>
    </row>
    <row r="85" ht="15" customHeight="1" s="54">
      <c r="A85" s="45" t="n"/>
      <c r="B85">
        <f>IFERROR(__xludf.DUMMYFUNCTION("""COMPUTED_VALUE"""),"Wan'Dale Robinson")</f>
        <v/>
      </c>
    </row>
    <row r="86" ht="15" customHeight="1" s="54">
      <c r="A86" s="45" t="n"/>
      <c r="B86">
        <f>IFERROR(__xludf.DUMMYFUNCTION("""COMPUTED_VALUE"""),"Denzel Boston")</f>
        <v/>
      </c>
    </row>
    <row r="87" ht="15" customHeight="1" s="54">
      <c r="A87" s="45" t="n"/>
      <c r="B87">
        <f>IFERROR(__xludf.DUMMYFUNCTION("""COMPUTED_VALUE"""),"Jordan Mason")</f>
        <v/>
      </c>
    </row>
    <row r="88" ht="15" customHeight="1" s="54">
      <c r="A88" s="45" t="n"/>
      <c r="B88">
        <f>IFERROR(__xludf.DUMMYFUNCTION("""COMPUTED_VALUE"""),"Juwan Johnson")</f>
        <v/>
      </c>
    </row>
    <row r="89" ht="15" customHeight="1" s="54">
      <c r="A89" s="45" t="n"/>
      <c r="B89">
        <f>IFERROR(__xludf.DUMMYFUNCTION("""COMPUTED_VALUE"""),"James Conner")</f>
        <v/>
      </c>
    </row>
    <row r="90" ht="15" customHeight="1" s="54">
      <c r="A90" s="45" t="n"/>
      <c r="B90">
        <f>IFERROR(__xludf.DUMMYFUNCTION("""COMPUTED_VALUE"""),"Jayden Higgins")</f>
        <v/>
      </c>
    </row>
    <row r="91" ht="15" customHeight="1" s="54">
      <c r="A91" s="45" t="n"/>
      <c r="B91">
        <f>IFERROR(__xludf.DUMMYFUNCTION("""COMPUTED_VALUE"""),"Jauan Jennings")</f>
        <v/>
      </c>
    </row>
    <row r="92" ht="15" customHeight="1" s="54">
      <c r="A92" s="45" t="n"/>
      <c r="B92">
        <f>IFERROR(__xludf.DUMMYFUNCTION("""COMPUTED_VALUE"""),"Malik Willis")</f>
        <v/>
      </c>
    </row>
    <row r="93" ht="15" customHeight="1" s="54">
      <c r="A93" s="45" t="n"/>
      <c r="B93">
        <f>IFERROR(__xludf.DUMMYFUNCTION("""COMPUTED_VALUE"""),"Brenton Strange")</f>
        <v/>
      </c>
    </row>
    <row r="94" ht="15" customHeight="1" s="54">
      <c r="A94" s="45" t="n"/>
      <c r="B94">
        <f>IFERROR(__xludf.DUMMYFUNCTION("""COMPUTED_VALUE"""),"Tyler Shough")</f>
        <v/>
      </c>
    </row>
    <row r="95" ht="15" customHeight="1" s="54">
      <c r="A95" s="45" t="n"/>
      <c r="B95">
        <f>IFERROR(__xludf.DUMMYFUNCTION("""COMPUTED_VALUE"""),"Kyler Murray")</f>
        <v/>
      </c>
    </row>
    <row r="96" ht="15" customHeight="1" s="54">
      <c r="A96" s="45" t="n"/>
      <c r="B96">
        <f>IFERROR(__xludf.DUMMYFUNCTION("""COMPUTED_VALUE"""),"Baker Mayfield")</f>
        <v/>
      </c>
    </row>
    <row r="97" ht="15" customHeight="1" s="54">
      <c r="A97" s="45" t="n"/>
      <c r="B97">
        <f>IFERROR(__xludf.DUMMYFUNCTION("""COMPUTED_VALUE"""),"Travis Kelce")</f>
        <v/>
      </c>
    </row>
    <row r="98" ht="15" customHeight="1" s="54">
      <c r="A98" s="45" t="n"/>
      <c r="B98">
        <f>IFERROR(__xludf.DUMMYFUNCTION("""COMPUTED_VALUE"""),"Dallas Goedert")</f>
        <v/>
      </c>
    </row>
    <row r="99" ht="15" customHeight="1" s="54">
      <c r="A99" s="45" t="n"/>
      <c r="B99">
        <f>IFERROR(__xludf.DUMMYFUNCTION("""COMPUTED_VALUE"""),"Jadarian Price")</f>
        <v/>
      </c>
    </row>
    <row r="100" ht="15" customHeight="1" s="54">
      <c r="A100" s="45" t="n"/>
      <c r="B100">
        <f>IFERROR(__xludf.DUMMYFUNCTION("""COMPUTED_VALUE"""),"Braelon Allen")</f>
        <v/>
      </c>
    </row>
    <row r="101" ht="15" customHeight="1" s="54">
      <c r="A101" s="45" t="n"/>
      <c r="B101">
        <f>IFERROR(__xludf.DUMMYFUNCTION("""COMPUTED_VALUE"""),"Jayden Reed")</f>
        <v/>
      </c>
    </row>
    <row r="102" ht="15" customHeight="1" s="54">
      <c r="A102" s="45" t="n"/>
      <c r="B102">
        <f>IFERROR(__xludf.DUMMYFUNCTION("""COMPUTED_VALUE"""),"Kenneth Gainwell")</f>
        <v/>
      </c>
    </row>
    <row r="103" ht="15" customHeight="1" s="54">
      <c r="A103" s="45" t="n"/>
      <c r="B103">
        <f>IFERROR(__xludf.DUMMYFUNCTION("""COMPUTED_VALUE"""),"Romeo Doubs")</f>
        <v/>
      </c>
    </row>
    <row r="104" ht="15" customHeight="1" s="54">
      <c r="A104" s="45" t="n"/>
      <c r="B104">
        <f>IFERROR(__xludf.DUMMYFUNCTION("""COMPUTED_VALUE"""),"Tyrone Tracy Jr.")</f>
        <v/>
      </c>
    </row>
    <row r="105" ht="15" customHeight="1" s="54">
      <c r="A105" s="45" t="n"/>
      <c r="B105">
        <f>IFERROR(__xludf.DUMMYFUNCTION("""COMPUTED_VALUE"""),"George Kittle")</f>
        <v/>
      </c>
    </row>
    <row r="106" ht="15" customHeight="1" s="54">
      <c r="A106" s="45" t="n"/>
      <c r="B106">
        <f>IFERROR(__xludf.DUMMYFUNCTION("""COMPUTED_VALUE"""),"Hunter Henry")</f>
        <v/>
      </c>
    </row>
    <row r="107" ht="15" customHeight="1" s="54">
      <c r="A107" s="45" t="n"/>
      <c r="B107">
        <f>IFERROR(__xludf.DUMMYFUNCTION("""COMPUTED_VALUE"""),"Xavier Worthy")</f>
        <v/>
      </c>
    </row>
    <row r="108" ht="15" customHeight="1" s="54">
      <c r="A108" s="45" t="n"/>
      <c r="B108">
        <f>IFERROR(__xludf.DUMMYFUNCTION("""COMPUTED_VALUE"""),"Khalil Shakir")</f>
        <v/>
      </c>
    </row>
    <row r="109" ht="15" customHeight="1" s="54">
      <c r="A109" s="45" t="n"/>
      <c r="B109">
        <f>IFERROR(__xludf.DUMMYFUNCTION("""COMPUTED_VALUE"""),"C.J. Stroud")</f>
        <v/>
      </c>
    </row>
    <row r="110" ht="15" customHeight="1" s="54">
      <c r="A110" s="45" t="n"/>
      <c r="B110">
        <f>IFERROR(__xludf.DUMMYFUNCTION("""COMPUTED_VALUE"""),"Josh Downs")</f>
        <v/>
      </c>
    </row>
    <row r="111" ht="15" customHeight="1" s="54">
      <c r="A111" s="45" t="n"/>
      <c r="B111">
        <f>IFERROR(__xludf.DUMMYFUNCTION("""COMPUTED_VALUE"""),"Emmett Johnson")</f>
        <v/>
      </c>
    </row>
    <row r="112" ht="15" customHeight="1" s="54">
      <c r="A112" s="45" t="n"/>
      <c r="B112">
        <f>IFERROR(__xludf.DUMMYFUNCTION("""COMPUTED_VALUE"""),"Rachaad White")</f>
        <v/>
      </c>
    </row>
    <row r="113" ht="15" customHeight="1" s="54">
      <c r="A113" s="45" t="n"/>
      <c r="B113">
        <f>IFERROR(__xludf.DUMMYFUNCTION("""COMPUTED_VALUE"""),"Stefon Diggs")</f>
        <v/>
      </c>
    </row>
    <row r="114" ht="15" customHeight="1" s="54">
      <c r="A114" s="45" t="n"/>
      <c r="B114">
        <f>IFERROR(__xludf.DUMMYFUNCTION("""COMPUTED_VALUE"""),"Alvin Kamara")</f>
        <v/>
      </c>
    </row>
    <row r="115" ht="15" customHeight="1" s="54">
      <c r="A115" s="45" t="n"/>
      <c r="B115">
        <f>IFERROR(__xludf.DUMMYFUNCTION("""COMPUTED_VALUE"""),"Tank Bigsby")</f>
        <v/>
      </c>
    </row>
    <row r="116" ht="15" customHeight="1" s="54">
      <c r="A116" s="45" t="n"/>
      <c r="B116">
        <f>IFERROR(__xludf.DUMMYFUNCTION("""COMPUTED_VALUE"""),"Sam Darnold")</f>
        <v/>
      </c>
    </row>
    <row r="117" ht="15" customHeight="1" s="54">
      <c r="A117" s="45" t="n"/>
      <c r="B117">
        <f>IFERROR(__xludf.DUMMYFUNCTION("""COMPUTED_VALUE"""),"Houston Texans")</f>
        <v/>
      </c>
    </row>
    <row r="118" ht="15" customHeight="1" s="54">
      <c r="A118" s="45" t="n"/>
      <c r="B118">
        <f>IFERROR(__xludf.DUMMYFUNCTION("""COMPUTED_VALUE"""),"Jonathon Brooks")</f>
        <v/>
      </c>
    </row>
    <row r="119" ht="15" customHeight="1" s="54">
      <c r="A119" s="45" t="n"/>
      <c r="B119">
        <f>IFERROR(__xludf.DUMMYFUNCTION("""COMPUTED_VALUE"""),"Isiah Pacheco")</f>
        <v/>
      </c>
    </row>
    <row r="120" ht="15" customHeight="1" s="54">
      <c r="A120" s="45" t="n"/>
      <c r="B120">
        <f>IFERROR(__xludf.DUMMYFUNCTION("""COMPUTED_VALUE"""),"Dylan Sampson")</f>
        <v/>
      </c>
    </row>
    <row r="121" ht="15" customHeight="1" s="54">
      <c r="A121" s="45" t="n"/>
      <c r="B121">
        <f>IFERROR(__xludf.DUMMYFUNCTION("""COMPUTED_VALUE"""),"Tyreek Hill")</f>
        <v/>
      </c>
    </row>
    <row r="122" ht="15" customHeight="1" s="54">
      <c r="A122" s="45" t="n"/>
      <c r="B122">
        <f>IFERROR(__xludf.DUMMYFUNCTION("""COMPUTED_VALUE"""),"Chris Rodriguez Jr.")</f>
        <v/>
      </c>
    </row>
    <row r="123" ht="15" customHeight="1" s="54">
      <c r="A123" s="45" t="n"/>
      <c r="B123">
        <f>IFERROR(__xludf.DUMMYFUNCTION("""COMPUTED_VALUE"""),"Jalen Coker")</f>
        <v/>
      </c>
    </row>
    <row r="124" ht="15" customHeight="1" s="54">
      <c r="A124" s="45" t="n"/>
      <c r="B124">
        <f>IFERROR(__xludf.DUMMYFUNCTION("""COMPUTED_VALUE"""),"Deebo Samuel Sr.")</f>
        <v/>
      </c>
    </row>
    <row r="125" ht="15" customHeight="1" s="54">
      <c r="A125" s="45" t="n"/>
      <c r="B125">
        <f>IFERROR(__xludf.DUMMYFUNCTION("""COMPUTED_VALUE"""),"Omar Cooper Jr.")</f>
        <v/>
      </c>
    </row>
    <row r="126" ht="15" customHeight="1" s="54">
      <c r="A126" s="45" t="n"/>
      <c r="B126">
        <f>IFERROR(__xludf.DUMMYFUNCTION("""COMPUTED_VALUE"""),"Isaiah Likely")</f>
        <v/>
      </c>
    </row>
    <row r="127" ht="15" customHeight="1" s="54">
      <c r="A127" s="45" t="n"/>
      <c r="B127">
        <f>IFERROR(__xludf.DUMMYFUNCTION("""COMPUTED_VALUE"""),"Mark Andrews")</f>
        <v/>
      </c>
    </row>
    <row r="128" ht="15" customHeight="1" s="54">
      <c r="A128" s="45" t="n"/>
      <c r="B128">
        <f>IFERROR(__xludf.DUMMYFUNCTION("""COMPUTED_VALUE"""),"Kenyon Sadiq")</f>
        <v/>
      </c>
    </row>
    <row r="129" ht="15" customHeight="1" s="54">
      <c r="A129" s="45" t="n"/>
      <c r="B129">
        <f>IFERROR(__xludf.DUMMYFUNCTION("""COMPUTED_VALUE"""),"Cam Ward")</f>
        <v/>
      </c>
    </row>
    <row r="130" ht="15" customHeight="1" s="54">
      <c r="A130" s="45" t="n"/>
      <c r="B130">
        <f>IFERROR(__xludf.DUMMYFUNCTION("""COMPUTED_VALUE"""),"Kayshon Boutte")</f>
        <v/>
      </c>
    </row>
    <row r="131" ht="15" customHeight="1" s="54">
      <c r="A131" s="45" t="n"/>
      <c r="B131">
        <f>IFERROR(__xludf.DUMMYFUNCTION("""COMPUTED_VALUE"""),"Denver Broncos")</f>
        <v/>
      </c>
    </row>
    <row r="132" ht="15" customHeight="1" s="54">
      <c r="A132" s="45" t="n"/>
      <c r="B132">
        <f>IFERROR(__xludf.DUMMYFUNCTION("""COMPUTED_VALUE"""),"Jonah Coleman")</f>
        <v/>
      </c>
    </row>
    <row r="133" ht="15" customHeight="1" s="54">
      <c r="A133" s="45" t="n"/>
      <c r="B133">
        <f>IFERROR(__xludf.DUMMYFUNCTION("""COMPUTED_VALUE"""),"Tyjae Spears")</f>
        <v/>
      </c>
    </row>
    <row r="134" ht="15" customHeight="1" s="54">
      <c r="A134" s="45" t="n"/>
      <c r="B134">
        <f>IFERROR(__xludf.DUMMYFUNCTION("""COMPUTED_VALUE"""),"Seattle Seahawks")</f>
        <v/>
      </c>
    </row>
    <row r="135" ht="15" customHeight="1" s="54">
      <c r="A135" s="45" t="n"/>
      <c r="B135">
        <f>IFERROR(__xludf.DUMMYFUNCTION("""COMPUTED_VALUE"""),"Keaton Mitchell")</f>
        <v/>
      </c>
    </row>
    <row r="136" ht="15" customHeight="1" s="54">
      <c r="A136" s="45" t="n"/>
      <c r="B136">
        <f>IFERROR(__xludf.DUMMYFUNCTION("""COMPUTED_VALUE"""),"Adonai Mitchell")</f>
        <v/>
      </c>
    </row>
    <row r="137" ht="15" customHeight="1" s="54">
      <c r="A137" s="45" t="n"/>
      <c r="B137">
        <f>IFERROR(__xludf.DUMMYFUNCTION("""COMPUTED_VALUE"""),"Brian Robinson Jr.")</f>
        <v/>
      </c>
    </row>
    <row r="138" ht="15" customHeight="1" s="54">
      <c r="A138" s="45" t="n"/>
      <c r="B138">
        <f>IFERROR(__xludf.DUMMYFUNCTION("""COMPUTED_VALUE"""),"Philadelphia Eagles")</f>
        <v/>
      </c>
    </row>
    <row r="139" ht="15" customHeight="1" s="54">
      <c r="A139" s="45" t="n"/>
      <c r="B139">
        <f>IFERROR(__xludf.DUMMYFUNCTION("""COMPUTED_VALUE"""),"Bryce Young")</f>
        <v/>
      </c>
    </row>
    <row r="140" ht="15" customHeight="1" s="54">
      <c r="A140" s="45" t="n"/>
      <c r="B140">
        <f>IFERROR(__xludf.DUMMYFUNCTION("""COMPUTED_VALUE"""),"Los Angeles Rams")</f>
        <v/>
      </c>
    </row>
    <row r="141" ht="15" customHeight="1" s="54">
      <c r="A141" s="45" t="n"/>
      <c r="B141">
        <f>IFERROR(__xludf.DUMMYFUNCTION("""COMPUTED_VALUE"""),"Trey Benson")</f>
        <v/>
      </c>
    </row>
    <row r="142" ht="15" customHeight="1" s="54">
      <c r="A142" s="45" t="n"/>
      <c r="B142">
        <f>IFERROR(__xludf.DUMMYFUNCTION("""COMPUTED_VALUE"""),"Jerry Jeudy")</f>
        <v/>
      </c>
    </row>
    <row r="143" ht="15" customHeight="1" s="54">
      <c r="A143" s="45" t="n"/>
      <c r="B143">
        <f>IFERROR(__xludf.DUMMYFUNCTION("""COMPUTED_VALUE"""),"Dalton Schultz")</f>
        <v/>
      </c>
    </row>
    <row r="144" ht="15" customHeight="1" s="54">
      <c r="A144" s="45" t="n"/>
      <c r="B144">
        <f>IFERROR(__xludf.DUMMYFUNCTION("""COMPUTED_VALUE"""),"Mike Washington Jr.")</f>
        <v/>
      </c>
    </row>
    <row r="145" ht="15" customHeight="1" s="54">
      <c r="A145" s="45" t="n"/>
      <c r="B145">
        <f>IFERROR(__xludf.DUMMYFUNCTION("""COMPUTED_VALUE"""),"Rashid Shaheed")</f>
        <v/>
      </c>
    </row>
    <row r="146" ht="15" customHeight="1" s="54">
      <c r="A146" s="45" t="n"/>
      <c r="B146">
        <f>IFERROR(__xludf.DUMMYFUNCTION("""COMPUTED_VALUE"""),"Troy Franklin")</f>
        <v/>
      </c>
    </row>
    <row r="147" ht="15" customHeight="1" s="54">
      <c r="A147" s="45" t="n"/>
      <c r="B147">
        <f>IFERROR(__xludf.DUMMYFUNCTION("""COMPUTED_VALUE"""),"Kimani Vidal")</f>
        <v/>
      </c>
    </row>
    <row r="148" ht="15" customHeight="1" s="54">
      <c r="A148" s="45" t="n"/>
      <c r="B148">
        <f>IFERROR(__xludf.DUMMYFUNCTION("""COMPUTED_VALUE"""),"Isaac TeSlaa")</f>
        <v/>
      </c>
    </row>
    <row r="149" ht="15" customHeight="1" s="54">
      <c r="A149" s="45" t="n"/>
      <c r="B149">
        <f>IFERROR(__xludf.DUMMYFUNCTION("""COMPUTED_VALUE"""),"Tank Dell")</f>
        <v/>
      </c>
    </row>
    <row r="150" ht="15" customHeight="1" s="54">
      <c r="A150" s="45" t="n"/>
      <c r="B150">
        <f>IFERROR(__xludf.DUMMYFUNCTION("""COMPUTED_VALUE"""),"Minnesota Vikings")</f>
        <v/>
      </c>
    </row>
    <row r="151" ht="15" customHeight="1" s="54">
      <c r="A151" s="45" t="n"/>
      <c r="B151">
        <f>IFERROR(__xludf.DUMMYFUNCTION("""COMPUTED_VALUE"""),"Travis Hunter")</f>
        <v/>
      </c>
    </row>
    <row r="152" ht="15" customHeight="1" s="54">
      <c r="A152" s="45" t="n"/>
      <c r="B152">
        <f>IFERROR(__xludf.DUMMYFUNCTION("""COMPUTED_VALUE"""),"Matthew Golden")</f>
        <v/>
      </c>
    </row>
    <row r="153" ht="15" customHeight="1" s="54">
      <c r="A153" s="45" t="n"/>
      <c r="B153">
        <f>IFERROR(__xludf.DUMMYFUNCTION("""COMPUTED_VALUE"""),"New England Patriots")</f>
        <v/>
      </c>
    </row>
    <row r="154" ht="15" customHeight="1" s="54">
      <c r="A154" s="45" t="n"/>
      <c r="B154">
        <f>IFERROR(__xludf.DUMMYFUNCTION("""COMPUTED_VALUE"""),"Jacksonville Jaguars")</f>
        <v/>
      </c>
    </row>
    <row r="155" ht="15" customHeight="1" s="54">
      <c r="A155" s="45" t="n"/>
      <c r="B155">
        <f>IFERROR(__xludf.DUMMYFUNCTION("""COMPUTED_VALUE"""),"Brandon Aubrey")</f>
        <v/>
      </c>
    </row>
    <row r="156" ht="15" customHeight="1" s="54">
      <c r="A156" s="45" t="n"/>
      <c r="B156">
        <f>IFERROR(__xludf.DUMMYFUNCTION("""COMPUTED_VALUE"""),"Chimere Dike")</f>
        <v/>
      </c>
    </row>
    <row r="157" ht="15" customHeight="1" s="54">
      <c r="A157" s="45" t="n"/>
      <c r="B157">
        <f>IFERROR(__xludf.DUMMYFUNCTION("""COMPUTED_VALUE"""),"Los Angeles Chargers")</f>
        <v/>
      </c>
    </row>
    <row r="158" ht="15" customHeight="1" s="54">
      <c r="A158" s="45" t="n"/>
      <c r="B158">
        <f>IFERROR(__xludf.DUMMYFUNCTION("""COMPUTED_VALUE"""),"Sean Tucker")</f>
        <v/>
      </c>
    </row>
    <row r="159" ht="15" customHeight="1" s="54">
      <c r="A159" s="45" t="n"/>
      <c r="B159">
        <f>IFERROR(__xludf.DUMMYFUNCTION("""COMPUTED_VALUE"""),"Green Bay Packers")</f>
        <v/>
      </c>
    </row>
    <row r="160" ht="15" customHeight="1" s="54">
      <c r="A160" s="45" t="n"/>
      <c r="B160">
        <f>IFERROR(__xludf.DUMMYFUNCTION("""COMPUTED_VALUE"""),"K.C. Concepcion")</f>
        <v/>
      </c>
    </row>
    <row r="161" ht="15" customHeight="1" s="54">
      <c r="A161" s="45" t="n"/>
      <c r="B161">
        <f>IFERROR(__xludf.DUMMYFUNCTION("""COMPUTED_VALUE"""),"Pittsburgh Steelers")</f>
        <v/>
      </c>
    </row>
    <row r="162" ht="15" customHeight="1" s="54">
      <c r="A162" s="45" t="n"/>
      <c r="B162">
        <f>IFERROR(__xludf.DUMMYFUNCTION("""COMPUTED_VALUE"""),"Ka'imi Fairbairn")</f>
        <v/>
      </c>
    </row>
    <row r="163" ht="15" customHeight="1" s="54">
      <c r="A163" s="45" t="n"/>
      <c r="B163">
        <f>IFERROR(__xludf.DUMMYFUNCTION("""COMPUTED_VALUE"""),"Emanuel Wilson")</f>
        <v/>
      </c>
    </row>
    <row r="164" ht="15" customHeight="1" s="54">
      <c r="A164" s="45" t="n"/>
      <c r="B164">
        <f>IFERROR(__xludf.DUMMYFUNCTION("""COMPUTED_VALUE"""),"Cam Little")</f>
        <v/>
      </c>
    </row>
    <row r="165" ht="15" customHeight="1" s="54">
      <c r="A165" s="45" t="n"/>
      <c r="B165">
        <f>IFERROR(__xludf.DUMMYFUNCTION("""COMPUTED_VALUE"""),"Jaylen Wright")</f>
        <v/>
      </c>
    </row>
    <row r="166" ht="15" customHeight="1" s="54">
      <c r="A166" s="45" t="n"/>
      <c r="B166">
        <f>IFERROR(__xludf.DUMMYFUNCTION("""COMPUTED_VALUE"""),"Elic Ayomanor")</f>
        <v/>
      </c>
    </row>
    <row r="167" ht="15" customHeight="1" s="54">
      <c r="A167" s="45" t="n"/>
      <c r="B167">
        <f>IFERROR(__xludf.DUMMYFUNCTION("""COMPUTED_VALUE"""),"Cameron Dicker")</f>
        <v/>
      </c>
    </row>
    <row r="168" ht="15" customHeight="1" s="54">
      <c r="A168" s="45" t="n"/>
      <c r="B168">
        <f>IFERROR(__xludf.DUMMYFUNCTION("""COMPUTED_VALUE"""),"Terrance Ferguson")</f>
        <v/>
      </c>
    </row>
    <row r="169" ht="15" customHeight="1" s="54">
      <c r="A169" s="45" t="n"/>
      <c r="B169">
        <f>IFERROR(__xludf.DUMMYFUNCTION("""COMPUTED_VALUE"""),"Cleveland Browns")</f>
        <v/>
      </c>
    </row>
    <row r="170" ht="15" customHeight="1" s="54">
      <c r="A170" s="45" t="n"/>
      <c r="B170">
        <f>IFERROR(__xludf.DUMMYFUNCTION("""COMPUTED_VALUE"""),"Jaylin Noel")</f>
        <v/>
      </c>
    </row>
    <row r="171" ht="15" customHeight="1" s="54">
      <c r="A171" s="45" t="n"/>
      <c r="B171">
        <f>IFERROR(__xludf.DUMMYFUNCTION("""COMPUTED_VALUE"""),"AJ Barner")</f>
        <v/>
      </c>
    </row>
    <row r="172" ht="15" customHeight="1" s="54">
      <c r="A172" s="45" t="n"/>
      <c r="B172">
        <f>IFERROR(__xludf.DUMMYFUNCTION("""COMPUTED_VALUE"""),"Kyle Williams")</f>
        <v/>
      </c>
    </row>
    <row r="173" ht="15" customHeight="1" s="54">
      <c r="A173" s="45" t="n"/>
      <c r="B173">
        <f>IFERROR(__xludf.DUMMYFUNCTION("""COMPUTED_VALUE"""),"Daniel Jones")</f>
        <v/>
      </c>
    </row>
    <row r="174" ht="15" customHeight="1" s="54">
      <c r="A174" s="45" t="n"/>
      <c r="B174">
        <f>IFERROR(__xludf.DUMMYFUNCTION("""COMPUTED_VALUE"""),"Jalen McMillan")</f>
        <v/>
      </c>
    </row>
    <row r="175" ht="15" customHeight="1" s="54">
      <c r="A175" s="45" t="n"/>
      <c r="B175">
        <f>IFERROR(__xludf.DUMMYFUNCTION("""COMPUTED_VALUE"""),"Jason Myers")</f>
        <v/>
      </c>
    </row>
    <row r="176" ht="15" customHeight="1" s="54">
      <c r="A176" s="45" t="n"/>
      <c r="B176">
        <f>IFERROR(__xludf.DUMMYFUNCTION("""COMPUTED_VALUE"""),"Tyler Loop")</f>
        <v/>
      </c>
    </row>
    <row r="177" ht="15" customHeight="1" s="54">
      <c r="A177" s="45" t="n"/>
      <c r="B177">
        <f>IFERROR(__xludf.DUMMYFUNCTION("""COMPUTED_VALUE"""),"Kaleb Johnson")</f>
        <v/>
      </c>
    </row>
    <row r="178" ht="15" customHeight="1" s="54">
      <c r="A178" s="45" t="n"/>
      <c r="B178">
        <f>IFERROR(__xludf.DUMMYFUNCTION("""COMPUTED_VALUE"""),"Evan McPherson")</f>
        <v/>
      </c>
    </row>
    <row r="179" ht="15" customHeight="1" s="54">
      <c r="A179" s="45" t="n"/>
      <c r="B179">
        <f>IFERROR(__xludf.DUMMYFUNCTION("""COMPUTED_VALUE"""),"Tre Tucker")</f>
        <v/>
      </c>
    </row>
    <row r="180" ht="15" customHeight="1" s="54">
      <c r="A180" s="45" t="n"/>
      <c r="B180">
        <f>IFERROR(__xludf.DUMMYFUNCTION("""COMPUTED_VALUE"""),"Tre Harris")</f>
        <v/>
      </c>
    </row>
    <row r="181" ht="15" customHeight="1" s="54">
      <c r="A181" s="45" t="n"/>
      <c r="B181">
        <f>IFERROR(__xludf.DUMMYFUNCTION("""COMPUTED_VALUE"""),"Ray Davis")</f>
        <v/>
      </c>
    </row>
    <row r="182" ht="15" customHeight="1" s="54">
      <c r="A182" s="45" t="n"/>
      <c r="B182">
        <f>IFERROR(__xludf.DUMMYFUNCTION("""COMPUTED_VALUE"""),"Jacoby Brissett")</f>
        <v/>
      </c>
    </row>
    <row r="183" ht="15" customHeight="1" s="54">
      <c r="A183" s="45" t="n"/>
      <c r="B183">
        <f>IFERROR(__xludf.DUMMYFUNCTION("""COMPUTED_VALUE"""),"Kansas City Chiefs")</f>
        <v/>
      </c>
    </row>
    <row r="184" ht="15" customHeight="1" s="54">
      <c r="A184" s="45" t="n"/>
      <c r="B184">
        <f>IFERROR(__xludf.DUMMYFUNCTION("""COMPUTED_VALUE"""),"Andy Borregales")</f>
        <v/>
      </c>
    </row>
    <row r="185" ht="15" customHeight="1" s="54">
      <c r="A185" s="45" t="n"/>
      <c r="B185">
        <f>IFERROR(__xludf.DUMMYFUNCTION("""COMPUTED_VALUE"""),"Chris Brazzell II")</f>
        <v/>
      </c>
    </row>
    <row r="186" ht="15" customHeight="1" s="54">
      <c r="A186" s="45" t="n"/>
      <c r="B186">
        <f>IFERROR(__xludf.DUMMYFUNCTION("""COMPUTED_VALUE"""),"Eddy Pineiro")</f>
        <v/>
      </c>
    </row>
    <row r="187" ht="15" customHeight="1" s="54">
      <c r="A187" s="45" t="n"/>
      <c r="B187">
        <f>IFERROR(__xludf.DUMMYFUNCTION("""COMPUTED_VALUE"""),"Nicholas Singleton")</f>
        <v/>
      </c>
    </row>
    <row r="188" ht="15" customHeight="1" s="54">
      <c r="A188" s="45" t="n"/>
      <c r="B188">
        <f>IFERROR(__xludf.DUMMYFUNCTION("""COMPUTED_VALUE"""),"T.J. Hockenson")</f>
        <v/>
      </c>
    </row>
    <row r="189" ht="15" customHeight="1" s="54">
      <c r="A189" s="45" t="n"/>
      <c r="B189">
        <f>IFERROR(__xludf.DUMMYFUNCTION("""COMPUTED_VALUE"""),"Kaytron Allen")</f>
        <v/>
      </c>
    </row>
    <row r="190" ht="15" customHeight="1" s="54">
      <c r="A190" s="45" t="n"/>
      <c r="B190">
        <f>IFERROR(__xludf.DUMMYFUNCTION("""COMPUTED_VALUE"""),"Chase McLaughlin")</f>
        <v/>
      </c>
    </row>
    <row r="191" ht="15" customHeight="1" s="54">
      <c r="A191" s="45" t="n"/>
      <c r="B191">
        <f>IFERROR(__xludf.DUMMYFUNCTION("""COMPUTED_VALUE"""),"Detroit Lions")</f>
        <v/>
      </c>
    </row>
    <row r="192" ht="15" customHeight="1" s="54">
      <c r="A192" s="45" t="n"/>
      <c r="B192">
        <f>IFERROR(__xludf.DUMMYFUNCTION("""COMPUTED_VALUE"""),"Ryan Flournoy")</f>
        <v/>
      </c>
    </row>
    <row r="193" ht="15" customHeight="1" s="54">
      <c r="A193" s="45" t="n"/>
      <c r="B193">
        <f>IFERROR(__xludf.DUMMYFUNCTION("""COMPUTED_VALUE"""),"Joe Mixon")</f>
        <v/>
      </c>
    </row>
    <row r="194" ht="15" customHeight="1" s="54">
      <c r="A194" s="45" t="n"/>
      <c r="B194">
        <f>IFERROR(__xludf.DUMMYFUNCTION("""COMPUTED_VALUE"""),"Buffalo Bills")</f>
        <v/>
      </c>
    </row>
    <row r="195" ht="15" customHeight="1" s="54">
      <c r="A195" s="45" t="n"/>
      <c r="B195">
        <f>IFERROR(__xludf.DUMMYFUNCTION("""COMPUTED_VALUE"""),"Tory Horton")</f>
        <v/>
      </c>
    </row>
    <row r="196" ht="15" customHeight="1" s="54">
      <c r="A196" s="45" t="n"/>
      <c r="B196">
        <f>IFERROR(__xludf.DUMMYFUNCTION("""COMPUTED_VALUE"""),"Pat Bryant")</f>
        <v/>
      </c>
    </row>
    <row r="197" ht="15" customHeight="1" s="54">
      <c r="A197" s="45" t="n"/>
      <c r="B197">
        <f>IFERROR(__xludf.DUMMYFUNCTION("""COMPUTED_VALUE"""),"Eli Stowers")</f>
        <v/>
      </c>
    </row>
    <row r="198" ht="15" customHeight="1" s="54">
      <c r="A198" s="45" t="n"/>
      <c r="B198">
        <f>IFERROR(__xludf.DUMMYFUNCTION("""COMPUTED_VALUE"""),"Kendre Miller")</f>
        <v/>
      </c>
    </row>
    <row r="199" ht="15" customHeight="1" s="54">
      <c r="A199" s="45" t="n"/>
      <c r="B199">
        <f>IFERROR(__xludf.DUMMYFUNCTION("""COMPUTED_VALUE"""),"Theo Johnson")</f>
        <v/>
      </c>
    </row>
    <row r="200" ht="15" customHeight="1" s="54">
      <c r="A200" s="45" t="n"/>
      <c r="B200">
        <f>IFERROR(__xludf.DUMMYFUNCTION("""COMPUTED_VALUE"""),"Calvin Ridley")</f>
        <v/>
      </c>
    </row>
    <row r="201" ht="15" customHeight="1" s="54">
      <c r="A201" s="45" t="n"/>
      <c r="B201">
        <f>IFERROR(__xludf.DUMMYFUNCTION("""COMPUTED_VALUE"""),"Baltimore Ravens")</f>
        <v/>
      </c>
    </row>
    <row r="202" ht="15" customHeight="1" s="54">
      <c r="A202" s="45" t="n"/>
      <c r="B202">
        <f>IFERROR(__xludf.DUMMYFUNCTION("""COMPUTED_VALUE"""),"Cairo Santos")</f>
        <v/>
      </c>
    </row>
    <row r="203" ht="15" customHeight="1" s="54">
      <c r="A203" s="45" t="n"/>
      <c r="B203">
        <f>IFERROR(__xludf.DUMMYFUNCTION("""COMPUTED_VALUE"""),"Ollie Gordon II")</f>
        <v/>
      </c>
    </row>
    <row r="204" ht="15" customHeight="1" s="54">
      <c r="A204" s="45" t="n"/>
      <c r="B204">
        <f>IFERROR(__xludf.DUMMYFUNCTION("""COMPUTED_VALUE"""),"Devin Neal")</f>
        <v/>
      </c>
    </row>
    <row r="205" ht="15" customHeight="1" s="54">
      <c r="A205" s="45" t="n"/>
      <c r="B205">
        <f>IFERROR(__xludf.DUMMYFUNCTION("""COMPUTED_VALUE"""),"Fernando Mendoza")</f>
        <v/>
      </c>
    </row>
    <row r="206" ht="15" customHeight="1" s="54">
      <c r="A206" s="45" t="n"/>
      <c r="B206">
        <f>IFERROR(__xludf.DUMMYFUNCTION("""COMPUTED_VALUE"""),"Darnell Mooney")</f>
        <v/>
      </c>
    </row>
    <row r="207" ht="15" customHeight="1" s="54">
      <c r="A207" s="45" t="n"/>
      <c r="B207">
        <f>IFERROR(__xludf.DUMMYFUNCTION("""COMPUTED_VALUE"""),"Rashod Bateman")</f>
        <v/>
      </c>
    </row>
    <row r="208" ht="15" customHeight="1" s="54">
      <c r="A208" s="45" t="n"/>
      <c r="B208">
        <f>IFERROR(__xludf.DUMMYFUNCTION("""COMPUTED_VALUE"""),"Elijah Sarratt")</f>
        <v/>
      </c>
    </row>
    <row r="209" ht="15" customHeight="1" s="54">
      <c r="A209" s="45" t="n"/>
      <c r="B209">
        <f>IFERROR(__xludf.DUMMYFUNCTION("""COMPUTED_VALUE"""),"David Njoku")</f>
        <v/>
      </c>
    </row>
    <row r="210" ht="15" customHeight="1" s="54">
      <c r="A210" s="45" t="n"/>
      <c r="B210">
        <f>IFERROR(__xludf.DUMMYFUNCTION("""COMPUTED_VALUE"""),"Marvin Mims Jr.")</f>
        <v/>
      </c>
    </row>
    <row r="211" ht="15" customHeight="1" s="54">
      <c r="A211" s="45" t="n"/>
      <c r="B211">
        <f>IFERROR(__xludf.DUMMYFUNCTION("""COMPUTED_VALUE"""),"Jake Bates")</f>
        <v/>
      </c>
    </row>
    <row r="212" ht="15" customHeight="1" s="54">
      <c r="A212" s="45" t="n"/>
      <c r="B212">
        <f>IFERROR(__xludf.DUMMYFUNCTION("""COMPUTED_VALUE"""),"Mason Taylor")</f>
        <v/>
      </c>
    </row>
    <row r="213" ht="15" customHeight="1" s="54">
      <c r="A213" s="45" t="n"/>
      <c r="B213">
        <f>IFERROR(__xludf.DUMMYFUNCTION("""COMPUTED_VALUE"""),"Keon Coleman")</f>
        <v/>
      </c>
    </row>
    <row r="214" ht="15" customHeight="1" s="54">
      <c r="A214" s="45" t="n"/>
      <c r="B214">
        <f>IFERROR(__xludf.DUMMYFUNCTION("""COMPUTED_VALUE"""),"Chig Okonkwo")</f>
        <v/>
      </c>
    </row>
    <row r="215" ht="15" customHeight="1" s="54">
      <c r="A215" s="45" t="n"/>
      <c r="B215">
        <f>IFERROR(__xludf.DUMMYFUNCTION("""COMPUTED_VALUE"""),"Xavier Legette")</f>
        <v/>
      </c>
    </row>
    <row r="216" ht="15" customHeight="1" s="54">
      <c r="A216" s="45" t="n"/>
      <c r="B216">
        <f>IFERROR(__xludf.DUMMYFUNCTION("""COMPUTED_VALUE"""),"Harrison Mevis")</f>
        <v/>
      </c>
    </row>
    <row r="217" ht="15" customHeight="1" s="54">
      <c r="A217" s="45" t="n"/>
      <c r="B217">
        <f>IFERROR(__xludf.DUMMYFUNCTION("""COMPUTED_VALUE"""),"Dontayvion Wicks")</f>
        <v/>
      </c>
    </row>
    <row r="218" ht="15" customHeight="1" s="54">
      <c r="A218" s="45" t="n"/>
      <c r="B218">
        <f>IFERROR(__xludf.DUMMYFUNCTION("""COMPUTED_VALUE"""),"Mack Hollins")</f>
        <v/>
      </c>
    </row>
    <row r="219" ht="15" customHeight="1" s="54">
      <c r="A219" s="45" t="n"/>
      <c r="B219">
        <f>IFERROR(__xludf.DUMMYFUNCTION("""COMPUTED_VALUE"""),"Isaiah Davis")</f>
        <v/>
      </c>
    </row>
    <row r="220" ht="15" customHeight="1" s="54">
      <c r="A220" s="45" t="n"/>
      <c r="B220">
        <f>IFERROR(__xludf.DUMMYFUNCTION("""COMPUTED_VALUE"""),"Colby Parkinson")</f>
        <v/>
      </c>
    </row>
    <row r="221" ht="15" customHeight="1" s="54">
      <c r="A221" s="45" t="n"/>
      <c r="B221">
        <f>IFERROR(__xludf.DUMMYFUNCTION("""COMPUTED_VALUE"""),"George Holani")</f>
        <v/>
      </c>
    </row>
    <row r="222" ht="15" customHeight="1" s="54">
      <c r="A222" s="45" t="n"/>
      <c r="B222">
        <f>IFERROR(__xludf.DUMMYFUNCTION("""COMPUTED_VALUE"""),"Najee Harris")</f>
        <v/>
      </c>
    </row>
    <row r="223" ht="15" customHeight="1" s="54">
      <c r="A223" s="45" t="n"/>
      <c r="B223">
        <f>IFERROR(__xludf.DUMMYFUNCTION("""COMPUTED_VALUE"""),"Chris Boswell")</f>
        <v/>
      </c>
    </row>
    <row r="224" ht="15" customHeight="1" s="54">
      <c r="A224" s="45" t="n"/>
      <c r="B224">
        <f>IFERROR(__xludf.DUMMYFUNCTION("""COMPUTED_VALUE"""),"Pat Freiermuth")</f>
        <v/>
      </c>
    </row>
    <row r="225" ht="15" customHeight="1" s="54">
      <c r="A225" s="45" t="n"/>
      <c r="B225">
        <f>IFERROR(__xludf.DUMMYFUNCTION("""COMPUTED_VALUE"""),"Malachi Fields")</f>
        <v/>
      </c>
    </row>
    <row r="226" ht="15" customHeight="1" s="54">
      <c r="A226" s="45" t="n"/>
      <c r="B226">
        <f>IFERROR(__xludf.DUMMYFUNCTION("""COMPUTED_VALUE"""),"Harrison Butker")</f>
        <v/>
      </c>
    </row>
    <row r="227" ht="15" customHeight="1" s="54">
      <c r="A227" s="45" t="n"/>
      <c r="B227">
        <f>IFERROR(__xludf.DUMMYFUNCTION("""COMPUTED_VALUE"""),"Ty Johnson")</f>
        <v/>
      </c>
    </row>
    <row r="228" ht="15" customHeight="1" s="54">
      <c r="A228" s="45" t="n"/>
      <c r="B228">
        <f>IFERROR(__xludf.DUMMYFUNCTION("""COMPUTED_VALUE"""),"Gunnar Helm")</f>
        <v/>
      </c>
    </row>
    <row r="229" ht="15" customHeight="1" s="54">
      <c r="A229" s="45" t="n"/>
      <c r="B229">
        <f>IFERROR(__xludf.DUMMYFUNCTION("""COMPUTED_VALUE"""),"Isaac Guerendo")</f>
        <v/>
      </c>
    </row>
    <row r="230" ht="15" customHeight="1" s="54">
      <c r="A230" s="45" t="n"/>
      <c r="B230">
        <f>IFERROR(__xludf.DUMMYFUNCTION("""COMPUTED_VALUE"""),"Cooper Kupp")</f>
        <v/>
      </c>
    </row>
    <row r="231" ht="15" customHeight="1" s="54">
      <c r="A231" s="45" t="n"/>
      <c r="B231">
        <f>IFERROR(__xludf.DUMMYFUNCTION("""COMPUTED_VALUE"""),"Darius Slayton")</f>
        <v/>
      </c>
    </row>
    <row r="232" ht="15" customHeight="1" s="54">
      <c r="A232" s="45" t="n"/>
      <c r="B232">
        <f>IFERROR(__xludf.DUMMYFUNCTION("""COMPUTED_VALUE"""),"Michael Penix Jr.")</f>
        <v/>
      </c>
    </row>
    <row r="233" ht="15" customHeight="1" s="54">
      <c r="A233" s="45" t="n"/>
      <c r="B233">
        <f>IFERROR(__xludf.DUMMYFUNCTION("""COMPUTED_VALUE"""),"Jaydon Blue")</f>
        <v/>
      </c>
    </row>
    <row r="234" ht="15" customHeight="1" s="54">
      <c r="A234" s="45" t="n"/>
      <c r="B234">
        <f>IFERROR(__xludf.DUMMYFUNCTION("""COMPUTED_VALUE"""),"Zachariah Branch")</f>
        <v/>
      </c>
    </row>
    <row r="235" ht="15" customHeight="1" s="54">
      <c r="A235" s="45" t="n"/>
      <c r="B235">
        <f>IFERROR(__xludf.DUMMYFUNCTION("""COMPUTED_VALUE"""),"Charlie Smyth")</f>
        <v/>
      </c>
    </row>
    <row r="236" ht="15" customHeight="1" s="54">
      <c r="A236" s="45" t="n"/>
      <c r="B236">
        <f>IFERROR(__xludf.DUMMYFUNCTION("""COMPUTED_VALUE"""),"Germie Bernard")</f>
        <v/>
      </c>
    </row>
    <row r="237" ht="15" customHeight="1" s="54">
      <c r="A237" s="45" t="n"/>
      <c r="B237">
        <f>IFERROR(__xludf.DUMMYFUNCTION("""COMPUTED_VALUE"""),"Demond Claiborne")</f>
        <v/>
      </c>
    </row>
    <row r="238" ht="15" customHeight="1" s="54">
      <c r="A238" s="45" t="n"/>
      <c r="B238">
        <f>IFERROR(__xludf.DUMMYFUNCTION("""COMPUTED_VALUE"""),"Atlanta Falcons")</f>
        <v/>
      </c>
    </row>
    <row r="239" ht="15" customHeight="1" s="54">
      <c r="A239" s="45" t="n"/>
      <c r="B239">
        <f>IFERROR(__xludf.DUMMYFUNCTION("""COMPUTED_VALUE"""),"Keenan Allen")</f>
        <v/>
      </c>
    </row>
    <row r="240" ht="15" customHeight="1" s="54">
      <c r="A240" s="45" t="n"/>
      <c r="B240">
        <f>IFERROR(__xludf.DUMMYFUNCTION("""COMPUTED_VALUE"""),"Devaughn Vele")</f>
        <v/>
      </c>
    </row>
    <row r="241" ht="15" customHeight="1" s="54">
      <c r="A241" s="45" t="n"/>
      <c r="B241">
        <f>IFERROR(__xludf.DUMMYFUNCTION("""COMPUTED_VALUE"""),"Jaleel McLaughlin")</f>
        <v/>
      </c>
    </row>
    <row r="242" ht="15" customHeight="1" s="54">
      <c r="A242" s="45" t="n"/>
      <c r="B242">
        <f>IFERROR(__xludf.DUMMYFUNCTION("""COMPUTED_VALUE"""),"Cade Otton")</f>
        <v/>
      </c>
    </row>
    <row r="243" ht="15" customHeight="1" s="54">
      <c r="A243" s="45" t="n"/>
      <c r="B243">
        <f>IFERROR(__xludf.DUMMYFUNCTION("""COMPUTED_VALUE"""),"Adam Randall")</f>
        <v/>
      </c>
    </row>
    <row r="244" ht="15" customHeight="1" s="54">
      <c r="A244" s="45" t="n"/>
      <c r="B244">
        <f>IFERROR(__xludf.DUMMYFUNCTION("""COMPUTED_VALUE"""),"Brashard Smith")</f>
        <v/>
      </c>
    </row>
    <row r="245" ht="15" customHeight="1" s="54">
      <c r="A245" s="45" t="n"/>
      <c r="B245">
        <f>IFERROR(__xludf.DUMMYFUNCTION("""COMPUTED_VALUE"""),"DJ Giddens")</f>
        <v/>
      </c>
    </row>
    <row r="246" ht="15" customHeight="1" s="54">
      <c r="A246" s="45" t="n"/>
      <c r="B246">
        <f>IFERROR(__xludf.DUMMYFUNCTION("""COMPUTED_VALUE"""),"Isaiah Bond")</f>
        <v/>
      </c>
    </row>
    <row r="247" ht="15" customHeight="1" s="54">
      <c r="A247" s="45" t="n"/>
      <c r="B247">
        <f>IFERROR(__xludf.DUMMYFUNCTION("""COMPUTED_VALUE"""),"Malik Davis")</f>
        <v/>
      </c>
    </row>
    <row r="248" ht="15" customHeight="1" s="54">
      <c r="A248" s="45" t="n"/>
      <c r="B248">
        <f>IFERROR(__xludf.DUMMYFUNCTION("""COMPUTED_VALUE"""),"J.J. McCarthy")</f>
        <v/>
      </c>
    </row>
    <row r="249" ht="15" customHeight="1" s="54">
      <c r="A249" s="45" t="n"/>
      <c r="B249">
        <f>IFERROR(__xludf.DUMMYFUNCTION("""COMPUTED_VALUE"""),"Jalen Nailor")</f>
        <v/>
      </c>
    </row>
    <row r="250" ht="15" customHeight="1" s="54">
      <c r="A250" s="45" t="n"/>
      <c r="B250">
        <f>IFERROR(__xludf.DUMMYFUNCTION("""COMPUTED_VALUE"""),"Evan Engram")</f>
        <v/>
      </c>
    </row>
    <row r="251" ht="15" customHeight="1" s="54">
      <c r="A251" s="45" t="n"/>
      <c r="B251">
        <f>IFERROR(__xludf.DUMMYFUNCTION("""COMPUTED_VALUE"""),"Tyquan Thornton")</f>
        <v/>
      </c>
    </row>
    <row r="252" ht="15" customHeight="1" s="54">
      <c r="A252" s="45" t="n"/>
      <c r="B252">
        <f>IFERROR(__xludf.DUMMYFUNCTION("""COMPUTED_VALUE"""),"Shedeur Sanders")</f>
        <v/>
      </c>
    </row>
    <row r="253" ht="15" customHeight="1" s="54">
      <c r="A253" s="45" t="n"/>
      <c r="B253">
        <f>IFERROR(__xludf.DUMMYFUNCTION("""COMPUTED_VALUE"""),"MarShawn Lloyd")</f>
        <v/>
      </c>
    </row>
    <row r="254" ht="15" customHeight="1" s="54">
      <c r="A254" s="45" t="n"/>
      <c r="B254">
        <f>IFERROR(__xludf.DUMMYFUNCTION("""COMPUTED_VALUE"""),"Wil Lutz")</f>
        <v/>
      </c>
    </row>
    <row r="255" ht="15" customHeight="1" s="54">
      <c r="A255" s="45" t="n"/>
      <c r="B255">
        <f>IFERROR(__xludf.DUMMYFUNCTION("""COMPUTED_VALUE"""),"Andrei Iosivas")</f>
        <v/>
      </c>
    </row>
    <row r="256" ht="15" customHeight="1" s="54">
      <c r="A256" s="45" t="n"/>
      <c r="B256">
        <f>IFERROR(__xludf.DUMMYFUNCTION("""COMPUTED_VALUE"""),"Jarquez Hunter")</f>
        <v/>
      </c>
    </row>
    <row r="257" ht="15" customHeight="1" s="54">
      <c r="A257" s="45" t="n"/>
      <c r="B257">
        <f>IFERROR(__xludf.DUMMYFUNCTION("""COMPUTED_VALUE"""),"Jack Bech")</f>
        <v/>
      </c>
    </row>
    <row r="258" ht="15" customHeight="1" s="54">
      <c r="A258" s="45" t="n"/>
      <c r="B258">
        <f>IFERROR(__xludf.DUMMYFUNCTION("""COMPUTED_VALUE"""),"Hollywood Brown")</f>
        <v/>
      </c>
    </row>
    <row r="259" ht="15" customHeight="1" s="54">
      <c r="A259" s="45" t="n"/>
      <c r="B259">
        <f>IFERROR(__xludf.DUMMYFUNCTION("""COMPUTED_VALUE"""),"Mike Gesicki")</f>
        <v/>
      </c>
    </row>
    <row r="260" ht="15" customHeight="1" s="54">
      <c r="A260" s="45" t="n"/>
      <c r="B260">
        <f>IFERROR(__xludf.DUMMYFUNCTION("""COMPUTED_VALUE"""),"Cedric Tillman")</f>
        <v/>
      </c>
    </row>
    <row r="261" ht="15" customHeight="1" s="54">
      <c r="A261" s="45" t="n"/>
      <c r="B261">
        <f>IFERROR(__xludf.DUMMYFUNCTION("""COMPUTED_VALUE"""),"LeQuint Allen Jr.")</f>
        <v/>
      </c>
    </row>
    <row r="262" ht="15" customHeight="1" s="54">
      <c r="A262" s="45" t="n"/>
      <c r="B262">
        <f>IFERROR(__xludf.DUMMYFUNCTION("""COMPUTED_VALUE"""),"Devin Singletary")</f>
        <v/>
      </c>
    </row>
    <row r="263" ht="15" customHeight="1" s="54">
      <c r="A263" s="45" t="n"/>
      <c r="B263">
        <f>IFERROR(__xludf.DUMMYFUNCTION("""COMPUTED_VALUE"""),"Christian Kirk")</f>
        <v/>
      </c>
    </row>
    <row r="264" ht="15" customHeight="1" s="54">
      <c r="A264" s="45" t="n"/>
      <c r="B264">
        <f>IFERROR(__xludf.DUMMYFUNCTION("""COMPUTED_VALUE"""),"Malik Washington")</f>
        <v/>
      </c>
    </row>
    <row r="265" ht="15" customHeight="1" s="54">
      <c r="A265" s="45" t="n"/>
      <c r="B265">
        <f>IFERROR(__xludf.DUMMYFUNCTION("""COMPUTED_VALUE"""),"Indianapolis Colts")</f>
        <v/>
      </c>
    </row>
    <row r="266" ht="15" customHeight="1" s="54">
      <c r="A266" s="45" t="n"/>
      <c r="B266">
        <f>IFERROR(__xludf.DUMMYFUNCTION("""COMPUTED_VALUE"""),"Geno Smith")</f>
        <v/>
      </c>
    </row>
    <row r="267" ht="15" customHeight="1" s="54">
      <c r="A267" s="45" t="n"/>
      <c r="B267">
        <f>IFERROR(__xludf.DUMMYFUNCTION("""COMPUTED_VALUE"""),"Justice Hill")</f>
        <v/>
      </c>
    </row>
    <row r="268" ht="15" customHeight="1" s="54">
      <c r="A268" s="45" t="n"/>
      <c r="B268">
        <f>IFERROR(__xludf.DUMMYFUNCTION("""COMPUTED_VALUE"""),"Chris Bell")</f>
        <v/>
      </c>
    </row>
    <row r="269" ht="15" customHeight="1" s="54">
      <c r="A269" s="45" t="n"/>
      <c r="B269">
        <f>IFERROR(__xludf.DUMMYFUNCTION("""COMPUTED_VALUE"""),"Samaje Perine")</f>
        <v/>
      </c>
    </row>
    <row r="270" ht="15" customHeight="1" s="54">
      <c r="A270" s="45" t="n"/>
      <c r="B270">
        <f>IFERROR(__xludf.DUMMYFUNCTION("""COMPUTED_VALUE"""),"Tua Tagovailoa")</f>
        <v/>
      </c>
    </row>
    <row r="271" ht="15" customHeight="1" s="54">
      <c r="A271" s="45" t="n"/>
      <c r="B271">
        <f>IFERROR(__xludf.DUMMYFUNCTION("""COMPUTED_VALUE"""),"Luke McCaffrey")</f>
        <v/>
      </c>
    </row>
    <row r="272" ht="15" customHeight="1" s="54">
      <c r="A272" s="45" t="n"/>
      <c r="B272">
        <f>IFERROR(__xludf.DUMMYFUNCTION("""COMPUTED_VALUE"""),"Calvin Austin III")</f>
        <v/>
      </c>
    </row>
    <row r="273" ht="15" customHeight="1" s="54">
      <c r="A273" s="45" t="n"/>
      <c r="B273">
        <f>IFERROR(__xludf.DUMMYFUNCTION("""COMPUTED_VALUE"""),"Chris Brooks")</f>
        <v/>
      </c>
    </row>
    <row r="274" ht="15" customHeight="1" s="54">
      <c r="A274" s="45" t="n"/>
      <c r="B274">
        <f>IFERROR(__xludf.DUMMYFUNCTION("""COMPUTED_VALUE"""),"Konata Mumpfield")</f>
        <v/>
      </c>
    </row>
    <row r="275" ht="15" customHeight="1" s="54">
      <c r="A275" s="45" t="n"/>
      <c r="B275">
        <f>IFERROR(__xludf.DUMMYFUNCTION("""COMPUTED_VALUE"""),"Jordan James")</f>
        <v/>
      </c>
    </row>
    <row r="276" ht="15" customHeight="1" s="54">
      <c r="A276" s="45" t="n"/>
      <c r="B276">
        <f>IFERROR(__xludf.DUMMYFUNCTION("""COMPUTED_VALUE"""),"Audric Estime")</f>
        <v/>
      </c>
    </row>
    <row r="277" ht="15" customHeight="1" s="54">
      <c r="A277" s="45" t="n"/>
      <c r="B277">
        <f>IFERROR(__xludf.DUMMYFUNCTION("""COMPUTED_VALUE"""),"Jerome Ford")</f>
        <v/>
      </c>
    </row>
    <row r="278" ht="15" customHeight="1" s="54">
      <c r="A278" s="45" t="n"/>
      <c r="B278">
        <f>IFERROR(__xludf.DUMMYFUNCTION("""COMPUTED_VALUE"""),"New Orleans Saints")</f>
        <v/>
      </c>
    </row>
    <row r="279" ht="15" customHeight="1" s="54">
      <c r="A279" s="45" t="n"/>
      <c r="B279">
        <f>IFERROR(__xludf.DUMMYFUNCTION("""COMPUTED_VALUE"""),"Kareem Hunt")</f>
        <v/>
      </c>
    </row>
    <row r="280" ht="15" customHeight="1" s="54">
      <c r="A280" s="45" t="n"/>
      <c r="B280">
        <f>IFERROR(__xludf.DUMMYFUNCTION("""COMPUTED_VALUE"""),"San Francisco 49ers")</f>
        <v/>
      </c>
    </row>
    <row r="281" ht="15" customHeight="1" s="54">
      <c r="A281" s="45" t="n"/>
      <c r="B281">
        <f>IFERROR(__xludf.DUMMYFUNCTION("""COMPUTED_VALUE"""),"Trevor Etienne")</f>
        <v/>
      </c>
    </row>
    <row r="282" ht="15" customHeight="1" s="54">
      <c r="A282" s="45" t="n"/>
      <c r="B282">
        <f>IFERROR(__xludf.DUMMYFUNCTION("""COMPUTED_VALUE"""),"Emari Demercado")</f>
        <v/>
      </c>
    </row>
    <row r="283" ht="15" customHeight="1" s="54">
      <c r="A283" s="45" t="n"/>
      <c r="B283">
        <f>IFERROR(__xludf.DUMMYFUNCTION("""COMPUTED_VALUE"""),"Aaron Rodgers")</f>
        <v/>
      </c>
    </row>
    <row r="284" ht="15" customHeight="1" s="54">
      <c r="A284" s="45" t="n"/>
      <c r="B284">
        <f>IFERROR(__xludf.DUMMYFUNCTION("""COMPUTED_VALUE"""),"Tahj Brooks")</f>
        <v/>
      </c>
    </row>
    <row r="285" ht="15" customHeight="1" s="54">
      <c r="A285" s="45" t="n"/>
      <c r="B285">
        <f>IFERROR(__xludf.DUMMYFUNCTION("""COMPUTED_VALUE"""),"Bam Knight")</f>
        <v/>
      </c>
    </row>
    <row r="286" ht="15" customHeight="1" s="54">
      <c r="A286" s="45" t="n"/>
      <c r="B286">
        <f>IFERROR(__xludf.DUMMYFUNCTION("""COMPUTED_VALUE"""),"Mac Jones")</f>
        <v/>
      </c>
    </row>
    <row r="287" ht="15" customHeight="1" s="54">
      <c r="A287" s="45" t="n"/>
      <c r="B287">
        <f>IFERROR(__xludf.DUMMYFUNCTION("""COMPUTED_VALUE"""),"Tez Johnson")</f>
        <v/>
      </c>
    </row>
    <row r="288" ht="15" customHeight="1" s="54">
      <c r="A288" s="45" t="n"/>
      <c r="B288">
        <f>IFERROR(__xludf.DUMMYFUNCTION("""COMPUTED_VALUE"""),"Ty Simpson")</f>
        <v/>
      </c>
    </row>
    <row r="289" ht="15" customHeight="1" s="54">
      <c r="A289" s="45" t="n"/>
      <c r="B289">
        <f>IFERROR(__xludf.DUMMYFUNCTION("""COMPUTED_VALUE"""),"Nick Chubb")</f>
        <v/>
      </c>
    </row>
    <row r="290" ht="15" customHeight="1" s="54">
      <c r="A290" s="45" t="n"/>
      <c r="B290">
        <f>IFERROR(__xludf.DUMMYFUNCTION("""COMPUTED_VALUE"""),"Jake Tonges")</f>
        <v/>
      </c>
    </row>
    <row r="291" ht="15" customHeight="1" s="54">
      <c r="A291" s="45" t="n"/>
      <c r="B291">
        <f>IFERROR(__xludf.DUMMYFUNCTION("""COMPUTED_VALUE"""),"Jalen Royals")</f>
        <v/>
      </c>
    </row>
    <row r="292" ht="15" customHeight="1" s="54">
      <c r="A292" s="45" t="n"/>
      <c r="B292">
        <f>IFERROR(__xludf.DUMMYFUNCTION("""COMPUTED_VALUE"""),"Will Shipley")</f>
        <v/>
      </c>
    </row>
    <row r="293" ht="15" customHeight="1" s="54">
      <c r="A293" s="45" t="n"/>
      <c r="B293">
        <f>IFERROR(__xludf.DUMMYFUNCTION("""COMPUTED_VALUE"""),"Will Reichard")</f>
        <v/>
      </c>
    </row>
    <row r="294" ht="15" customHeight="1" s="54">
      <c r="A294" s="45" t="n"/>
      <c r="B294">
        <f>IFERROR(__xludf.DUMMYFUNCTION("""COMPUTED_VALUE"""),"Dont'e Thornton Jr.")</f>
        <v/>
      </c>
    </row>
    <row r="295" ht="15" customHeight="1" s="54">
      <c r="A295" s="45" t="n"/>
      <c r="B295">
        <f>IFERROR(__xludf.DUMMYFUNCTION("""COMPUTED_VALUE"""),"Michael Carter")</f>
        <v/>
      </c>
    </row>
    <row r="296" ht="15" customHeight="1" s="54">
      <c r="A296" s="45" t="n"/>
      <c r="B296">
        <f>IFERROR(__xludf.DUMMYFUNCTION("""COMPUTED_VALUE"""),"Tommy Myers")</f>
        <v/>
      </c>
    </row>
    <row r="297" ht="15" customHeight="1" s="54">
      <c r="A297" s="45" t="n"/>
      <c r="B297">
        <f>IFERROR(__xludf.DUMMYFUNCTION("""COMPUTED_VALUE"""),"Noah Gray")</f>
        <v/>
      </c>
    </row>
    <row r="298" ht="15" customHeight="1" s="54">
      <c r="A298" s="45" t="n"/>
      <c r="B298">
        <f>IFERROR(__xludf.DUMMYFUNCTION("""COMPUTED_VALUE"""),"DeMario Douglas")</f>
        <v/>
      </c>
    </row>
    <row r="299" ht="15" customHeight="1" s="54">
      <c r="A299" s="45" t="n"/>
      <c r="B299">
        <f>IFERROR(__xludf.DUMMYFUNCTION("""COMPUTED_VALUE"""),"Olamide Zaccheaus")</f>
        <v/>
      </c>
    </row>
    <row r="300" ht="15" customHeight="1" s="54">
      <c r="A300" s="45" t="n"/>
      <c r="B300">
        <f>IFERROR(__xludf.DUMMYFUNCTION("""COMPUTED_VALUE"""),"Anthony Richardson Sr.")</f>
        <v/>
      </c>
    </row>
    <row r="301" ht="15" customHeight="1" s="54">
      <c r="A301" s="45" t="n"/>
      <c r="B301">
        <f>IFERROR(__xludf.DUMMYFUNCTION("""COMPUTED_VALUE"""),"Greg Dulcich")</f>
        <v/>
      </c>
    </row>
    <row r="302" ht="15" customHeight="1" s="54">
      <c r="A302" s="45" t="n"/>
      <c r="B302">
        <f>IFERROR(__xludf.DUMMYFUNCTION("""COMPUTED_VALUE"""),"Xavier Hutchinson")</f>
        <v/>
      </c>
    </row>
    <row r="303" ht="15" customHeight="1" s="54">
      <c r="A303" s="45" t="n"/>
      <c r="B303">
        <f>IFERROR(__xludf.DUMMYFUNCTION("""COMPUTED_VALUE"""),"Joshua Palmer")</f>
        <v/>
      </c>
    </row>
    <row r="304" ht="15" customHeight="1" s="54">
      <c r="A304" s="45" t="n"/>
      <c r="B304">
        <f>IFERROR(__xludf.DUMMYFUNCTION("""COMPUTED_VALUE"""),"Jaylin Lane")</f>
        <v/>
      </c>
    </row>
    <row r="305" ht="15" customHeight="1" s="54">
      <c r="A305" s="45" t="n"/>
      <c r="B305">
        <f>IFERROR(__xludf.DUMMYFUNCTION("""COMPUTED_VALUE"""),"John Metchie III")</f>
        <v/>
      </c>
    </row>
    <row r="306" ht="15" customHeight="1" s="54">
      <c r="A306" s="45" t="n"/>
      <c r="B306">
        <f>IFERROR(__xludf.DUMMYFUNCTION("""COMPUTED_VALUE"""),"Darren Waller")</f>
        <v/>
      </c>
    </row>
    <row r="307" ht="15" customHeight="1" s="54">
      <c r="A307" s="45" t="n"/>
      <c r="B307">
        <f>IFERROR(__xludf.DUMMYFUNCTION("""COMPUTED_VALUE"""),"Austin Ekeler")</f>
        <v/>
      </c>
    </row>
    <row r="308" ht="15" customHeight="1" s="54">
      <c r="A308" s="45" t="n"/>
      <c r="B308">
        <f>IFERROR(__xludf.DUMMYFUNCTION("""COMPUTED_VALUE"""),"Zane Gonzalez")</f>
        <v/>
      </c>
    </row>
    <row r="309" ht="15" customHeight="1" s="54">
      <c r="A309" s="45" t="n"/>
      <c r="B309">
        <f>IFERROR(__xludf.DUMMYFUNCTION("""COMPUTED_VALUE"""),"John Bates")</f>
        <v/>
      </c>
    </row>
    <row r="310" ht="15" customHeight="1" s="54">
      <c r="A310" s="45" t="n"/>
      <c r="B310">
        <f>IFERROR(__xludf.DUMMYFUNCTION("""COMPUTED_VALUE"""),"Elijah Arroyo")</f>
        <v/>
      </c>
    </row>
    <row r="311" ht="15" customHeight="1" s="54">
      <c r="A311" s="45" t="n"/>
      <c r="B311">
        <f>IFERROR(__xludf.DUMMYFUNCTION("""COMPUTED_VALUE"""),"Carolina Panthers")</f>
        <v/>
      </c>
    </row>
    <row r="312" ht="15" customHeight="1" s="54">
      <c r="A312" s="45" t="n"/>
      <c r="B312">
        <f>IFERROR(__xludf.DUMMYFUNCTION("""COMPUTED_VALUE"""),"Seth McGowan")</f>
        <v/>
      </c>
    </row>
    <row r="313" ht="15" customHeight="1" s="54">
      <c r="A313" s="45" t="n"/>
      <c r="B313">
        <f>IFERROR(__xludf.DUMMYFUNCTION("""COMPUTED_VALUE"""),"Le'Veon Moss")</f>
        <v/>
      </c>
    </row>
    <row r="314" ht="15" customHeight="1" s="54">
      <c r="A314" s="45" t="n"/>
      <c r="B314">
        <f>IFERROR(__xludf.DUMMYFUNCTION("""COMPUTED_VALUE"""),"J'Mari Taylor")</f>
        <v/>
      </c>
    </row>
    <row r="315" ht="15" customHeight="1" s="54">
      <c r="A315" s="45" t="n"/>
      <c r="B315">
        <f>IFERROR(__xludf.DUMMYFUNCTION("""COMPUTED_VALUE"""),"Jahan Dotson")</f>
        <v/>
      </c>
    </row>
    <row r="316" ht="15" customHeight="1" s="54">
      <c r="A316" s="45" t="n"/>
      <c r="B316">
        <f>IFERROR(__xludf.DUMMYFUNCTION("""COMPUTED_VALUE"""),"Ben Sinnott")</f>
        <v/>
      </c>
    </row>
    <row r="317" ht="15" customHeight="1" s="54">
      <c r="A317" s="45" t="n"/>
      <c r="B317">
        <f>IFERROR(__xludf.DUMMYFUNCTION("""COMPUTED_VALUE"""),"Kirk Cousins")</f>
        <v/>
      </c>
    </row>
    <row r="318" ht="15" customHeight="1" s="54">
      <c r="A318" s="45" t="n"/>
      <c r="B318">
        <f>IFERROR(__xludf.DUMMYFUNCTION("""COMPUTED_VALUE"""),"Deshaun Watson")</f>
        <v/>
      </c>
    </row>
    <row r="319" ht="15" customHeight="1" s="54">
      <c r="A319" s="45" t="n"/>
      <c r="B319">
        <f>IFERROR(__xludf.DUMMYFUNCTION("""COMPUTED_VALUE"""),"Joe Milton III")</f>
        <v/>
      </c>
    </row>
    <row r="320" ht="15" customHeight="1" s="54">
      <c r="A320" s="45" t="n"/>
      <c r="B320">
        <f>IFERROR(__xludf.DUMMYFUNCTION("""COMPUTED_VALUE"""),"Kalif Raymond")</f>
        <v/>
      </c>
    </row>
    <row r="321" ht="15" customHeight="1" s="54">
      <c r="A321" s="45" t="n"/>
      <c r="B321">
        <f>IFERROR(__xludf.DUMMYFUNCTION("""COMPUTED_VALUE"""),"Antonio Williams")</f>
        <v/>
      </c>
    </row>
    <row r="322" ht="15" customHeight="1" s="54">
      <c r="A322" s="45" t="n"/>
      <c r="B322">
        <f>IFERROR(__xludf.DUMMYFUNCTION("""COMPUTED_VALUE"""),"Chicago Bears")</f>
        <v/>
      </c>
    </row>
    <row r="323" ht="15" customHeight="1" s="54">
      <c r="A323" s="45" t="n"/>
      <c r="B323">
        <f>IFERROR(__xludf.DUMMYFUNCTION("""COMPUTED_VALUE"""),"Jawhar Jordan")</f>
        <v/>
      </c>
    </row>
    <row r="324" ht="15" customHeight="1" s="54">
      <c r="A324" s="45" t="n"/>
      <c r="B324">
        <f>IFERROR(__xludf.DUMMYFUNCTION("""COMPUTED_VALUE"""),"Darnell Washington")</f>
        <v/>
      </c>
    </row>
    <row r="325" ht="15" customHeight="1" s="54">
      <c r="A325" s="45" t="n"/>
      <c r="B325">
        <f>IFERROR(__xludf.DUMMYFUNCTION("""COMPUTED_VALUE"""),"Dameon Pierce")</f>
        <v/>
      </c>
    </row>
    <row r="326" ht="15" customHeight="1" s="54">
      <c r="A326" s="45" t="n"/>
      <c r="B326">
        <f>IFERROR(__xludf.DUMMYFUNCTION("""COMPUTED_VALUE"""),"Raheim Sanders")</f>
        <v/>
      </c>
    </row>
    <row r="327" ht="15" customHeight="1" s="54">
      <c r="A327" s="45" t="n"/>
      <c r="B327">
        <f>IFERROR(__xludf.DUMMYFUNCTION("""COMPUTED_VALUE"""),"Terrell Jennings")</f>
        <v/>
      </c>
    </row>
    <row r="328" ht="15" customHeight="1" s="54">
      <c r="A328" s="45" t="n"/>
      <c r="B328">
        <f>IFERROR(__xludf.DUMMYFUNCTION("""COMPUTED_VALUE"""),"Antonio Gibson")</f>
        <v/>
      </c>
    </row>
    <row r="329" ht="15" customHeight="1" s="54">
      <c r="A329" s="45" t="n"/>
      <c r="B329">
        <f>IFERROR(__xludf.DUMMYFUNCTION("""COMPUTED_VALUE"""),"Justin Fields")</f>
        <v/>
      </c>
    </row>
    <row r="330" ht="15" customHeight="1" s="54">
      <c r="A330" s="45" t="n"/>
      <c r="B330">
        <f>IFERROR(__xludf.DUMMYFUNCTION("""COMPUTED_VALUE"""),"Tutu Atwell")</f>
        <v/>
      </c>
    </row>
    <row r="331" ht="15" customHeight="1" s="54">
      <c r="A331" s="45" t="n"/>
      <c r="B331">
        <f>IFERROR(__xludf.DUMMYFUNCTION("""COMPUTED_VALUE"""),"Miami Dolphins")</f>
        <v/>
      </c>
    </row>
    <row r="332" ht="15" customHeight="1" s="54">
      <c r="A332" s="45" t="n"/>
      <c r="B332">
        <f>IFERROR(__xludf.DUMMYFUNCTION("""COMPUTED_VALUE"""),"Tyler Higbee")</f>
        <v/>
      </c>
    </row>
    <row r="333" ht="15" customHeight="1" s="54">
      <c r="A333" s="45" t="n"/>
      <c r="B333">
        <f>IFERROR(__xludf.DUMMYFUNCTION("""COMPUTED_VALUE"""),"Michael Mayer")</f>
        <v/>
      </c>
    </row>
    <row r="334" ht="15" customHeight="1" s="54">
      <c r="A334" s="45" t="n"/>
      <c r="B334">
        <f>IFERROR(__xludf.DUMMYFUNCTION("""COMPUTED_VALUE"""),"Jalen Tolbert")</f>
        <v/>
      </c>
    </row>
    <row r="335" ht="15" customHeight="1" s="54">
      <c r="A335" s="45" t="n"/>
      <c r="B335">
        <f>IFERROR(__xludf.DUMMYFUNCTION("""COMPUTED_VALUE"""),"Ted Hurst")</f>
        <v/>
      </c>
    </row>
    <row r="336" ht="15" customHeight="1" s="54">
      <c r="A336" s="45" t="n"/>
      <c r="B336">
        <f>IFERROR(__xludf.DUMMYFUNCTION("""COMPUTED_VALUE"""),"Skyler Bell")</f>
        <v/>
      </c>
    </row>
    <row r="337" ht="15" customHeight="1" s="54">
      <c r="A337" s="45" t="n"/>
      <c r="B337">
        <f>IFERROR(__xludf.DUMMYFUNCTION("""COMPUTED_VALUE"""),"Ja'Kobi Lane")</f>
        <v/>
      </c>
    </row>
    <row r="338" ht="15" customHeight="1" s="54">
      <c r="A338" s="45" t="n"/>
      <c r="B338">
        <f>IFERROR(__xludf.DUMMYFUNCTION("""COMPUTED_VALUE"""),"Marcus Mariota")</f>
        <v/>
      </c>
    </row>
    <row r="339" ht="15" customHeight="1" s="54">
      <c r="A339" s="45" t="n"/>
      <c r="B339">
        <f>IFERROR(__xludf.DUMMYFUNCTION("""COMPUTED_VALUE"""),"Noah Fant")</f>
        <v/>
      </c>
    </row>
    <row r="340" ht="15" customHeight="1" s="54">
      <c r="A340" s="45" t="n"/>
      <c r="B340">
        <f>IFERROR(__xludf.DUMMYFUNCTION("""COMPUTED_VALUE"""),"Michael Trigg")</f>
        <v/>
      </c>
    </row>
    <row r="341" ht="15" customHeight="1" s="54">
      <c r="A341" s="45" t="n"/>
      <c r="B341">
        <f>IFERROR(__xludf.DUMMYFUNCTION("""COMPUTED_VALUE"""),"Dawson Knox")</f>
        <v/>
      </c>
    </row>
    <row r="342" ht="15" customHeight="1" s="54">
      <c r="A342" s="45" t="n"/>
      <c r="B342">
        <f>IFERROR(__xludf.DUMMYFUNCTION("""COMPUTED_VALUE"""),"Joe Flacco")</f>
        <v/>
      </c>
    </row>
    <row r="343" ht="15" customHeight="1" s="54">
      <c r="A343" s="45" t="n"/>
      <c r="B343">
        <f>IFERROR(__xludf.DUMMYFUNCTION("""COMPUTED_VALUE"""),"Luke Musgrave")</f>
        <v/>
      </c>
    </row>
    <row r="344" ht="15" customHeight="1" s="54">
      <c r="A344" s="45" t="n"/>
    </row>
    <row r="345" ht="15" customHeight="1" s="54">
      <c r="A345" s="45" t="n"/>
    </row>
    <row r="346" ht="15" customHeight="1" s="54">
      <c r="A346" s="45" t="n"/>
    </row>
    <row r="347" ht="15" customHeight="1" s="54">
      <c r="A347" s="45" t="n"/>
    </row>
    <row r="348" ht="15" customHeight="1" s="54">
      <c r="A348" s="45" t="n"/>
    </row>
    <row r="349" ht="15" customHeight="1" s="54">
      <c r="A349" s="45" t="n"/>
    </row>
    <row r="350" ht="15" customHeight="1" s="54">
      <c r="A350" s="45" t="n"/>
    </row>
    <row r="351" ht="15" customHeight="1" s="54">
      <c r="A351" s="45" t="n"/>
    </row>
    <row r="352" ht="15" customHeight="1" s="54">
      <c r="A352" s="45" t="n"/>
    </row>
    <row r="353" ht="15" customHeight="1" s="54">
      <c r="A353" s="45" t="n"/>
    </row>
    <row r="354" ht="15" customHeight="1" s="54">
      <c r="A354" s="45" t="n"/>
    </row>
    <row r="355" ht="15" customHeight="1" s="54">
      <c r="A355" s="45" t="n"/>
    </row>
    <row r="356" ht="15" customHeight="1" s="54">
      <c r="A356" s="45" t="n"/>
    </row>
    <row r="357" ht="15" customHeight="1" s="54">
      <c r="A357" s="45" t="n"/>
    </row>
    <row r="358" ht="15" customHeight="1" s="54">
      <c r="A358" s="45" t="n"/>
    </row>
    <row r="359" ht="15" customHeight="1" s="54">
      <c r="A359" s="45" t="n"/>
    </row>
    <row r="360" ht="15" customHeight="1" s="54">
      <c r="A360" s="45" t="n"/>
    </row>
    <row r="361" ht="15" customHeight="1" s="54">
      <c r="A361" s="45" t="n"/>
    </row>
    <row r="362" ht="15" customHeight="1" s="54">
      <c r="A362" s="45" t="n"/>
    </row>
    <row r="363" ht="15" customHeight="1" s="54">
      <c r="A363" s="45" t="n"/>
    </row>
    <row r="364" ht="15" customHeight="1" s="54">
      <c r="A364" s="45" t="n"/>
    </row>
    <row r="365" ht="15" customHeight="1" s="54">
      <c r="A365" s="45" t="n"/>
    </row>
    <row r="366" ht="15" customHeight="1" s="54">
      <c r="A366" s="45" t="n"/>
    </row>
    <row r="367" ht="15" customHeight="1" s="54">
      <c r="A367" s="45" t="n"/>
    </row>
    <row r="368" ht="15" customHeight="1" s="54">
      <c r="A368" s="45" t="n"/>
    </row>
    <row r="369" ht="15" customHeight="1" s="54">
      <c r="A369" s="45" t="n"/>
    </row>
    <row r="370" ht="15" customHeight="1" s="54">
      <c r="A370" s="45" t="n"/>
    </row>
    <row r="371" ht="15" customHeight="1" s="54">
      <c r="A371" s="45" t="n"/>
    </row>
    <row r="372" ht="15" customHeight="1" s="54">
      <c r="A372" s="45" t="n"/>
    </row>
    <row r="373" ht="15" customHeight="1" s="54">
      <c r="A373" s="45" t="n"/>
    </row>
    <row r="374" ht="15" customHeight="1" s="54">
      <c r="A374" s="45" t="n"/>
    </row>
    <row r="375" ht="15" customHeight="1" s="54">
      <c r="A375" s="45" t="n"/>
    </row>
    <row r="376" ht="15" customHeight="1" s="54">
      <c r="A376" s="45" t="n"/>
    </row>
    <row r="377" ht="15" customHeight="1" s="54">
      <c r="A377" s="45" t="n"/>
    </row>
    <row r="378" ht="15" customHeight="1" s="54">
      <c r="A378" s="45" t="n"/>
    </row>
    <row r="379" ht="15" customHeight="1" s="54">
      <c r="A379" s="45" t="n"/>
    </row>
    <row r="380" ht="15" customHeight="1" s="54">
      <c r="A380" s="45" t="n"/>
    </row>
    <row r="381" ht="15" customHeight="1" s="54">
      <c r="A381" s="45" t="n"/>
    </row>
    <row r="382" ht="15" customHeight="1" s="54">
      <c r="A382" s="45" t="n"/>
    </row>
    <row r="383" ht="15" customHeight="1" s="54">
      <c r="A383" s="45" t="n"/>
    </row>
    <row r="384" ht="15" customHeight="1" s="54">
      <c r="A384" s="45" t="n"/>
    </row>
    <row r="385" ht="15" customHeight="1" s="54">
      <c r="A385" s="45" t="n"/>
    </row>
    <row r="386" ht="15" customHeight="1" s="54">
      <c r="A386" s="45" t="n"/>
    </row>
    <row r="387" ht="15" customHeight="1" s="54">
      <c r="A387" s="45" t="n"/>
    </row>
    <row r="388" ht="15" customHeight="1" s="54">
      <c r="A388" s="45" t="n"/>
    </row>
    <row r="389" ht="15" customHeight="1" s="54">
      <c r="A389" s="45" t="n"/>
    </row>
    <row r="390" ht="15" customHeight="1" s="54">
      <c r="A390" s="45" t="n"/>
    </row>
    <row r="391" ht="15" customHeight="1" s="54">
      <c r="A391" s="45" t="n"/>
    </row>
    <row r="392" ht="15" customHeight="1" s="54">
      <c r="A392" s="45" t="n"/>
    </row>
    <row r="393" ht="15" customHeight="1" s="54">
      <c r="A393" s="45" t="n"/>
    </row>
    <row r="394" ht="15" customHeight="1" s="54">
      <c r="A394" s="45" t="n"/>
    </row>
    <row r="395" ht="15" customHeight="1" s="54">
      <c r="A395" s="45" t="n"/>
    </row>
    <row r="396" ht="15" customHeight="1" s="54">
      <c r="A396" s="45" t="n"/>
    </row>
    <row r="397" ht="15" customHeight="1" s="54">
      <c r="A397" s="45" t="n"/>
    </row>
    <row r="398" ht="15" customHeight="1" s="54">
      <c r="A398" s="45" t="n"/>
    </row>
    <row r="399" ht="15" customHeight="1" s="54">
      <c r="A399" s="45" t="n"/>
    </row>
    <row r="400" ht="15" customHeight="1" s="54">
      <c r="A400" s="45" t="n"/>
    </row>
    <row r="401" ht="15" customHeight="1" s="54">
      <c r="A401" s="45" t="n"/>
    </row>
    <row r="402" ht="15" customHeight="1" s="54">
      <c r="A402" s="45" t="n"/>
    </row>
    <row r="403" ht="15" customHeight="1" s="54">
      <c r="A403" s="45" t="n"/>
    </row>
    <row r="404" ht="15" customHeight="1" s="54">
      <c r="A404" s="45" t="n"/>
    </row>
    <row r="405" ht="15" customHeight="1" s="54">
      <c r="A405" s="45" t="n"/>
    </row>
    <row r="406" ht="15" customHeight="1" s="54">
      <c r="A406" s="45" t="n"/>
    </row>
    <row r="407" ht="15" customHeight="1" s="54">
      <c r="A407" s="45" t="n"/>
    </row>
    <row r="408" ht="15" customHeight="1" s="54">
      <c r="A408" s="45" t="n"/>
    </row>
    <row r="409" ht="15" customHeight="1" s="54">
      <c r="A409" s="45" t="n"/>
    </row>
    <row r="410" ht="15" customHeight="1" s="54">
      <c r="A410" s="45" t="n"/>
    </row>
    <row r="411" ht="15" customHeight="1" s="54">
      <c r="A411" s="45" t="n"/>
    </row>
    <row r="412" ht="15" customHeight="1" s="54">
      <c r="A412" s="45" t="n"/>
    </row>
    <row r="413" ht="15" customHeight="1" s="54">
      <c r="A413" s="45" t="n"/>
    </row>
    <row r="414" ht="15" customHeight="1" s="54">
      <c r="A414" s="45" t="n"/>
    </row>
    <row r="415" ht="15" customHeight="1" s="54">
      <c r="A415" s="45" t="n"/>
    </row>
    <row r="416" ht="15" customHeight="1" s="54">
      <c r="A416" s="45" t="n"/>
    </row>
    <row r="417" ht="15" customHeight="1" s="54">
      <c r="A417" s="45" t="n"/>
    </row>
    <row r="418" ht="15" customHeight="1" s="54">
      <c r="A418" s="45" t="n"/>
    </row>
    <row r="419" ht="15" customHeight="1" s="54">
      <c r="A419" s="45" t="n"/>
    </row>
    <row r="420" ht="15" customHeight="1" s="54">
      <c r="A420" s="45" t="n"/>
    </row>
    <row r="421" ht="15" customHeight="1" s="54">
      <c r="A421" s="45" t="n"/>
    </row>
    <row r="422" ht="15" customHeight="1" s="54">
      <c r="A422" s="45" t="n"/>
    </row>
    <row r="423" ht="15" customHeight="1" s="54">
      <c r="A423" s="45" t="n"/>
    </row>
    <row r="424" ht="15" customHeight="1" s="54">
      <c r="A424" s="45" t="n"/>
    </row>
    <row r="425" ht="15" customHeight="1" s="54">
      <c r="A425" s="45" t="n"/>
    </row>
    <row r="426" ht="15" customHeight="1" s="54">
      <c r="A426" s="45" t="n"/>
    </row>
    <row r="427" ht="15" customHeight="1" s="54">
      <c r="A427" s="45" t="n"/>
    </row>
    <row r="428" ht="15" customHeight="1" s="54">
      <c r="A428" s="45" t="n"/>
    </row>
    <row r="429" ht="15" customHeight="1" s="54">
      <c r="A429" s="45" t="n"/>
    </row>
    <row r="430" ht="15" customHeight="1" s="54">
      <c r="A430" s="45" t="n"/>
    </row>
    <row r="431" ht="15" customHeight="1" s="54">
      <c r="A431" s="45" t="n"/>
    </row>
    <row r="432" ht="15" customHeight="1" s="54">
      <c r="A432" s="45" t="n"/>
    </row>
    <row r="433" ht="15" customHeight="1" s="54">
      <c r="A433" s="45" t="n"/>
    </row>
    <row r="434" ht="15" customHeight="1" s="54">
      <c r="A434" s="45" t="n"/>
    </row>
    <row r="435" ht="15" customHeight="1" s="54">
      <c r="A435" s="45" t="n"/>
    </row>
    <row r="436" ht="15" customHeight="1" s="54">
      <c r="A436" s="45" t="n"/>
    </row>
    <row r="437" ht="15" customHeight="1" s="54">
      <c r="A437" s="45" t="n"/>
    </row>
    <row r="438" ht="15" customHeight="1" s="54">
      <c r="A438" s="45" t="n"/>
    </row>
    <row r="439" ht="15" customHeight="1" s="54">
      <c r="A439" s="45" t="n"/>
    </row>
    <row r="440" ht="15" customHeight="1" s="54">
      <c r="A440" s="45" t="n"/>
    </row>
    <row r="441" ht="15" customHeight="1" s="54">
      <c r="A441" s="45" t="n"/>
    </row>
    <row r="442" ht="15" customHeight="1" s="54">
      <c r="A442" s="45" t="n"/>
    </row>
    <row r="443" ht="15" customHeight="1" s="54">
      <c r="A443" s="45" t="n"/>
    </row>
    <row r="444" ht="15" customHeight="1" s="54">
      <c r="A444" s="45" t="n"/>
    </row>
    <row r="445" ht="15" customHeight="1" s="54">
      <c r="A445" s="45" t="n"/>
    </row>
    <row r="446" ht="15" customHeight="1" s="54">
      <c r="A446" s="45" t="n"/>
    </row>
    <row r="447" ht="15" customHeight="1" s="54">
      <c r="A447" s="45" t="n"/>
    </row>
    <row r="448" ht="15" customHeight="1" s="54">
      <c r="A448" s="45" t="n"/>
    </row>
    <row r="449" ht="15" customHeight="1" s="54">
      <c r="A449" s="45" t="n"/>
    </row>
    <row r="450" ht="15" customHeight="1" s="54">
      <c r="A450" s="45" t="n"/>
    </row>
    <row r="451" ht="15" customHeight="1" s="54">
      <c r="A451" s="45" t="n"/>
    </row>
    <row r="452" ht="15" customHeight="1" s="54">
      <c r="A452" s="45" t="n"/>
    </row>
    <row r="453" ht="15" customHeight="1" s="54">
      <c r="A453" s="45" t="n"/>
    </row>
    <row r="454" ht="15" customHeight="1" s="54">
      <c r="A454" s="45" t="n"/>
    </row>
    <row r="455" ht="15" customHeight="1" s="54">
      <c r="A455" s="45" t="n"/>
    </row>
    <row r="456" ht="15" customHeight="1" s="54">
      <c r="A456" s="45" t="n"/>
    </row>
    <row r="457" ht="15" customHeight="1" s="54">
      <c r="A457" s="45" t="n"/>
    </row>
    <row r="458" ht="15" customHeight="1" s="54">
      <c r="A458" s="45" t="n"/>
    </row>
    <row r="459" ht="15" customHeight="1" s="54">
      <c r="A459" s="45" t="n"/>
    </row>
    <row r="460" ht="15" customHeight="1" s="54">
      <c r="A460" s="45" t="n"/>
    </row>
    <row r="461" ht="15" customHeight="1" s="54">
      <c r="A461" s="45" t="n"/>
    </row>
    <row r="462" ht="15" customHeight="1" s="54">
      <c r="A462" s="45" t="n"/>
    </row>
    <row r="463" ht="15" customHeight="1" s="54">
      <c r="A463" s="45" t="n"/>
    </row>
    <row r="464" ht="15" customHeight="1" s="54">
      <c r="A464" s="45" t="n"/>
    </row>
    <row r="465" ht="15" customHeight="1" s="54">
      <c r="A465" s="45" t="n"/>
    </row>
    <row r="466" ht="15" customHeight="1" s="54">
      <c r="A466" s="45" t="n"/>
    </row>
    <row r="467" ht="15" customHeight="1" s="54">
      <c r="A467" s="45" t="n"/>
    </row>
    <row r="468" ht="15" customHeight="1" s="54">
      <c r="A468" s="45" t="n"/>
    </row>
    <row r="469" ht="15" customHeight="1" s="54">
      <c r="A469" s="45" t="n"/>
    </row>
    <row r="470" ht="15" customHeight="1" s="54">
      <c r="A470" s="45" t="n"/>
    </row>
    <row r="471" ht="15" customHeight="1" s="54">
      <c r="A471" s="45" t="n"/>
    </row>
    <row r="472" ht="15" customHeight="1" s="54">
      <c r="A472" s="45" t="n"/>
    </row>
    <row r="473" ht="15" customHeight="1" s="54">
      <c r="A473" s="45" t="n"/>
    </row>
    <row r="474" ht="15" customHeight="1" s="54">
      <c r="A474" s="45" t="n"/>
    </row>
    <row r="475" ht="15" customHeight="1" s="54">
      <c r="A475" s="45" t="n"/>
    </row>
    <row r="476" ht="15" customHeight="1" s="54">
      <c r="A476" s="45" t="n"/>
    </row>
    <row r="477" ht="15" customHeight="1" s="54">
      <c r="A477" s="45" t="n"/>
    </row>
    <row r="478" ht="15" customHeight="1" s="54">
      <c r="A478" s="45" t="n"/>
    </row>
    <row r="479" ht="15" customHeight="1" s="54">
      <c r="A479" s="45" t="n"/>
    </row>
    <row r="480" ht="15" customHeight="1" s="54">
      <c r="A480" s="45" t="n"/>
    </row>
    <row r="481" ht="15" customHeight="1" s="54">
      <c r="A481" s="45" t="n"/>
    </row>
    <row r="482" ht="15" customHeight="1" s="54">
      <c r="A482" s="45" t="n"/>
    </row>
    <row r="483" ht="15" customHeight="1" s="54">
      <c r="A483" s="45" t="n"/>
    </row>
    <row r="484" ht="15" customHeight="1" s="54">
      <c r="A484" s="45" t="n"/>
    </row>
    <row r="485" ht="15" customHeight="1" s="54">
      <c r="A485" s="45" t="n"/>
    </row>
    <row r="486" ht="15" customHeight="1" s="54">
      <c r="A486" s="45" t="n"/>
    </row>
    <row r="487" ht="15" customHeight="1" s="54">
      <c r="A487" s="45" t="n"/>
    </row>
    <row r="488" ht="15" customHeight="1" s="54">
      <c r="A488" s="45" t="n"/>
    </row>
    <row r="489" ht="15" customHeight="1" s="54">
      <c r="A489" s="45" t="n"/>
    </row>
    <row r="490" ht="15" customHeight="1" s="54">
      <c r="A490" s="45" t="n"/>
    </row>
    <row r="491" ht="15" customHeight="1" s="54">
      <c r="A491" s="45" t="n"/>
    </row>
    <row r="492" ht="15" customHeight="1" s="54">
      <c r="A492" s="45" t="n"/>
    </row>
    <row r="493" ht="15" customHeight="1" s="54">
      <c r="A493" s="45" t="n"/>
    </row>
    <row r="494" ht="15" customHeight="1" s="54">
      <c r="A494" s="45" t="n"/>
    </row>
    <row r="495" ht="15" customHeight="1" s="54">
      <c r="A495" s="45" t="n"/>
    </row>
    <row r="496" ht="15" customHeight="1" s="54">
      <c r="A496" s="45" t="n"/>
    </row>
    <row r="497" ht="15" customHeight="1" s="54">
      <c r="A497" s="45" t="n"/>
    </row>
    <row r="498" ht="15" customHeight="1" s="54">
      <c r="A498" s="45" t="n"/>
    </row>
    <row r="499" ht="15" customHeight="1" s="54">
      <c r="A499" s="45" t="n"/>
    </row>
    <row r="500" ht="15" customHeight="1" s="54">
      <c r="A500" s="45" t="n"/>
    </row>
    <row r="501" ht="15" customHeight="1" s="54">
      <c r="A501" s="45" t="n"/>
    </row>
    <row r="502" ht="15" customHeight="1" s="54">
      <c r="A502" s="45" t="n"/>
    </row>
    <row r="503" ht="15" customHeight="1" s="54">
      <c r="A503" s="45" t="n"/>
    </row>
    <row r="504" ht="15" customHeight="1" s="54">
      <c r="A504" s="45" t="n"/>
    </row>
    <row r="505" ht="15" customHeight="1" s="54">
      <c r="A505" s="45" t="n"/>
    </row>
    <row r="506" ht="15" customHeight="1" s="54">
      <c r="A506" s="45" t="n"/>
    </row>
    <row r="507" ht="15" customHeight="1" s="54">
      <c r="A507" s="45" t="n"/>
    </row>
    <row r="508" ht="15" customHeight="1" s="54">
      <c r="A508" s="45" t="n"/>
    </row>
    <row r="509" ht="15" customHeight="1" s="54">
      <c r="A509" s="45" t="n"/>
    </row>
    <row r="510" ht="15" customHeight="1" s="54">
      <c r="A510" s="45" t="n"/>
    </row>
    <row r="511" ht="15" customHeight="1" s="54">
      <c r="A511" s="45" t="n"/>
    </row>
    <row r="512" ht="15" customHeight="1" s="54">
      <c r="A512" s="45" t="n"/>
    </row>
    <row r="513" ht="15" customHeight="1" s="54">
      <c r="A513" s="45" t="n"/>
    </row>
    <row r="514" ht="15" customHeight="1" s="54">
      <c r="A514" s="45" t="n"/>
    </row>
    <row r="515" ht="15" customHeight="1" s="54">
      <c r="A515" s="45" t="n"/>
    </row>
    <row r="516" ht="15" customHeight="1" s="54">
      <c r="A516" s="45" t="n"/>
    </row>
    <row r="517" ht="15" customHeight="1" s="54">
      <c r="A517" s="45" t="n"/>
    </row>
    <row r="518" ht="15" customHeight="1" s="54">
      <c r="A518" s="45" t="n"/>
    </row>
    <row r="519" ht="15" customHeight="1" s="54">
      <c r="A519" s="45" t="n"/>
    </row>
    <row r="520" ht="15" customHeight="1" s="54">
      <c r="A520" s="45" t="n"/>
    </row>
    <row r="521" ht="15" customHeight="1" s="54">
      <c r="A521" s="45" t="n"/>
    </row>
    <row r="522" ht="15" customHeight="1" s="54">
      <c r="A522" s="45" t="n"/>
    </row>
    <row r="523" ht="15" customHeight="1" s="54">
      <c r="A523" s="45" t="n"/>
    </row>
    <row r="524" ht="15" customHeight="1" s="54">
      <c r="A524" s="45" t="n"/>
    </row>
    <row r="525" ht="15" customHeight="1" s="54">
      <c r="A525" s="45" t="n"/>
    </row>
    <row r="526" ht="15" customHeight="1" s="54">
      <c r="A526" s="45" t="n"/>
    </row>
    <row r="527" ht="15" customHeight="1" s="54">
      <c r="A527" s="45" t="n"/>
    </row>
    <row r="528" ht="15" customHeight="1" s="54">
      <c r="A528" s="45" t="n"/>
    </row>
    <row r="529" ht="15" customHeight="1" s="54">
      <c r="A529" s="45" t="n"/>
    </row>
    <row r="530" ht="15" customHeight="1" s="54">
      <c r="A530" s="45" t="n"/>
    </row>
    <row r="531" ht="15" customHeight="1" s="54">
      <c r="A531" s="45" t="n"/>
    </row>
    <row r="532" ht="15" customHeight="1" s="54">
      <c r="A532" s="45" t="n"/>
    </row>
    <row r="533" ht="15" customHeight="1" s="54">
      <c r="A533" s="45" t="n"/>
    </row>
    <row r="534" ht="15" customHeight="1" s="54">
      <c r="A534" s="45" t="n"/>
    </row>
    <row r="535" ht="15" customHeight="1" s="54">
      <c r="A535" s="45" t="n"/>
    </row>
    <row r="536" ht="15" customHeight="1" s="54">
      <c r="A536" s="45" t="n"/>
    </row>
    <row r="537" ht="15" customHeight="1" s="54">
      <c r="A537" s="45" t="n"/>
    </row>
    <row r="538" ht="15" customHeight="1" s="54">
      <c r="A538" s="45" t="n"/>
    </row>
    <row r="539" ht="15" customHeight="1" s="54">
      <c r="A539" s="45" t="n"/>
    </row>
    <row r="540" ht="15" customHeight="1" s="54">
      <c r="A540" s="45" t="n"/>
    </row>
    <row r="541" ht="15" customHeight="1" s="54">
      <c r="A541" s="45" t="n"/>
    </row>
    <row r="542" ht="15" customHeight="1" s="54">
      <c r="A542" s="45" t="n"/>
    </row>
    <row r="543" ht="15" customHeight="1" s="54">
      <c r="A543" s="45" t="n"/>
    </row>
    <row r="544" ht="15" customHeight="1" s="54">
      <c r="A544" s="45" t="n"/>
    </row>
    <row r="545" ht="15" customHeight="1" s="54">
      <c r="A545" s="45" t="n"/>
    </row>
    <row r="546" ht="15" customHeight="1" s="54">
      <c r="A546" s="45" t="n"/>
    </row>
    <row r="547" ht="15" customHeight="1" s="54">
      <c r="A547" s="45" t="n"/>
    </row>
    <row r="548" ht="15" customHeight="1" s="54">
      <c r="A548" s="45" t="n"/>
    </row>
    <row r="549" ht="15" customHeight="1" s="54">
      <c r="A549" s="45" t="n"/>
    </row>
    <row r="550" ht="15" customHeight="1" s="54">
      <c r="A550" s="45" t="n"/>
    </row>
    <row r="551" ht="15" customHeight="1" s="54">
      <c r="A551" s="45" t="n"/>
    </row>
    <row r="552" ht="15" customHeight="1" s="54">
      <c r="A552" s="45" t="n"/>
    </row>
    <row r="553" ht="15" customHeight="1" s="54">
      <c r="A553" s="45" t="n"/>
    </row>
    <row r="554" ht="15" customHeight="1" s="54">
      <c r="A554" s="45" t="n"/>
    </row>
    <row r="555" ht="15" customHeight="1" s="54">
      <c r="A555" s="45" t="n"/>
    </row>
    <row r="556" ht="15" customHeight="1" s="54">
      <c r="A556" s="45" t="n"/>
    </row>
    <row r="557" ht="15" customHeight="1" s="54">
      <c r="A557" s="45" t="n"/>
    </row>
    <row r="558" ht="15" customHeight="1" s="54">
      <c r="A558" s="45" t="n"/>
    </row>
    <row r="559" ht="15" customHeight="1" s="54">
      <c r="A559" s="45" t="n"/>
    </row>
    <row r="560" ht="15" customHeight="1" s="54">
      <c r="A560" s="45" t="n"/>
    </row>
    <row r="561" ht="15" customHeight="1" s="54">
      <c r="A561" s="45" t="n"/>
    </row>
    <row r="562" ht="15" customHeight="1" s="54">
      <c r="A562" s="45" t="n"/>
    </row>
    <row r="563" ht="15" customHeight="1" s="54">
      <c r="A563" s="45" t="n"/>
    </row>
    <row r="564" ht="15" customHeight="1" s="54">
      <c r="A564" s="45" t="n"/>
    </row>
    <row r="565" ht="15" customHeight="1" s="54">
      <c r="A565" s="45" t="n"/>
    </row>
    <row r="566" ht="15" customHeight="1" s="54">
      <c r="A566" s="45" t="n"/>
    </row>
    <row r="567" ht="15" customHeight="1" s="54">
      <c r="A567" s="45" t="n"/>
    </row>
    <row r="568" ht="15" customHeight="1" s="54">
      <c r="A568" s="45" t="n"/>
    </row>
    <row r="569" ht="15" customHeight="1" s="54">
      <c r="A569" s="45" t="n"/>
    </row>
    <row r="570" ht="15" customHeight="1" s="54">
      <c r="A570" s="45" t="n"/>
    </row>
    <row r="571" ht="15" customHeight="1" s="54">
      <c r="A571" s="45" t="n"/>
    </row>
    <row r="572" ht="15" customHeight="1" s="54">
      <c r="A572" s="45" t="n"/>
    </row>
    <row r="573" ht="15" customHeight="1" s="54">
      <c r="A573" s="45" t="n"/>
    </row>
    <row r="574" ht="15" customHeight="1" s="54">
      <c r="A574" s="45" t="n"/>
    </row>
    <row r="575" ht="15" customHeight="1" s="54">
      <c r="A575" s="45" t="n"/>
    </row>
    <row r="576" ht="15" customHeight="1" s="54">
      <c r="A576" s="45" t="n"/>
    </row>
    <row r="577" ht="15" customHeight="1" s="54">
      <c r="A577" s="45" t="n"/>
    </row>
    <row r="578" ht="15" customHeight="1" s="54">
      <c r="A578" s="45" t="n"/>
    </row>
    <row r="579" ht="15" customHeight="1" s="54">
      <c r="A579" s="45" t="n"/>
    </row>
    <row r="580" ht="15" customHeight="1" s="54">
      <c r="A580" s="45" t="n"/>
    </row>
    <row r="581" ht="15" customHeight="1" s="54">
      <c r="A581" s="45" t="n"/>
    </row>
    <row r="582" ht="15" customHeight="1" s="54">
      <c r="A582" s="45" t="n"/>
    </row>
    <row r="583" ht="15" customHeight="1" s="54">
      <c r="A583" s="45" t="n"/>
    </row>
    <row r="584" ht="15" customHeight="1" s="54">
      <c r="A584" s="45" t="n"/>
    </row>
    <row r="585" ht="15" customHeight="1" s="54">
      <c r="A585" s="45" t="n"/>
    </row>
    <row r="586" ht="15" customHeight="1" s="54">
      <c r="A586" s="45" t="n"/>
    </row>
    <row r="587" ht="15" customHeight="1" s="54">
      <c r="A587" s="45" t="n"/>
    </row>
    <row r="588" ht="15" customHeight="1" s="54">
      <c r="A588" s="45" t="n"/>
    </row>
    <row r="589" ht="15" customHeight="1" s="54">
      <c r="A589" s="45" t="n"/>
    </row>
    <row r="590" ht="15" customHeight="1" s="54">
      <c r="A590" s="45" t="n"/>
    </row>
    <row r="591" ht="15" customHeight="1" s="54">
      <c r="A591" s="45" t="n"/>
    </row>
    <row r="592" ht="15" customHeight="1" s="54">
      <c r="A592" s="45" t="n"/>
    </row>
    <row r="593" ht="15" customHeight="1" s="54">
      <c r="A593" s="45" t="n"/>
    </row>
    <row r="594" ht="15" customHeight="1" s="54">
      <c r="A594" s="45" t="n"/>
    </row>
    <row r="595" ht="15" customHeight="1" s="54">
      <c r="A595" s="45" t="n"/>
    </row>
    <row r="596" ht="15" customHeight="1" s="54">
      <c r="A596" s="45" t="n"/>
    </row>
    <row r="597" ht="15" customHeight="1" s="54">
      <c r="A597" s="45" t="n"/>
    </row>
    <row r="598" ht="15" customHeight="1" s="54">
      <c r="A598" s="45" t="n"/>
    </row>
    <row r="599" ht="15" customHeight="1" s="54">
      <c r="A599" s="45" t="n"/>
    </row>
    <row r="600" ht="15" customHeight="1" s="54">
      <c r="A600" s="45" t="n"/>
    </row>
    <row r="601" ht="15" customHeight="1" s="54">
      <c r="A601" s="45" t="n"/>
    </row>
    <row r="602" ht="15" customHeight="1" s="54">
      <c r="A602" s="45" t="n"/>
    </row>
    <row r="603" ht="15" customHeight="1" s="54">
      <c r="A603" s="45" t="n"/>
    </row>
    <row r="604" ht="15" customHeight="1" s="54">
      <c r="A604" s="45" t="n"/>
    </row>
    <row r="605" ht="15" customHeight="1" s="54">
      <c r="A605" s="45" t="n"/>
    </row>
    <row r="606" ht="15" customHeight="1" s="54">
      <c r="A606" s="45" t="n"/>
    </row>
    <row r="607" ht="15" customHeight="1" s="54">
      <c r="A607" s="45" t="n"/>
    </row>
    <row r="608" ht="15" customHeight="1" s="54">
      <c r="A608" s="45" t="n"/>
    </row>
    <row r="609" ht="15" customHeight="1" s="54">
      <c r="A609" s="45" t="n"/>
    </row>
    <row r="610" ht="15" customHeight="1" s="54">
      <c r="A610" s="45" t="n"/>
    </row>
    <row r="611" ht="15" customHeight="1" s="54">
      <c r="A611" s="45" t="n"/>
    </row>
    <row r="612" ht="15" customHeight="1" s="54">
      <c r="A612" s="45" t="n"/>
    </row>
    <row r="613" ht="15" customHeight="1" s="54">
      <c r="A613" s="45" t="n"/>
    </row>
    <row r="614" ht="15" customHeight="1" s="54">
      <c r="A614" s="45" t="n"/>
    </row>
    <row r="615" ht="15" customHeight="1" s="54">
      <c r="A615" s="45" t="n"/>
    </row>
    <row r="616" ht="15" customHeight="1" s="54">
      <c r="A616" s="45" t="n"/>
    </row>
    <row r="617" ht="15" customHeight="1" s="54">
      <c r="A617" s="45" t="n"/>
    </row>
    <row r="618" ht="15" customHeight="1" s="54">
      <c r="A618" s="45" t="n"/>
    </row>
    <row r="619" ht="15" customHeight="1" s="54">
      <c r="A619" s="45" t="n"/>
    </row>
    <row r="620" ht="15" customHeight="1" s="54">
      <c r="A620" s="45" t="n"/>
    </row>
    <row r="621" ht="15" customHeight="1" s="54">
      <c r="A621" s="45" t="n"/>
    </row>
    <row r="622" ht="15" customHeight="1" s="54">
      <c r="A622" s="45" t="n"/>
    </row>
    <row r="623" ht="15" customHeight="1" s="54">
      <c r="A623" s="45" t="n"/>
    </row>
    <row r="624" ht="15" customHeight="1" s="54">
      <c r="A624" s="45" t="n"/>
    </row>
    <row r="625" ht="15" customHeight="1" s="54">
      <c r="A625" s="45" t="n"/>
    </row>
    <row r="626" ht="15" customHeight="1" s="54">
      <c r="A626" s="45" t="n"/>
    </row>
    <row r="627" ht="15" customHeight="1" s="54">
      <c r="A627" s="45" t="n"/>
    </row>
    <row r="628" ht="15" customHeight="1" s="54">
      <c r="A628" s="45" t="n"/>
    </row>
    <row r="629" ht="15" customHeight="1" s="54">
      <c r="A629" s="45" t="n"/>
    </row>
    <row r="630" ht="15" customHeight="1" s="54">
      <c r="A630" s="45" t="n"/>
    </row>
    <row r="631" ht="15" customHeight="1" s="54">
      <c r="A631" s="45" t="n"/>
    </row>
    <row r="632" ht="15" customHeight="1" s="54">
      <c r="A632" s="45" t="n"/>
    </row>
    <row r="633" ht="15" customHeight="1" s="54">
      <c r="A633" s="45" t="n"/>
    </row>
    <row r="634" ht="15" customHeight="1" s="54">
      <c r="A634" s="45" t="n"/>
    </row>
    <row r="635" ht="15" customHeight="1" s="54">
      <c r="A635" s="45" t="n"/>
    </row>
    <row r="636" ht="15" customHeight="1" s="54">
      <c r="A636" s="45" t="n"/>
    </row>
    <row r="637" ht="15" customHeight="1" s="54">
      <c r="A637" s="45" t="n"/>
    </row>
    <row r="638" ht="15" customHeight="1" s="54">
      <c r="A638" s="45" t="n"/>
    </row>
    <row r="639" ht="15" customHeight="1" s="54">
      <c r="A639" s="45" t="n"/>
    </row>
    <row r="640" ht="15" customHeight="1" s="54">
      <c r="A640" s="45" t="n"/>
    </row>
    <row r="641" ht="15" customHeight="1" s="54">
      <c r="A641" s="45" t="n"/>
    </row>
    <row r="642" ht="15" customHeight="1" s="54">
      <c r="A642" s="45" t="n"/>
    </row>
    <row r="643" ht="15" customHeight="1" s="54">
      <c r="A643" s="45" t="n"/>
    </row>
    <row r="644" ht="15" customHeight="1" s="54">
      <c r="A644" s="45" t="n"/>
    </row>
    <row r="645" ht="15" customHeight="1" s="54">
      <c r="A645" s="45" t="n"/>
    </row>
    <row r="646" ht="15" customHeight="1" s="54">
      <c r="A646" s="45" t="n"/>
    </row>
    <row r="647" ht="15" customHeight="1" s="54">
      <c r="A647" s="45" t="n"/>
    </row>
    <row r="648" ht="15" customHeight="1" s="54">
      <c r="A648" s="45" t="n"/>
    </row>
    <row r="649" ht="15" customHeight="1" s="54">
      <c r="A649" s="45" t="n"/>
    </row>
    <row r="650" ht="15" customHeight="1" s="54">
      <c r="A650" s="45" t="n"/>
    </row>
    <row r="651" ht="15" customHeight="1" s="54">
      <c r="A651" s="45" t="n"/>
    </row>
    <row r="652" ht="15" customHeight="1" s="54">
      <c r="A652" s="45" t="n"/>
    </row>
    <row r="653" ht="15" customHeight="1" s="54">
      <c r="A653" s="45" t="n"/>
    </row>
    <row r="654" ht="15" customHeight="1" s="54">
      <c r="A654" s="45" t="n"/>
    </row>
    <row r="655" ht="15" customHeight="1" s="54">
      <c r="A655" s="45" t="n"/>
    </row>
    <row r="656" ht="15" customHeight="1" s="54">
      <c r="A656" s="45" t="n"/>
    </row>
    <row r="657" ht="15" customHeight="1" s="54">
      <c r="A657" s="45" t="n"/>
    </row>
    <row r="658" ht="15" customHeight="1" s="54">
      <c r="A658" s="45" t="n"/>
    </row>
    <row r="659" ht="15" customHeight="1" s="54">
      <c r="A659" s="45" t="n"/>
    </row>
    <row r="660" ht="15" customHeight="1" s="54">
      <c r="A660" s="45" t="n"/>
    </row>
    <row r="661" ht="15" customHeight="1" s="54">
      <c r="A661" s="45" t="n"/>
    </row>
    <row r="662" ht="15" customHeight="1" s="54">
      <c r="A662" s="45" t="n"/>
    </row>
    <row r="663" ht="15" customHeight="1" s="54">
      <c r="A663" s="45" t="n"/>
    </row>
    <row r="664" ht="15" customHeight="1" s="54">
      <c r="A664" s="45" t="n"/>
    </row>
    <row r="665" ht="15" customHeight="1" s="54">
      <c r="A665" s="45" t="n"/>
    </row>
    <row r="666" ht="15" customHeight="1" s="54">
      <c r="A666" s="45" t="n"/>
    </row>
    <row r="667" ht="15" customHeight="1" s="54">
      <c r="A667" s="45" t="n"/>
    </row>
    <row r="668" ht="15" customHeight="1" s="54">
      <c r="A668" s="45" t="n"/>
    </row>
    <row r="669" ht="15" customHeight="1" s="54">
      <c r="A669" s="45" t="n"/>
    </row>
    <row r="670" ht="15" customHeight="1" s="54">
      <c r="A670" s="45" t="n"/>
    </row>
    <row r="671" ht="15" customHeight="1" s="54">
      <c r="A671" s="45" t="n"/>
    </row>
    <row r="672" ht="15" customHeight="1" s="54">
      <c r="A672" s="45" t="n"/>
    </row>
    <row r="673" ht="15" customHeight="1" s="54">
      <c r="A673" s="45" t="n"/>
    </row>
    <row r="674" ht="15" customHeight="1" s="54">
      <c r="A674" s="45" t="n"/>
    </row>
    <row r="675" ht="15" customHeight="1" s="54">
      <c r="A675" s="45" t="n"/>
    </row>
    <row r="676" ht="15" customHeight="1" s="54">
      <c r="A676" s="45" t="n"/>
    </row>
    <row r="677" ht="15" customHeight="1" s="54">
      <c r="A677" s="45" t="n"/>
    </row>
    <row r="678" ht="15" customHeight="1" s="54">
      <c r="A678" s="45" t="n"/>
    </row>
    <row r="679" ht="15" customHeight="1" s="54">
      <c r="A679" s="45" t="n"/>
    </row>
    <row r="680" ht="15" customHeight="1" s="54">
      <c r="A680" s="45" t="n"/>
    </row>
    <row r="681" ht="15" customHeight="1" s="54">
      <c r="A681" s="45" t="n"/>
    </row>
    <row r="682" ht="15" customHeight="1" s="54">
      <c r="A682" s="45" t="n"/>
    </row>
    <row r="683" ht="15" customHeight="1" s="54">
      <c r="A683" s="45" t="n"/>
    </row>
    <row r="684" ht="15" customHeight="1" s="54">
      <c r="A684" s="45" t="n"/>
    </row>
    <row r="685" ht="15" customHeight="1" s="54">
      <c r="A685" s="45" t="n"/>
    </row>
    <row r="686" ht="15" customHeight="1" s="54">
      <c r="A686" s="45" t="n"/>
    </row>
    <row r="687" ht="15" customHeight="1" s="54">
      <c r="A687" s="45" t="n"/>
    </row>
    <row r="688" ht="15" customHeight="1" s="54">
      <c r="A688" s="45" t="n"/>
    </row>
    <row r="689" ht="15" customHeight="1" s="54">
      <c r="A689" s="45" t="n"/>
    </row>
    <row r="690" ht="15" customHeight="1" s="54">
      <c r="A690" s="45" t="n"/>
    </row>
    <row r="691" ht="15" customHeight="1" s="54">
      <c r="A691" s="45" t="n"/>
    </row>
    <row r="692" ht="15" customHeight="1" s="54">
      <c r="A692" s="45" t="n"/>
    </row>
    <row r="693" ht="15" customHeight="1" s="54">
      <c r="A693" s="45" t="n"/>
    </row>
    <row r="694" ht="15" customHeight="1" s="54">
      <c r="A694" s="45" t="n"/>
    </row>
    <row r="695" ht="15" customHeight="1" s="54">
      <c r="A695" s="45" t="n"/>
    </row>
    <row r="696" ht="15" customHeight="1" s="54">
      <c r="A696" s="45" t="n"/>
    </row>
    <row r="697" ht="15" customHeight="1" s="54">
      <c r="A697" s="45" t="n"/>
    </row>
    <row r="698" ht="15" customHeight="1" s="54">
      <c r="A698" s="45" t="n"/>
    </row>
    <row r="699" ht="15" customHeight="1" s="54">
      <c r="A699" s="45" t="n"/>
    </row>
    <row r="700" ht="15" customHeight="1" s="54">
      <c r="A700" s="45" t="n"/>
    </row>
    <row r="701" ht="15" customHeight="1" s="54">
      <c r="A701" s="45" t="n"/>
    </row>
    <row r="702" ht="15" customHeight="1" s="54">
      <c r="A702" s="45" t="n"/>
    </row>
    <row r="703" ht="15" customHeight="1" s="54">
      <c r="A703" s="45" t="n"/>
    </row>
    <row r="704" ht="15" customHeight="1" s="54">
      <c r="A704" s="45" t="n"/>
    </row>
    <row r="705" ht="15" customHeight="1" s="54">
      <c r="A705" s="45" t="n"/>
    </row>
    <row r="706" ht="15" customHeight="1" s="54">
      <c r="A706" s="45" t="n"/>
    </row>
    <row r="707" ht="15" customHeight="1" s="54">
      <c r="A707" s="45" t="n"/>
    </row>
    <row r="708" ht="15" customHeight="1" s="54">
      <c r="A708" s="45" t="n"/>
    </row>
    <row r="709" ht="15" customHeight="1" s="54">
      <c r="A709" s="45" t="n"/>
    </row>
    <row r="710" ht="15" customHeight="1" s="54">
      <c r="A710" s="45" t="n"/>
    </row>
    <row r="711" ht="15" customHeight="1" s="54">
      <c r="A711" s="45" t="n"/>
    </row>
    <row r="712" ht="15" customHeight="1" s="54">
      <c r="A712" s="45" t="n"/>
    </row>
    <row r="713" ht="15" customHeight="1" s="54">
      <c r="A713" s="45" t="n"/>
    </row>
    <row r="714" ht="15" customHeight="1" s="54">
      <c r="A714" s="45" t="n"/>
    </row>
    <row r="715" ht="15" customHeight="1" s="54">
      <c r="A715" s="45" t="n"/>
    </row>
    <row r="716" ht="15" customHeight="1" s="54">
      <c r="A716" s="45" t="n"/>
    </row>
    <row r="717" ht="15" customHeight="1" s="54">
      <c r="A717" s="45" t="n"/>
    </row>
    <row r="718" ht="15" customHeight="1" s="54">
      <c r="A718" s="45" t="n"/>
    </row>
    <row r="719" ht="15" customHeight="1" s="54">
      <c r="A719" s="45" t="n"/>
    </row>
    <row r="720" ht="15" customHeight="1" s="54">
      <c r="A720" s="45" t="n"/>
    </row>
    <row r="721" ht="15" customHeight="1" s="54">
      <c r="A721" s="45" t="n"/>
    </row>
    <row r="722" ht="15" customHeight="1" s="54">
      <c r="A722" s="45" t="n"/>
    </row>
    <row r="723" ht="15" customHeight="1" s="54">
      <c r="A723" s="45" t="n"/>
    </row>
    <row r="724" ht="15" customHeight="1" s="54">
      <c r="A724" s="45" t="n"/>
    </row>
    <row r="725" ht="15" customHeight="1" s="54">
      <c r="A725" s="45" t="n"/>
    </row>
    <row r="726" ht="15" customHeight="1" s="54">
      <c r="A726" s="45" t="n"/>
    </row>
    <row r="727" ht="15" customHeight="1" s="54">
      <c r="A727" s="45" t="n"/>
    </row>
    <row r="728" ht="15" customHeight="1" s="54">
      <c r="A728" s="45" t="n"/>
    </row>
    <row r="729" ht="15" customHeight="1" s="54">
      <c r="A729" s="45" t="n"/>
    </row>
    <row r="730" ht="15" customHeight="1" s="54">
      <c r="A730" s="45" t="n"/>
    </row>
    <row r="731" ht="15" customHeight="1" s="54">
      <c r="A731" s="45" t="n"/>
    </row>
    <row r="732" ht="15" customHeight="1" s="54">
      <c r="A732" s="45" t="n"/>
    </row>
    <row r="733" ht="15" customHeight="1" s="54">
      <c r="A733" s="45" t="n"/>
    </row>
    <row r="734" ht="15" customHeight="1" s="54">
      <c r="A734" s="45" t="n"/>
    </row>
    <row r="735" ht="15" customHeight="1" s="54">
      <c r="A735" s="45" t="n"/>
    </row>
    <row r="736" ht="15" customHeight="1" s="54">
      <c r="A736" s="45" t="n"/>
    </row>
    <row r="737" ht="15" customHeight="1" s="54">
      <c r="A737" s="45" t="n"/>
    </row>
    <row r="738" ht="15" customHeight="1" s="54">
      <c r="A738" s="45" t="n"/>
    </row>
    <row r="739" ht="15" customHeight="1" s="54">
      <c r="A739" s="45" t="n"/>
    </row>
    <row r="740" ht="15" customHeight="1" s="54">
      <c r="A740" s="45" t="n"/>
    </row>
    <row r="741" ht="15" customHeight="1" s="54">
      <c r="A741" s="45" t="n"/>
    </row>
    <row r="742" ht="15" customHeight="1" s="54">
      <c r="A742" s="45" t="n"/>
    </row>
    <row r="743" ht="15" customHeight="1" s="54">
      <c r="A743" s="45" t="n"/>
    </row>
    <row r="744" ht="15" customHeight="1" s="54">
      <c r="A744" s="45" t="n"/>
    </row>
    <row r="745" ht="15" customHeight="1" s="54">
      <c r="A745" s="45" t="n"/>
    </row>
    <row r="746" ht="15" customHeight="1" s="54">
      <c r="A746" s="45" t="n"/>
    </row>
    <row r="747" ht="15" customHeight="1" s="54">
      <c r="A747" s="45" t="n"/>
    </row>
    <row r="748" ht="15" customHeight="1" s="54">
      <c r="A748" s="45" t="n"/>
    </row>
    <row r="749" ht="15" customHeight="1" s="54">
      <c r="A749" s="45" t="n"/>
    </row>
    <row r="750" ht="15" customHeight="1" s="54">
      <c r="A750" s="45" t="n"/>
    </row>
    <row r="751" ht="15" customHeight="1" s="54">
      <c r="A751" s="45" t="n"/>
    </row>
    <row r="752" ht="15" customHeight="1" s="54">
      <c r="A752" s="45" t="n"/>
    </row>
    <row r="753" ht="15" customHeight="1" s="54">
      <c r="A753" s="45" t="n"/>
    </row>
    <row r="754" ht="15" customHeight="1" s="54">
      <c r="A754" s="45" t="n"/>
    </row>
    <row r="755" ht="15" customHeight="1" s="54">
      <c r="A755" s="45" t="n"/>
    </row>
    <row r="756" ht="15" customHeight="1" s="54">
      <c r="A756" s="45" t="n"/>
    </row>
    <row r="757" ht="15" customHeight="1" s="54">
      <c r="A757" s="45" t="n"/>
    </row>
    <row r="758" ht="15" customHeight="1" s="54">
      <c r="A758" s="45" t="n"/>
    </row>
    <row r="759" ht="15" customHeight="1" s="54">
      <c r="A759" s="45" t="n"/>
    </row>
    <row r="760" ht="15" customHeight="1" s="54">
      <c r="A760" s="45" t="n"/>
    </row>
    <row r="761" ht="15" customHeight="1" s="54">
      <c r="A761" s="45" t="n"/>
    </row>
    <row r="762" ht="15" customHeight="1" s="54">
      <c r="A762" s="45" t="n"/>
    </row>
    <row r="763" ht="15" customHeight="1" s="54">
      <c r="A763" s="45" t="n"/>
    </row>
    <row r="764" ht="15" customHeight="1" s="54">
      <c r="A764" s="45" t="n"/>
    </row>
    <row r="765" ht="15" customHeight="1" s="54">
      <c r="A765" s="45" t="n"/>
    </row>
    <row r="766" ht="15" customHeight="1" s="54">
      <c r="A766" s="45" t="n"/>
    </row>
    <row r="767" ht="15" customHeight="1" s="54">
      <c r="A767" s="45" t="n"/>
    </row>
    <row r="768" ht="15" customHeight="1" s="54">
      <c r="A768" s="45" t="n"/>
    </row>
    <row r="769" ht="15" customHeight="1" s="54">
      <c r="A769" s="45" t="n"/>
    </row>
    <row r="770" ht="15" customHeight="1" s="54">
      <c r="A770" s="45" t="n"/>
    </row>
    <row r="771" ht="15" customHeight="1" s="54">
      <c r="A771" s="45" t="n"/>
    </row>
    <row r="772" ht="15" customHeight="1" s="54">
      <c r="A772" s="45" t="n"/>
    </row>
    <row r="773" ht="15" customHeight="1" s="54">
      <c r="A773" s="45" t="n"/>
    </row>
    <row r="774" ht="15" customHeight="1" s="54">
      <c r="A774" s="45" t="n"/>
    </row>
    <row r="775" ht="15" customHeight="1" s="54">
      <c r="A775" s="45" t="n"/>
    </row>
    <row r="776" ht="15" customHeight="1" s="54">
      <c r="A776" s="45" t="n"/>
    </row>
    <row r="777" ht="15" customHeight="1" s="54">
      <c r="A777" s="45" t="n"/>
    </row>
    <row r="778" ht="15" customHeight="1" s="54">
      <c r="A778" s="45" t="n"/>
    </row>
    <row r="779" ht="15" customHeight="1" s="54">
      <c r="A779" s="45" t="n"/>
    </row>
    <row r="780" ht="15" customHeight="1" s="54">
      <c r="A780" s="45" t="n"/>
    </row>
    <row r="781" ht="15" customHeight="1" s="54">
      <c r="A781" s="45" t="n"/>
    </row>
    <row r="782" ht="15" customHeight="1" s="54">
      <c r="A782" s="45" t="n"/>
    </row>
    <row r="783" ht="15" customHeight="1" s="54">
      <c r="A783" s="45" t="n"/>
    </row>
    <row r="784" ht="15" customHeight="1" s="54">
      <c r="A784" s="45" t="n"/>
    </row>
    <row r="785" ht="15" customHeight="1" s="54">
      <c r="A785" s="45" t="n"/>
    </row>
    <row r="786" ht="15" customHeight="1" s="54">
      <c r="A786" s="45" t="n"/>
    </row>
    <row r="787" ht="15" customHeight="1" s="54">
      <c r="A787" s="45" t="n"/>
    </row>
    <row r="788" ht="15" customHeight="1" s="54">
      <c r="A788" s="45" t="n"/>
    </row>
    <row r="789" ht="15" customHeight="1" s="54">
      <c r="A789" s="45" t="n"/>
    </row>
    <row r="790" ht="15" customHeight="1" s="54">
      <c r="A790" s="45" t="n"/>
    </row>
    <row r="791" ht="15" customHeight="1" s="54">
      <c r="A791" s="45" t="n"/>
    </row>
    <row r="792" ht="15" customHeight="1" s="54">
      <c r="A792" s="45" t="n"/>
    </row>
    <row r="793" ht="15" customHeight="1" s="54">
      <c r="A793" s="45" t="n"/>
    </row>
    <row r="794" ht="15" customHeight="1" s="54">
      <c r="A794" s="45" t="n"/>
    </row>
    <row r="795" ht="15" customHeight="1" s="54">
      <c r="A795" s="45" t="n"/>
    </row>
    <row r="796" ht="15" customHeight="1" s="54">
      <c r="A796" s="45" t="n"/>
    </row>
    <row r="797" ht="15" customHeight="1" s="54">
      <c r="A797" s="45" t="n"/>
    </row>
    <row r="798" ht="15" customHeight="1" s="54">
      <c r="A798" s="45" t="n"/>
    </row>
    <row r="799" ht="15" customHeight="1" s="54">
      <c r="A799" s="45" t="n"/>
    </row>
    <row r="800" ht="15" customHeight="1" s="54">
      <c r="A800" s="45" t="n"/>
    </row>
    <row r="801" ht="15" customHeight="1" s="54">
      <c r="A801" s="45" t="n"/>
    </row>
    <row r="802" ht="15" customHeight="1" s="54">
      <c r="A802" s="45" t="n"/>
    </row>
    <row r="803" ht="15" customHeight="1" s="54">
      <c r="A803" s="45" t="n"/>
    </row>
    <row r="804" ht="15" customHeight="1" s="54">
      <c r="A804" s="45" t="n"/>
    </row>
    <row r="805" ht="15" customHeight="1" s="54">
      <c r="A805" s="45" t="n"/>
    </row>
    <row r="806" ht="15" customHeight="1" s="54">
      <c r="A806" s="45" t="n"/>
    </row>
    <row r="807" ht="15" customHeight="1" s="54">
      <c r="A807" s="45" t="n"/>
    </row>
    <row r="808" ht="15" customHeight="1" s="54">
      <c r="A808" s="45" t="n"/>
    </row>
    <row r="809" ht="15" customHeight="1" s="54">
      <c r="A809" s="45" t="n"/>
    </row>
    <row r="810" ht="15" customHeight="1" s="54">
      <c r="A810" s="45" t="n"/>
    </row>
    <row r="811" ht="15" customHeight="1" s="54">
      <c r="A811" s="45" t="n"/>
    </row>
    <row r="812" ht="15" customHeight="1" s="54">
      <c r="A812" s="45" t="n"/>
    </row>
    <row r="813" ht="15" customHeight="1" s="54">
      <c r="A813" s="45" t="n"/>
    </row>
    <row r="814" ht="15" customHeight="1" s="54">
      <c r="A814" s="45" t="n"/>
    </row>
    <row r="815" ht="15" customHeight="1" s="54">
      <c r="A815" s="45" t="n"/>
    </row>
    <row r="816" ht="15" customHeight="1" s="54">
      <c r="A816" s="45" t="n"/>
    </row>
    <row r="817" ht="15" customHeight="1" s="54">
      <c r="A817" s="45" t="n"/>
    </row>
    <row r="818" ht="15" customHeight="1" s="54">
      <c r="A818" s="45" t="n"/>
    </row>
    <row r="819" ht="15" customHeight="1" s="54">
      <c r="A819" s="45" t="n"/>
    </row>
    <row r="820" ht="15" customHeight="1" s="54">
      <c r="A820" s="45" t="n"/>
    </row>
    <row r="821" ht="15" customHeight="1" s="54">
      <c r="A821" s="45" t="n"/>
    </row>
    <row r="822" ht="15" customHeight="1" s="54">
      <c r="A822" s="45" t="n"/>
    </row>
    <row r="823" ht="15" customHeight="1" s="54">
      <c r="A823" s="45" t="n"/>
    </row>
    <row r="824" ht="15" customHeight="1" s="54">
      <c r="A824" s="45" t="n"/>
    </row>
    <row r="825" ht="15" customHeight="1" s="54">
      <c r="A825" s="45" t="n"/>
    </row>
    <row r="826" ht="15" customHeight="1" s="54">
      <c r="A826" s="45" t="n"/>
    </row>
    <row r="827" ht="15" customHeight="1" s="54">
      <c r="A827" s="45" t="n"/>
    </row>
    <row r="828" ht="15" customHeight="1" s="54">
      <c r="A828" s="45" t="n"/>
    </row>
    <row r="829" ht="15" customHeight="1" s="54">
      <c r="A829" s="45" t="n"/>
    </row>
    <row r="830" ht="15" customHeight="1" s="54">
      <c r="A830" s="45" t="n"/>
    </row>
    <row r="831" ht="15" customHeight="1" s="54">
      <c r="A831" s="45" t="n"/>
    </row>
    <row r="832" ht="15" customHeight="1" s="54">
      <c r="A832" s="45" t="n"/>
    </row>
    <row r="833" ht="15" customHeight="1" s="54">
      <c r="A833" s="45" t="n"/>
    </row>
    <row r="834" ht="15" customHeight="1" s="54">
      <c r="A834" s="45" t="n"/>
    </row>
    <row r="835" ht="15" customHeight="1" s="54">
      <c r="A835" s="45" t="n"/>
    </row>
    <row r="836" ht="15" customHeight="1" s="54">
      <c r="A836" s="45" t="n"/>
    </row>
    <row r="837" ht="15" customHeight="1" s="54">
      <c r="A837" s="45" t="n"/>
    </row>
    <row r="838" ht="15" customHeight="1" s="54">
      <c r="A838" s="45" t="n"/>
    </row>
    <row r="839" ht="15" customHeight="1" s="54">
      <c r="A839" s="45" t="n"/>
    </row>
    <row r="840" ht="15" customHeight="1" s="54">
      <c r="A840" s="45" t="n"/>
    </row>
    <row r="841" ht="15" customHeight="1" s="54">
      <c r="A841" s="45" t="n"/>
    </row>
    <row r="842" ht="15" customHeight="1" s="54">
      <c r="A842" s="45" t="n"/>
    </row>
    <row r="843" ht="15" customHeight="1" s="54">
      <c r="A843" s="45" t="n"/>
    </row>
    <row r="844" ht="15" customHeight="1" s="54">
      <c r="A844" s="45" t="n"/>
    </row>
    <row r="845" ht="15" customHeight="1" s="54">
      <c r="A845" s="45" t="n"/>
    </row>
    <row r="846" ht="15" customHeight="1" s="54">
      <c r="A846" s="45" t="n"/>
    </row>
    <row r="847" ht="15" customHeight="1" s="54">
      <c r="A847" s="45" t="n"/>
    </row>
    <row r="848" ht="15" customHeight="1" s="54">
      <c r="A848" s="45" t="n"/>
    </row>
    <row r="849" ht="15" customHeight="1" s="54">
      <c r="A849" s="45" t="n"/>
    </row>
    <row r="850" ht="15" customHeight="1" s="54">
      <c r="A850" s="45" t="n"/>
    </row>
    <row r="851" ht="15" customHeight="1" s="54">
      <c r="A851" s="45" t="n"/>
    </row>
    <row r="852" ht="15" customHeight="1" s="54">
      <c r="A852" s="45" t="n"/>
    </row>
    <row r="853" ht="15" customHeight="1" s="54">
      <c r="A853" s="45" t="n"/>
    </row>
    <row r="854" ht="15" customHeight="1" s="54">
      <c r="A854" s="45" t="n"/>
    </row>
    <row r="855" ht="15" customHeight="1" s="54">
      <c r="A855" s="45" t="n"/>
    </row>
    <row r="856" ht="15" customHeight="1" s="54">
      <c r="A856" s="45" t="n"/>
    </row>
    <row r="857" ht="15" customHeight="1" s="54">
      <c r="A857" s="45" t="n"/>
    </row>
    <row r="858" ht="15" customHeight="1" s="54">
      <c r="A858" s="45" t="n"/>
    </row>
    <row r="859" ht="15" customHeight="1" s="54">
      <c r="A859" s="45" t="n"/>
    </row>
    <row r="860" ht="15" customHeight="1" s="54">
      <c r="A860" s="45" t="n"/>
    </row>
    <row r="861" ht="15" customHeight="1" s="54">
      <c r="A861" s="45" t="n"/>
    </row>
    <row r="862" ht="15" customHeight="1" s="54">
      <c r="A862" s="45" t="n"/>
    </row>
    <row r="863" ht="15" customHeight="1" s="54">
      <c r="A863" s="45" t="n"/>
    </row>
    <row r="864" ht="15" customHeight="1" s="54">
      <c r="A864" s="45" t="n"/>
    </row>
    <row r="865" ht="15" customHeight="1" s="54">
      <c r="A865" s="45" t="n"/>
    </row>
    <row r="866" ht="15" customHeight="1" s="54">
      <c r="A866" s="45" t="n"/>
    </row>
    <row r="867" ht="15" customHeight="1" s="54">
      <c r="A867" s="45" t="n"/>
    </row>
    <row r="868" ht="15" customHeight="1" s="54">
      <c r="A868" s="45" t="n"/>
    </row>
    <row r="869" ht="15" customHeight="1" s="54">
      <c r="A869" s="45" t="n"/>
    </row>
    <row r="870" ht="15" customHeight="1" s="54">
      <c r="A870" s="45" t="n"/>
    </row>
    <row r="871" ht="15" customHeight="1" s="54">
      <c r="A871" s="45" t="n"/>
    </row>
    <row r="872" ht="15" customHeight="1" s="54">
      <c r="A872" s="45" t="n"/>
    </row>
    <row r="873" ht="15" customHeight="1" s="54">
      <c r="A873" s="45" t="n"/>
    </row>
    <row r="874" ht="15" customHeight="1" s="54">
      <c r="A874" s="45" t="n"/>
    </row>
    <row r="875" ht="15" customHeight="1" s="54">
      <c r="A875" s="45" t="n"/>
    </row>
    <row r="876" ht="15" customHeight="1" s="54">
      <c r="A876" s="45" t="n"/>
    </row>
    <row r="877" ht="15" customHeight="1" s="54">
      <c r="A877" s="45" t="n"/>
    </row>
    <row r="878" ht="15" customHeight="1" s="54">
      <c r="A878" s="45" t="n"/>
    </row>
    <row r="879" ht="15" customHeight="1" s="54">
      <c r="A879" s="45" t="n"/>
    </row>
    <row r="880" ht="15" customHeight="1" s="54">
      <c r="A880" s="45" t="n"/>
    </row>
    <row r="881" ht="15" customHeight="1" s="54">
      <c r="A881" s="45" t="n"/>
    </row>
    <row r="882" ht="15" customHeight="1" s="54">
      <c r="A882" s="45" t="n"/>
    </row>
    <row r="883" ht="15" customHeight="1" s="54">
      <c r="A883" s="45" t="n"/>
    </row>
    <row r="884" ht="15" customHeight="1" s="54">
      <c r="A884" s="45" t="n"/>
    </row>
    <row r="885" ht="15" customHeight="1" s="54">
      <c r="A885" s="45" t="n"/>
    </row>
    <row r="886" ht="15" customHeight="1" s="54">
      <c r="A886" s="45" t="n"/>
    </row>
    <row r="887" ht="15" customHeight="1" s="54">
      <c r="A887" s="45" t="n"/>
    </row>
    <row r="888" ht="15" customHeight="1" s="54">
      <c r="A888" s="45" t="n"/>
    </row>
    <row r="889" ht="15" customHeight="1" s="54">
      <c r="A889" s="45" t="n"/>
    </row>
    <row r="890" ht="15" customHeight="1" s="54">
      <c r="A890" s="45" t="n"/>
    </row>
    <row r="891" ht="15" customHeight="1" s="54">
      <c r="A891" s="45" t="n"/>
    </row>
    <row r="892" ht="15" customHeight="1" s="54">
      <c r="A892" s="45" t="n"/>
    </row>
    <row r="893" ht="15" customHeight="1" s="54">
      <c r="A893" s="45" t="n"/>
    </row>
    <row r="894" ht="15" customHeight="1" s="54">
      <c r="A894" s="45" t="n"/>
    </row>
    <row r="895" ht="15" customHeight="1" s="54">
      <c r="A895" s="45" t="n"/>
    </row>
    <row r="896" ht="15" customHeight="1" s="54">
      <c r="A896" s="45" t="n"/>
    </row>
    <row r="897" ht="15" customHeight="1" s="54">
      <c r="A897" s="45" t="n"/>
    </row>
    <row r="898" ht="15" customHeight="1" s="54">
      <c r="A898" s="45" t="n"/>
    </row>
    <row r="899" ht="15" customHeight="1" s="54">
      <c r="A899" s="45" t="n"/>
    </row>
    <row r="900" ht="15" customHeight="1" s="54">
      <c r="A900" s="45" t="n"/>
    </row>
    <row r="901" ht="15" customHeight="1" s="54">
      <c r="A901" s="45" t="n"/>
    </row>
    <row r="902" ht="15" customHeight="1" s="54">
      <c r="A902" s="45" t="n"/>
    </row>
    <row r="903" ht="15" customHeight="1" s="54">
      <c r="A903" s="45" t="n"/>
    </row>
    <row r="904" ht="15" customHeight="1" s="54">
      <c r="A904" s="45" t="n"/>
    </row>
    <row r="905" ht="15" customHeight="1" s="54">
      <c r="A905" s="45" t="n"/>
    </row>
    <row r="906" ht="15" customHeight="1" s="54">
      <c r="A906" s="45" t="n"/>
    </row>
    <row r="907" ht="15" customHeight="1" s="54">
      <c r="A907" s="45" t="n"/>
    </row>
    <row r="908" ht="15" customHeight="1" s="54">
      <c r="A908" s="45" t="n"/>
    </row>
    <row r="909" ht="15" customHeight="1" s="54">
      <c r="A909" s="45" t="n"/>
    </row>
    <row r="910" ht="15" customHeight="1" s="54">
      <c r="A910" s="45" t="n"/>
    </row>
    <row r="911" ht="15" customHeight="1" s="54">
      <c r="A911" s="45" t="n"/>
    </row>
    <row r="912" ht="15" customHeight="1" s="54">
      <c r="A912" s="45" t="n"/>
    </row>
    <row r="913" ht="15" customHeight="1" s="54">
      <c r="A913" s="45" t="n"/>
    </row>
    <row r="914" ht="15" customHeight="1" s="54">
      <c r="A914" s="45" t="n"/>
    </row>
    <row r="915" ht="15" customHeight="1" s="54">
      <c r="A915" s="45" t="n"/>
    </row>
    <row r="916" ht="15" customHeight="1" s="54">
      <c r="A916" s="45" t="n"/>
    </row>
    <row r="917" ht="15" customHeight="1" s="54">
      <c r="A917" s="45" t="n"/>
    </row>
    <row r="918" ht="15" customHeight="1" s="54">
      <c r="A918" s="45" t="n"/>
    </row>
    <row r="919" ht="15" customHeight="1" s="54">
      <c r="A919" s="45" t="n"/>
    </row>
    <row r="920" ht="15" customHeight="1" s="54">
      <c r="A920" s="45" t="n"/>
    </row>
    <row r="921" ht="15" customHeight="1" s="54">
      <c r="A921" s="45" t="n"/>
    </row>
    <row r="922" ht="15" customHeight="1" s="54">
      <c r="A922" s="45" t="n"/>
    </row>
    <row r="923" ht="15" customHeight="1" s="54">
      <c r="A923" s="45" t="n"/>
    </row>
    <row r="924" ht="15" customHeight="1" s="54">
      <c r="A924" s="45" t="n"/>
    </row>
    <row r="925" ht="15" customHeight="1" s="54">
      <c r="A925" s="45" t="n"/>
    </row>
    <row r="926" ht="15" customHeight="1" s="54">
      <c r="A926" s="45" t="n"/>
    </row>
    <row r="927" ht="15" customHeight="1" s="54">
      <c r="A927" s="45" t="n"/>
    </row>
    <row r="928" ht="15" customHeight="1" s="54">
      <c r="A928" s="45" t="n"/>
    </row>
    <row r="929" ht="15" customHeight="1" s="54">
      <c r="A929" s="45" t="n"/>
    </row>
    <row r="930" ht="15" customHeight="1" s="54">
      <c r="A930" s="45" t="n"/>
    </row>
    <row r="931" ht="15" customHeight="1" s="54">
      <c r="A931" s="45" t="n"/>
    </row>
    <row r="932" ht="15" customHeight="1" s="54">
      <c r="A932" s="45" t="n"/>
    </row>
    <row r="933" ht="15" customHeight="1" s="54">
      <c r="A933" s="45" t="n"/>
    </row>
    <row r="934" ht="15" customHeight="1" s="54">
      <c r="A934" s="45" t="n"/>
    </row>
    <row r="935" ht="15" customHeight="1" s="54">
      <c r="A935" s="45" t="n"/>
    </row>
    <row r="936" ht="15" customHeight="1" s="54">
      <c r="A936" s="45" t="n"/>
    </row>
    <row r="937" ht="15" customHeight="1" s="54">
      <c r="A937" s="45" t="n"/>
    </row>
    <row r="938" ht="15" customHeight="1" s="54">
      <c r="A938" s="45" t="n"/>
    </row>
    <row r="939" ht="15" customHeight="1" s="54">
      <c r="A939" s="45" t="n"/>
    </row>
    <row r="940" ht="15" customHeight="1" s="54">
      <c r="A940" s="45" t="n"/>
    </row>
    <row r="941" ht="15" customHeight="1" s="54">
      <c r="A941" s="45" t="n"/>
    </row>
    <row r="942" ht="15" customHeight="1" s="54">
      <c r="A942" s="45" t="n"/>
    </row>
    <row r="943" ht="15" customHeight="1" s="54">
      <c r="A943" s="45" t="n"/>
    </row>
    <row r="944" ht="15" customHeight="1" s="54">
      <c r="A944" s="45" t="n"/>
    </row>
    <row r="945" ht="15" customHeight="1" s="54">
      <c r="A945" s="45" t="n"/>
    </row>
    <row r="946" ht="15" customHeight="1" s="54">
      <c r="A946" s="45" t="n"/>
    </row>
    <row r="947" ht="15" customHeight="1" s="54">
      <c r="A947" s="45" t="n"/>
    </row>
    <row r="948" ht="15" customHeight="1" s="54">
      <c r="A948" s="45" t="n"/>
    </row>
    <row r="949" ht="15" customHeight="1" s="54">
      <c r="A949" s="45" t="n"/>
    </row>
    <row r="950" ht="15" customHeight="1" s="54">
      <c r="A950" s="45" t="n"/>
    </row>
    <row r="951" ht="15" customHeight="1" s="54">
      <c r="A951" s="45" t="n"/>
    </row>
    <row r="952" ht="15" customHeight="1" s="54">
      <c r="A952" s="45" t="n"/>
    </row>
    <row r="953" ht="15" customHeight="1" s="54">
      <c r="A953" s="45" t="n"/>
    </row>
    <row r="954" ht="15" customHeight="1" s="54">
      <c r="A954" s="45" t="n"/>
    </row>
    <row r="955" ht="15" customHeight="1" s="54">
      <c r="A955" s="45" t="n"/>
    </row>
    <row r="956" ht="15" customHeight="1" s="54">
      <c r="A956" s="45" t="n"/>
    </row>
    <row r="957" ht="15" customHeight="1" s="54">
      <c r="A957" s="45" t="n"/>
    </row>
    <row r="958" ht="15" customHeight="1" s="54">
      <c r="A958" s="45" t="n"/>
    </row>
    <row r="959" ht="15" customHeight="1" s="54">
      <c r="A959" s="45" t="n"/>
    </row>
    <row r="960" ht="15" customHeight="1" s="54">
      <c r="A960" s="45" t="n"/>
    </row>
    <row r="961" ht="15" customHeight="1" s="54">
      <c r="A961" s="45" t="n"/>
    </row>
    <row r="962" ht="15" customHeight="1" s="54">
      <c r="A962" s="45" t="n"/>
    </row>
    <row r="963" ht="15" customHeight="1" s="54">
      <c r="A963" s="45" t="n"/>
    </row>
    <row r="964" ht="15" customHeight="1" s="54">
      <c r="A964" s="45" t="n"/>
    </row>
    <row r="965" ht="15" customHeight="1" s="54">
      <c r="A965" s="45" t="n"/>
    </row>
    <row r="966" ht="15" customHeight="1" s="54">
      <c r="A966" s="45" t="n"/>
    </row>
    <row r="967" ht="15" customHeight="1" s="54">
      <c r="A967" s="45" t="n"/>
    </row>
    <row r="968" ht="15" customHeight="1" s="54">
      <c r="A968" s="45" t="n"/>
    </row>
    <row r="969" ht="15" customHeight="1" s="54">
      <c r="A969" s="45" t="n"/>
    </row>
    <row r="970" ht="15" customHeight="1" s="54">
      <c r="A970" s="45" t="n"/>
    </row>
    <row r="971" ht="15" customHeight="1" s="54">
      <c r="A971" s="45" t="n"/>
    </row>
    <row r="972" ht="15" customHeight="1" s="54">
      <c r="A972" s="45" t="n"/>
    </row>
    <row r="973" ht="15" customHeight="1" s="54">
      <c r="A973" s="45" t="n"/>
    </row>
    <row r="974" ht="15" customHeight="1" s="54">
      <c r="A974" s="45" t="n"/>
    </row>
    <row r="975" ht="15" customHeight="1" s="54">
      <c r="A975" s="45" t="n"/>
    </row>
    <row r="976" ht="15" customHeight="1" s="54">
      <c r="A976" s="45" t="n"/>
    </row>
    <row r="977" ht="15" customHeight="1" s="54">
      <c r="A977" s="45" t="n"/>
    </row>
    <row r="978" ht="15" customHeight="1" s="54">
      <c r="A978" s="45" t="n"/>
    </row>
    <row r="979" ht="15" customHeight="1" s="54">
      <c r="A979" s="45" t="n"/>
    </row>
    <row r="980" ht="15" customHeight="1" s="54">
      <c r="A980" s="45" t="n"/>
    </row>
    <row r="981" ht="15" customHeight="1" s="54">
      <c r="A981" s="45" t="n"/>
    </row>
    <row r="982" ht="15" customHeight="1" s="54">
      <c r="A982" s="45" t="n"/>
    </row>
    <row r="983" ht="15" customHeight="1" s="54">
      <c r="A983" s="45" t="n"/>
    </row>
    <row r="984" ht="15" customHeight="1" s="54">
      <c r="A984" s="45" t="n"/>
    </row>
    <row r="985" ht="15" customHeight="1" s="54">
      <c r="A985" s="45" t="n"/>
    </row>
    <row r="986" ht="15" customHeight="1" s="54">
      <c r="A986" s="45" t="n"/>
    </row>
    <row r="987" ht="15" customHeight="1" s="54">
      <c r="A987" s="45" t="n"/>
    </row>
    <row r="988" ht="15" customHeight="1" s="54">
      <c r="A988" s="45" t="n"/>
    </row>
    <row r="989" ht="15" customHeight="1" s="54">
      <c r="A989" s="45" t="n"/>
    </row>
    <row r="990" ht="15" customHeight="1" s="54">
      <c r="A990" s="45" t="n"/>
    </row>
    <row r="991" ht="15" customHeight="1" s="54">
      <c r="A991" s="45" t="n"/>
    </row>
    <row r="992" ht="15" customHeight="1" s="54">
      <c r="A992" s="45" t="n"/>
    </row>
    <row r="993" ht="15" customHeight="1" s="54">
      <c r="A993" s="45" t="n"/>
    </row>
    <row r="994" ht="15" customHeight="1" s="54">
      <c r="A994" s="45" t="n"/>
    </row>
    <row r="995" ht="15" customHeight="1" s="54">
      <c r="A995" s="45" t="n"/>
    </row>
    <row r="996" ht="15" customHeight="1" s="54">
      <c r="A996" s="45" t="n"/>
    </row>
    <row r="997" ht="15" customHeight="1" s="54">
      <c r="A997" s="45" t="n"/>
    </row>
    <row r="998" ht="15" customHeight="1" s="54">
      <c r="A998" s="45" t="n"/>
    </row>
    <row r="999" ht="15" customHeight="1" s="54">
      <c r="A999" s="45" t="n"/>
    </row>
    <row r="1000" ht="15" customHeight="1" s="54">
      <c r="A1000" s="45"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HZ17"/>
  <sheetViews>
    <sheetView workbookViewId="0">
      <selection activeCell="A1" sqref="A1"/>
    </sheetView>
  </sheetViews>
  <sheetFormatPr baseColWidth="10" defaultColWidth="12.5" defaultRowHeight="15.75" customHeight="1"/>
  <sheetData>
    <row r="1" ht="13" customHeight="1" s="54">
      <c r="B1" s="26" t="inlineStr">
        <is>
          <t>Rank</t>
        </is>
      </c>
    </row>
    <row r="2" ht="13" customHeight="1" s="54">
      <c r="A2" s="26" t="inlineStr">
        <is>
          <t xml:space="preserve">Average </t>
        </is>
      </c>
    </row>
    <row r="3" ht="70.5" customHeight="1" s="54">
      <c r="A3" s="46" t="inlineStr">
        <is>
          <t>1-10</t>
        </is>
      </c>
      <c r="B3" s="47">
        <f>IFERROR(__xludf.DUMMYFUNCTION("TRANSPOSE(
  FILTER(
    IF(
      'ALL PPR Drafts'!C$2:C1000 = """",
      'ALL PPR Drafts'!D$2:D1000 &amp; "" ("" &amp; 'ALL PPR Drafts'!F$2:F1000 &amp; "", "" &amp; 'ALL PPR Drafts'!H$2:H1000 &amp; "",  "" &amp; 'ALL PPR Drafts'!I$2:I1000 &amp; "")"",
      """"
    ),
    VALUE("&amp;"'ALL PPR Drafts'!G$2:G1000) &gt;= 1,
    VALUE('ALL PPR Drafts'!G$2:G1000) &lt;= 10.99
  )
)
"),"")</f>
        <v/>
      </c>
      <c r="C3" s="47">
        <f>IFERROR(__xludf.DUMMYFUNCTION("""COMPUTED_VALUE"""),"")</f>
        <v/>
      </c>
      <c r="D3" s="47">
        <f>IFERROR(__xludf.DUMMYFUNCTION("""COMPUTED_VALUE"""),"")</f>
        <v/>
      </c>
      <c r="E3" s="47">
        <f>IFERROR(__xludf.DUMMYFUNCTION("""COMPUTED_VALUE"""),"")</f>
        <v/>
      </c>
      <c r="F3" s="47">
        <f>IFERROR(__xludf.DUMMYFUNCTION("""COMPUTED_VALUE"""),"")</f>
        <v/>
      </c>
      <c r="G3" s="47">
        <f>IFERROR(__xludf.DUMMYFUNCTION("""COMPUTED_VALUE"""),"")</f>
        <v/>
      </c>
      <c r="H3" s="47">
        <f>IFERROR(__xludf.DUMMYFUNCTION("""COMPUTED_VALUE"""),"")</f>
        <v/>
      </c>
      <c r="I3" s="47">
        <f>IFERROR(__xludf.DUMMYFUNCTION("""COMPUTED_VALUE"""),"")</f>
        <v/>
      </c>
      <c r="J3" s="47">
        <f>IFERROR(__xludf.DUMMYFUNCTION("""COMPUTED_VALUE"""),"")</f>
        <v/>
      </c>
      <c r="K3" s="47">
        <f>IFERROR(__xludf.DUMMYFUNCTION("""COMPUTED_VALUE"""),"")</f>
        <v/>
      </c>
      <c r="L3" s="47" t="n"/>
      <c r="M3" s="47" t="n"/>
      <c r="N3" s="47" t="n"/>
      <c r="O3" s="47" t="n"/>
      <c r="P3" s="47" t="n"/>
      <c r="Q3" s="47" t="n"/>
      <c r="R3" s="47" t="n"/>
      <c r="S3" s="47" t="n"/>
      <c r="T3" s="47" t="n"/>
      <c r="U3" s="47" t="n"/>
      <c r="V3" s="47" t="n"/>
      <c r="W3" s="47" t="n"/>
      <c r="X3" s="47" t="n"/>
      <c r="Y3" s="47" t="n"/>
      <c r="Z3" s="47" t="n"/>
      <c r="AA3" s="47" t="n"/>
      <c r="AB3" s="47" t="n"/>
      <c r="AC3" s="47" t="n"/>
      <c r="AD3" s="47" t="n"/>
      <c r="AE3" s="47" t="n"/>
      <c r="AF3" s="47" t="n"/>
      <c r="AG3" s="47" t="n"/>
      <c r="AH3" s="47" t="n"/>
      <c r="AI3" s="47" t="n"/>
      <c r="AJ3" s="47" t="n"/>
      <c r="AK3" s="47" t="n"/>
      <c r="AL3" s="47" t="n"/>
      <c r="AM3" s="47" t="n"/>
      <c r="AN3" s="47" t="n"/>
      <c r="AO3" s="47" t="n"/>
      <c r="AP3" s="47" t="n"/>
      <c r="AQ3" s="47" t="n"/>
      <c r="AR3" s="47" t="n"/>
      <c r="AS3" s="47" t="n"/>
      <c r="AT3" s="47" t="n"/>
      <c r="AU3" s="47" t="n"/>
      <c r="AV3" s="47" t="n"/>
      <c r="AW3" s="47" t="n"/>
      <c r="AX3" s="47" t="n"/>
      <c r="AY3" s="47" t="n"/>
      <c r="AZ3" s="47" t="n"/>
      <c r="BA3" s="47" t="n"/>
      <c r="BB3" s="47" t="n"/>
      <c r="BC3" s="47" t="n"/>
      <c r="BD3" s="47" t="n"/>
      <c r="BE3" s="47" t="n"/>
      <c r="BF3" s="47" t="n"/>
      <c r="BG3" s="47" t="n"/>
      <c r="BH3" s="47" t="n"/>
      <c r="BI3" s="47" t="n"/>
      <c r="BJ3" s="47" t="n"/>
      <c r="BK3" s="47" t="n"/>
      <c r="BL3" s="47" t="n"/>
      <c r="BM3" s="47" t="n"/>
      <c r="BN3" s="47" t="n"/>
      <c r="BO3" s="47" t="n"/>
      <c r="BP3" s="47" t="n"/>
      <c r="BQ3" s="47" t="n"/>
      <c r="BR3" s="47" t="n"/>
      <c r="BS3" s="47" t="n"/>
      <c r="BT3" s="47" t="n"/>
      <c r="BU3" s="47" t="n"/>
      <c r="BV3" s="47" t="n"/>
      <c r="BW3" s="47" t="n"/>
      <c r="BX3" s="47" t="n"/>
      <c r="BY3" s="47" t="n"/>
      <c r="BZ3" s="47" t="n"/>
      <c r="CA3" s="47" t="n"/>
      <c r="CB3" s="47" t="n"/>
      <c r="CC3" s="47" t="n"/>
      <c r="CD3" s="47" t="n"/>
      <c r="CE3" s="47" t="n"/>
      <c r="CF3" s="47" t="n"/>
      <c r="CG3" s="47" t="n"/>
      <c r="CH3" s="47" t="n"/>
      <c r="CI3" s="47" t="n"/>
      <c r="CJ3" s="47" t="n"/>
      <c r="CK3" s="47" t="n"/>
      <c r="CL3" s="47" t="n"/>
      <c r="CM3" s="47" t="n"/>
      <c r="CN3" s="47" t="n"/>
      <c r="CO3" s="47" t="n"/>
      <c r="CP3" s="47" t="n"/>
      <c r="CQ3" s="47" t="n"/>
      <c r="CR3" s="47" t="n"/>
      <c r="CS3" s="47" t="n"/>
      <c r="CT3" s="47" t="n"/>
      <c r="CU3" s="47" t="n"/>
      <c r="CV3" s="47" t="n"/>
      <c r="CW3" s="47" t="n"/>
      <c r="CX3" s="47" t="n"/>
      <c r="CY3" s="47" t="n"/>
      <c r="CZ3" s="47" t="n"/>
      <c r="DA3" s="47" t="n"/>
      <c r="DB3" s="47" t="n"/>
      <c r="DC3" s="47" t="n"/>
      <c r="DD3" s="47" t="n"/>
      <c r="DE3" s="47" t="n"/>
      <c r="DF3" s="47" t="n"/>
      <c r="DG3" s="47" t="n"/>
      <c r="DH3" s="47" t="n"/>
      <c r="DI3" s="47" t="n"/>
      <c r="DJ3" s="47" t="n"/>
      <c r="DK3" s="47" t="n"/>
      <c r="DL3" s="47" t="n"/>
      <c r="DM3" s="47" t="n"/>
      <c r="DN3" s="47" t="n"/>
      <c r="DO3" s="47" t="n"/>
      <c r="DP3" s="47" t="n"/>
      <c r="DQ3" s="47" t="n"/>
      <c r="DR3" s="47" t="n"/>
      <c r="DS3" s="47" t="n"/>
      <c r="DT3" s="47" t="n"/>
      <c r="DU3" s="47" t="n"/>
      <c r="DV3" s="47" t="n"/>
      <c r="DW3" s="47" t="n"/>
      <c r="DX3" s="47" t="n"/>
      <c r="DY3" s="47" t="n"/>
      <c r="DZ3" s="47" t="n"/>
      <c r="EA3" s="47" t="n"/>
      <c r="EB3" s="47" t="n"/>
      <c r="EC3" s="47" t="n"/>
      <c r="ED3" s="47" t="n"/>
      <c r="EE3" s="47" t="n"/>
      <c r="EF3" s="47" t="n"/>
      <c r="EG3" s="47" t="n"/>
      <c r="EH3" s="47" t="n"/>
      <c r="EI3" s="47" t="n"/>
      <c r="EJ3" s="47" t="n"/>
      <c r="EK3" s="47" t="n"/>
      <c r="EL3" s="47" t="n"/>
      <c r="EM3" s="47" t="n"/>
      <c r="EN3" s="47" t="n"/>
      <c r="EO3" s="47" t="n"/>
      <c r="EP3" s="47" t="n"/>
      <c r="EQ3" s="47" t="n"/>
      <c r="ER3" s="47" t="n"/>
      <c r="ES3" s="47" t="n"/>
      <c r="ET3" s="47" t="n"/>
      <c r="EU3" s="47" t="n"/>
      <c r="EV3" s="47" t="n"/>
      <c r="EW3" s="47" t="n"/>
      <c r="EX3" s="47" t="n"/>
      <c r="EY3" s="47" t="n"/>
      <c r="EZ3" s="47" t="n"/>
      <c r="FA3" s="47" t="n"/>
      <c r="FB3" s="47" t="n"/>
      <c r="FC3" s="47" t="n"/>
      <c r="FD3" s="47" t="n"/>
      <c r="FE3" s="47" t="n"/>
      <c r="FF3" s="47" t="n"/>
      <c r="FG3" s="47" t="n"/>
      <c r="FH3" s="47" t="n"/>
      <c r="FI3" s="47" t="n"/>
      <c r="FJ3" s="47" t="n"/>
      <c r="FK3" s="47" t="n"/>
      <c r="FL3" s="47" t="n"/>
      <c r="FM3" s="47" t="n"/>
      <c r="FN3" s="47" t="n"/>
      <c r="FO3" s="47" t="n"/>
      <c r="FP3" s="47" t="n"/>
      <c r="FQ3" s="47" t="n"/>
      <c r="FR3" s="47" t="n"/>
      <c r="FS3" s="47" t="n"/>
      <c r="FT3" s="47" t="n"/>
      <c r="FU3" s="47" t="n"/>
      <c r="FV3" s="47" t="n"/>
      <c r="FW3" s="47" t="n"/>
      <c r="FX3" s="47" t="n"/>
      <c r="FY3" s="47" t="n"/>
      <c r="FZ3" s="47" t="n"/>
      <c r="GA3" s="47" t="n"/>
      <c r="GB3" s="47" t="n"/>
      <c r="GC3" s="47" t="n"/>
      <c r="GD3" s="47" t="n"/>
      <c r="GE3" s="47" t="n"/>
      <c r="GF3" s="47" t="n"/>
      <c r="GG3" s="47" t="n"/>
      <c r="GH3" s="47" t="n"/>
      <c r="GI3" s="47" t="n"/>
      <c r="GJ3" s="47" t="n"/>
      <c r="GK3" s="47" t="n"/>
      <c r="GL3" s="47" t="n"/>
      <c r="GM3" s="47" t="n"/>
      <c r="GN3" s="47" t="n"/>
      <c r="GO3" s="47" t="n"/>
      <c r="GP3" s="47" t="n"/>
      <c r="GQ3" s="47" t="n"/>
      <c r="GR3" s="47" t="n"/>
      <c r="GS3" s="47" t="n"/>
      <c r="GT3" s="47" t="n"/>
      <c r="GU3" s="47" t="n"/>
      <c r="GV3" s="47" t="n"/>
      <c r="GW3" s="47" t="n"/>
      <c r="GX3" s="47" t="n"/>
      <c r="GY3" s="47" t="n"/>
      <c r="GZ3" s="47" t="n"/>
      <c r="HA3" s="47" t="n"/>
      <c r="HB3" s="47" t="n"/>
      <c r="HC3" s="47" t="n"/>
      <c r="HD3" s="47" t="n"/>
      <c r="HE3" s="47" t="n"/>
      <c r="HF3" s="47" t="n"/>
      <c r="HG3" s="47" t="n"/>
      <c r="HH3" s="47" t="n"/>
      <c r="HI3" s="47" t="n"/>
      <c r="HJ3" s="47" t="n"/>
      <c r="HK3" s="47" t="n"/>
      <c r="HL3" s="47" t="n"/>
      <c r="HM3" s="47" t="n"/>
      <c r="HN3" s="47" t="n"/>
      <c r="HO3" s="47" t="n"/>
      <c r="HP3" s="47" t="n"/>
      <c r="HQ3" s="47" t="n"/>
      <c r="HR3" s="47" t="n"/>
      <c r="HS3" s="47" t="n"/>
      <c r="HT3" s="47" t="n"/>
      <c r="HU3" s="47" t="n"/>
      <c r="HV3" s="47" t="n"/>
      <c r="HW3" s="47" t="n"/>
      <c r="HX3" s="47" t="n"/>
      <c r="HY3" s="47" t="n"/>
      <c r="HZ3" s="47" t="n"/>
    </row>
    <row r="4" ht="42" customHeight="1" s="54">
      <c r="A4" s="46" t="inlineStr">
        <is>
          <t>11-20</t>
        </is>
      </c>
      <c r="B4" s="48">
        <f>IFERROR(__xludf.DUMMYFUNCTION("TRANSPOSE(
  FILTER(
    IF(
      'ALL PPR Drafts'!C$2:C1000 = """",
      'ALL PPR Drafts'!D$2:D1000 &amp; "" ("" &amp; 'ALL PPR Drafts'!F$2:F1000 &amp; "", "" &amp; 'ALL PPR Drafts'!H$2:H1000 &amp; "", "" &amp; 'ALL PPR Drafts'!I$2:I1000 &amp; "")"",
      """"
    ),
    VALUE('"&amp;"ALL PPR Drafts'!G$2:G1000) &gt;= 11,
    VALUE('ALL PPR Drafts'!G$2:G1000) &lt;= 20.99
  )
)
"),"")</f>
        <v/>
      </c>
      <c r="C4" s="47">
        <f>IFERROR(__xludf.DUMMYFUNCTION("""COMPUTED_VALUE"""),"")</f>
        <v/>
      </c>
      <c r="D4" s="47">
        <f>IFERROR(__xludf.DUMMYFUNCTION("""COMPUTED_VALUE"""),"")</f>
        <v/>
      </c>
      <c r="E4" s="47">
        <f>IFERROR(__xludf.DUMMYFUNCTION("""COMPUTED_VALUE"""),"")</f>
        <v/>
      </c>
      <c r="F4" s="47">
        <f>IFERROR(__xludf.DUMMYFUNCTION("""COMPUTED_VALUE"""),"")</f>
        <v/>
      </c>
      <c r="G4" s="47">
        <f>IFERROR(__xludf.DUMMYFUNCTION("""COMPUTED_VALUE"""),"")</f>
        <v/>
      </c>
      <c r="H4" s="47">
        <f>IFERROR(__xludf.DUMMYFUNCTION("""COMPUTED_VALUE"""),"")</f>
        <v/>
      </c>
      <c r="I4" s="47">
        <f>IFERROR(__xludf.DUMMYFUNCTION("""COMPUTED_VALUE"""),"Jeremiyah Love (RB, 4.2, 3)")</f>
        <v/>
      </c>
      <c r="J4" s="47">
        <f>IFERROR(__xludf.DUMMYFUNCTION("""COMPUTED_VALUE"""),"")</f>
        <v/>
      </c>
      <c r="K4" s="47">
        <f>IFERROR(__xludf.DUMMYFUNCTION("""COMPUTED_VALUE"""),"")</f>
        <v/>
      </c>
      <c r="L4" s="47" t="n"/>
      <c r="M4" s="47" t="n"/>
      <c r="N4" s="47" t="n"/>
      <c r="O4" s="47" t="n"/>
      <c r="P4" s="47" t="n"/>
      <c r="Q4" s="47" t="n"/>
      <c r="R4" s="47" t="n"/>
      <c r="S4" s="47" t="n"/>
      <c r="T4" s="47" t="n"/>
      <c r="U4" s="47" t="n"/>
      <c r="V4" s="47" t="n"/>
      <c r="W4" s="47" t="n"/>
      <c r="X4" s="47" t="n"/>
      <c r="Y4" s="47" t="n"/>
      <c r="Z4" s="47" t="n"/>
      <c r="AA4" s="47" t="n"/>
      <c r="AB4" s="47" t="n"/>
      <c r="AC4" s="47" t="n"/>
      <c r="AD4" s="47" t="n"/>
      <c r="AE4" s="47" t="n"/>
      <c r="AF4" s="47" t="n"/>
      <c r="AG4" s="47" t="n"/>
      <c r="AH4" s="47" t="n"/>
      <c r="AI4" s="47" t="n"/>
      <c r="AJ4" s="47" t="n"/>
      <c r="AK4" s="47" t="n"/>
      <c r="AL4" s="47" t="n"/>
      <c r="AM4" s="47" t="n"/>
      <c r="AN4" s="47" t="n"/>
      <c r="AO4" s="47" t="n"/>
      <c r="AP4" s="47" t="n"/>
      <c r="AQ4" s="47" t="n"/>
      <c r="AR4" s="47" t="n"/>
      <c r="AS4" s="47" t="n"/>
      <c r="AT4" s="47" t="n"/>
      <c r="AU4" s="47" t="n"/>
      <c r="AV4" s="47" t="n"/>
      <c r="AW4" s="47" t="n"/>
      <c r="AX4" s="47" t="n"/>
      <c r="AY4" s="47" t="n"/>
      <c r="AZ4" s="47" t="n"/>
      <c r="BA4" s="47" t="n"/>
      <c r="BB4" s="47" t="n"/>
      <c r="BC4" s="47" t="n"/>
      <c r="BD4" s="47" t="n"/>
      <c r="BE4" s="47" t="n"/>
      <c r="BF4" s="47" t="n"/>
      <c r="BG4" s="47" t="n"/>
      <c r="BH4" s="47" t="n"/>
      <c r="BI4" s="47" t="n"/>
      <c r="BJ4" s="47" t="n"/>
      <c r="BK4" s="47" t="n"/>
      <c r="BL4" s="47" t="n"/>
      <c r="BM4" s="47" t="n"/>
      <c r="BN4" s="47" t="n"/>
      <c r="BO4" s="47" t="n"/>
      <c r="BP4" s="47" t="n"/>
      <c r="BQ4" s="47" t="n"/>
      <c r="BR4" s="47" t="n"/>
      <c r="BS4" s="47" t="n"/>
      <c r="BT4" s="47" t="n"/>
      <c r="BU4" s="47" t="n"/>
      <c r="BV4" s="47" t="n"/>
      <c r="BW4" s="47" t="n"/>
      <c r="BX4" s="47" t="n"/>
      <c r="BY4" s="47" t="n"/>
      <c r="BZ4" s="47" t="n"/>
      <c r="CA4" s="47" t="n"/>
      <c r="CB4" s="47" t="n"/>
      <c r="CC4" s="47" t="n"/>
      <c r="CD4" s="47" t="n"/>
      <c r="CE4" s="47" t="n"/>
      <c r="CF4" s="47" t="n"/>
      <c r="CG4" s="47" t="n"/>
      <c r="CH4" s="47" t="n"/>
      <c r="CI4" s="47" t="n"/>
      <c r="CJ4" s="47" t="n"/>
      <c r="CK4" s="47" t="n"/>
      <c r="CL4" s="47" t="n"/>
      <c r="CM4" s="47" t="n"/>
      <c r="CN4" s="47" t="n"/>
      <c r="CO4" s="47" t="n"/>
      <c r="CP4" s="47" t="n"/>
      <c r="CQ4" s="47" t="n"/>
      <c r="CR4" s="47" t="n"/>
      <c r="CS4" s="47" t="n"/>
      <c r="CT4" s="47" t="n"/>
      <c r="CU4" s="47" t="n"/>
      <c r="CV4" s="47" t="n"/>
      <c r="CW4" s="47" t="n"/>
      <c r="CX4" s="47" t="n"/>
      <c r="CY4" s="47" t="n"/>
      <c r="CZ4" s="47" t="n"/>
      <c r="DA4" s="47" t="n"/>
      <c r="DB4" s="47" t="n"/>
      <c r="DC4" s="47" t="n"/>
      <c r="DD4" s="47" t="n"/>
      <c r="DE4" s="47" t="n"/>
      <c r="DF4" s="47" t="n"/>
      <c r="DG4" s="47" t="n"/>
      <c r="DH4" s="47" t="n"/>
      <c r="DI4" s="47" t="n"/>
      <c r="DJ4" s="47" t="n"/>
      <c r="DK4" s="47" t="n"/>
      <c r="DL4" s="47" t="n"/>
      <c r="DM4" s="47" t="n"/>
      <c r="DN4" s="47" t="n"/>
      <c r="DO4" s="47" t="n"/>
      <c r="DP4" s="47" t="n"/>
      <c r="DQ4" s="47" t="n"/>
      <c r="DR4" s="47" t="n"/>
      <c r="DS4" s="47" t="n"/>
      <c r="DT4" s="47" t="n"/>
      <c r="DU4" s="47" t="n"/>
      <c r="DV4" s="47" t="n"/>
      <c r="DW4" s="47" t="n"/>
      <c r="DX4" s="47" t="n"/>
      <c r="DY4" s="47" t="n"/>
      <c r="DZ4" s="47" t="n"/>
      <c r="EA4" s="47" t="n"/>
      <c r="EB4" s="47" t="n"/>
      <c r="EC4" s="47" t="n"/>
      <c r="ED4" s="47" t="n"/>
      <c r="EE4" s="47" t="n"/>
      <c r="EF4" s="47" t="n"/>
      <c r="EG4" s="47" t="n"/>
      <c r="EH4" s="47" t="n"/>
      <c r="EI4" s="47" t="n"/>
      <c r="EJ4" s="47" t="n"/>
      <c r="EK4" s="47" t="n"/>
      <c r="EL4" s="47" t="n"/>
      <c r="EM4" s="47" t="n"/>
      <c r="EN4" s="47" t="n"/>
      <c r="EO4" s="47" t="n"/>
      <c r="EP4" s="47" t="n"/>
      <c r="EQ4" s="47" t="n"/>
      <c r="ER4" s="47" t="n"/>
      <c r="ES4" s="47" t="n"/>
      <c r="ET4" s="47" t="n"/>
      <c r="EU4" s="47" t="n"/>
      <c r="EV4" s="47" t="n"/>
      <c r="EW4" s="47" t="n"/>
      <c r="EX4" s="47" t="n"/>
      <c r="EY4" s="47" t="n"/>
      <c r="EZ4" s="47" t="n"/>
      <c r="FA4" s="47" t="n"/>
      <c r="FB4" s="47" t="n"/>
      <c r="FC4" s="47" t="n"/>
      <c r="FD4" s="47" t="n"/>
      <c r="FE4" s="47" t="n"/>
      <c r="FF4" s="47" t="n"/>
      <c r="FG4" s="47" t="n"/>
      <c r="FH4" s="47" t="n"/>
      <c r="FI4" s="47" t="n"/>
      <c r="FJ4" s="47" t="n"/>
      <c r="FK4" s="47" t="n"/>
      <c r="FL4" s="47" t="n"/>
      <c r="FM4" s="47" t="n"/>
      <c r="FN4" s="47" t="n"/>
      <c r="FO4" s="47" t="n"/>
      <c r="FP4" s="47" t="n"/>
      <c r="FQ4" s="47" t="n"/>
      <c r="FR4" s="47" t="n"/>
      <c r="FS4" s="47" t="n"/>
      <c r="FT4" s="47" t="n"/>
      <c r="FU4" s="47" t="n"/>
      <c r="FV4" s="47" t="n"/>
      <c r="FW4" s="47" t="n"/>
      <c r="FX4" s="47" t="n"/>
      <c r="FY4" s="47" t="n"/>
      <c r="FZ4" s="47" t="n"/>
      <c r="GA4" s="47" t="n"/>
      <c r="GB4" s="47" t="n"/>
      <c r="GC4" s="47" t="n"/>
      <c r="GD4" s="47" t="n"/>
      <c r="GE4" s="47" t="n"/>
      <c r="GF4" s="47" t="n"/>
      <c r="GG4" s="47" t="n"/>
      <c r="GH4" s="47" t="n"/>
      <c r="GI4" s="47" t="n"/>
      <c r="GJ4" s="47" t="n"/>
      <c r="GK4" s="47" t="n"/>
      <c r="GL4" s="47" t="n"/>
      <c r="GM4" s="47" t="n"/>
      <c r="GN4" s="47" t="n"/>
      <c r="GO4" s="47" t="n"/>
      <c r="GP4" s="47" t="n"/>
      <c r="GQ4" s="47" t="n"/>
      <c r="GR4" s="47" t="n"/>
      <c r="GS4" s="47" t="n"/>
      <c r="GT4" s="47" t="n"/>
      <c r="GU4" s="47" t="n"/>
      <c r="GV4" s="47" t="n"/>
      <c r="GW4" s="47" t="n"/>
      <c r="GX4" s="47" t="n"/>
      <c r="GY4" s="47" t="n"/>
      <c r="GZ4" s="47" t="n"/>
      <c r="HA4" s="47" t="n"/>
      <c r="HB4" s="47" t="n"/>
      <c r="HC4" s="47" t="n"/>
      <c r="HD4" s="47" t="n"/>
      <c r="HE4" s="47" t="n"/>
      <c r="HF4" s="47" t="n"/>
      <c r="HG4" s="47" t="n"/>
      <c r="HH4" s="47" t="n"/>
      <c r="HI4" s="47" t="n"/>
      <c r="HJ4" s="47" t="n"/>
      <c r="HK4" s="47" t="n"/>
      <c r="HL4" s="47" t="n"/>
      <c r="HM4" s="47" t="n"/>
      <c r="HN4" s="47" t="n"/>
      <c r="HO4" s="47" t="n"/>
      <c r="HP4" s="47" t="n"/>
      <c r="HQ4" s="47" t="n"/>
      <c r="HR4" s="47" t="n"/>
      <c r="HS4" s="47" t="n"/>
      <c r="HT4" s="47" t="n"/>
      <c r="HU4" s="47" t="n"/>
      <c r="HV4" s="47" t="n"/>
      <c r="HW4" s="47" t="n"/>
      <c r="HX4" s="47" t="n"/>
      <c r="HY4" s="47" t="n"/>
      <c r="HZ4" s="47" t="n"/>
    </row>
    <row r="5" ht="42" customHeight="1" s="54">
      <c r="A5" s="46" t="inlineStr">
        <is>
          <t>21-30</t>
        </is>
      </c>
      <c r="B5" s="47">
        <f>IFERROR(__xludf.DUMMYFUNCTION("TRANSPOSE(
  FILTER(
    IF(
      'ALL PPR Drafts'!C$2:C1000 = """",
      'ALL PPR Drafts'!D$2:D1000 &amp; "" ("" &amp; 'ALL PPR Drafts'!F$2:F1000 &amp; "", "" &amp; 'ALL PPR Drafts'!H$2:H1000 &amp; "", "" &amp; 'ALL PPR Drafts'!I$2:I1000 &amp; "")"",
      """"
    ),
    VALUE('"&amp;"ALL PPR Drafts'!G$2:G1000) &gt;= 21,
    VALUE('ALL PPR Drafts'!G$2:G1000) &lt;= 30.99
  )
)
"),"")</f>
        <v/>
      </c>
      <c r="C5" s="47">
        <f>IFERROR(__xludf.DUMMYFUNCTION("""COMPUTED_VALUE"""),"")</f>
        <v/>
      </c>
      <c r="D5" s="47">
        <f>IFERROR(__xludf.DUMMYFUNCTION("""COMPUTED_VALUE"""),"")</f>
        <v/>
      </c>
      <c r="E5" s="47">
        <f>IFERROR(__xludf.DUMMYFUNCTION("""COMPUTED_VALUE"""),"Derrick Henry (RB, 4.8, 1)")</f>
        <v/>
      </c>
      <c r="F5" s="47">
        <f>IFERROR(__xludf.DUMMYFUNCTION("""COMPUTED_VALUE"""),"")</f>
        <v/>
      </c>
      <c r="G5" s="47">
        <f>IFERROR(__xludf.DUMMYFUNCTION("""COMPUTED_VALUE"""),"")</f>
        <v/>
      </c>
      <c r="H5" s="47">
        <f>IFERROR(__xludf.DUMMYFUNCTION("""COMPUTED_VALUE"""),"Lamar Jackson (QB, 1.2, 3)")</f>
        <v/>
      </c>
      <c r="I5" s="47">
        <f>IFERROR(__xludf.DUMMYFUNCTION("""COMPUTED_VALUE"""),"Tee Higgins (WR, 5.3, 3)")</f>
        <v/>
      </c>
      <c r="J5" s="47">
        <f>IFERROR(__xludf.DUMMYFUNCTION("""COMPUTED_VALUE"""),"Kenneth Walker III (RB, 8.3, 3)")</f>
        <v/>
      </c>
      <c r="K5" s="48">
        <f>IFERROR(__xludf.DUMMYFUNCTION("""COMPUTED_VALUE"""),"A.J. Brown (WR, 5.3, 3)")</f>
        <v/>
      </c>
      <c r="L5" s="47">
        <f>IFERROR(__xludf.DUMMYFUNCTION("""COMPUTED_VALUE"""),"")</f>
        <v/>
      </c>
      <c r="M5" s="47" t="n"/>
      <c r="N5" s="47" t="n"/>
      <c r="O5" s="47" t="n"/>
      <c r="P5" s="47" t="n"/>
      <c r="Q5" s="47" t="n"/>
      <c r="R5" s="47" t="n"/>
      <c r="S5" s="47" t="n"/>
      <c r="T5" s="47" t="n"/>
      <c r="U5" s="47" t="n"/>
      <c r="V5" s="47" t="n"/>
      <c r="W5" s="47" t="n"/>
      <c r="X5" s="47" t="n"/>
      <c r="Y5" s="47" t="n"/>
      <c r="Z5" s="47" t="n"/>
      <c r="AA5" s="47" t="n"/>
      <c r="AB5" s="47" t="n"/>
      <c r="AC5" s="47" t="n"/>
      <c r="AD5" s="47" t="n"/>
      <c r="AE5" s="47" t="n"/>
      <c r="AF5" s="47" t="n"/>
      <c r="AG5" s="47" t="n"/>
      <c r="AH5" s="47" t="n"/>
      <c r="AI5" s="47" t="n"/>
      <c r="AJ5" s="47" t="n"/>
      <c r="AK5" s="47" t="n"/>
      <c r="AL5" s="47" t="n"/>
      <c r="AM5" s="47" t="n"/>
      <c r="AN5" s="47" t="n"/>
      <c r="AO5" s="47" t="n"/>
      <c r="AP5" s="47" t="n"/>
      <c r="AQ5" s="47" t="n"/>
      <c r="AR5" s="47" t="n"/>
      <c r="AS5" s="47" t="n"/>
      <c r="AT5" s="47" t="n"/>
      <c r="AU5" s="47" t="n"/>
      <c r="AV5" s="47" t="n"/>
      <c r="AW5" s="47" t="n"/>
      <c r="AX5" s="47" t="n"/>
      <c r="AY5" s="47" t="n"/>
      <c r="AZ5" s="47" t="n"/>
      <c r="BA5" s="47" t="n"/>
      <c r="BB5" s="47" t="n"/>
      <c r="BC5" s="47" t="n"/>
      <c r="BD5" s="47" t="n"/>
      <c r="BE5" s="47" t="n"/>
      <c r="BF5" s="47" t="n"/>
      <c r="BG5" s="47" t="n"/>
      <c r="BH5" s="47" t="n"/>
      <c r="BI5" s="47" t="n"/>
      <c r="BJ5" s="47" t="n"/>
      <c r="BK5" s="47" t="n"/>
      <c r="BL5" s="47" t="n"/>
      <c r="BM5" s="47" t="n"/>
      <c r="BN5" s="47" t="n"/>
      <c r="BO5" s="47" t="n"/>
      <c r="BP5" s="47" t="n"/>
      <c r="BQ5" s="47" t="n"/>
      <c r="BR5" s="47" t="n"/>
      <c r="BS5" s="47" t="n"/>
      <c r="BT5" s="47" t="n"/>
      <c r="BU5" s="47" t="n"/>
      <c r="BV5" s="47" t="n"/>
      <c r="BW5" s="47" t="n"/>
      <c r="BX5" s="47" t="n"/>
      <c r="BY5" s="47" t="n"/>
      <c r="BZ5" s="47" t="n"/>
      <c r="CA5" s="47" t="n"/>
      <c r="CB5" s="47" t="n"/>
      <c r="CC5" s="47" t="n"/>
      <c r="CD5" s="47" t="n"/>
      <c r="CE5" s="47" t="n"/>
      <c r="CF5" s="47" t="n"/>
      <c r="CG5" s="47" t="n"/>
      <c r="CH5" s="47" t="n"/>
      <c r="CI5" s="47" t="n"/>
      <c r="CJ5" s="47" t="n"/>
      <c r="CK5" s="47" t="n"/>
      <c r="CL5" s="47" t="n"/>
      <c r="CM5" s="47" t="n"/>
      <c r="CN5" s="47" t="n"/>
      <c r="CO5" s="47" t="n"/>
      <c r="CP5" s="47" t="n"/>
      <c r="CQ5" s="47" t="n"/>
      <c r="CR5" s="47" t="n"/>
      <c r="CS5" s="47" t="n"/>
      <c r="CT5" s="47" t="n"/>
      <c r="CU5" s="47" t="n"/>
      <c r="CV5" s="47" t="n"/>
      <c r="CW5" s="47" t="n"/>
      <c r="CX5" s="47" t="n"/>
      <c r="CY5" s="47" t="n"/>
      <c r="CZ5" s="47" t="n"/>
      <c r="DA5" s="47" t="n"/>
      <c r="DB5" s="47" t="n"/>
      <c r="DC5" s="47" t="n"/>
      <c r="DD5" s="47" t="n"/>
      <c r="DE5" s="47" t="n"/>
      <c r="DF5" s="47" t="n"/>
      <c r="DG5" s="47" t="n"/>
      <c r="DH5" s="47" t="n"/>
      <c r="DI5" s="47" t="n"/>
      <c r="DJ5" s="47" t="n"/>
      <c r="DK5" s="47" t="n"/>
      <c r="DL5" s="47" t="n"/>
      <c r="DM5" s="47" t="n"/>
      <c r="DN5" s="47" t="n"/>
      <c r="DO5" s="47" t="n"/>
      <c r="DP5" s="47" t="n"/>
      <c r="DQ5" s="47" t="n"/>
      <c r="DR5" s="47" t="n"/>
      <c r="DS5" s="47" t="n"/>
      <c r="DT5" s="47" t="n"/>
      <c r="DU5" s="47" t="n"/>
      <c r="DV5" s="47" t="n"/>
      <c r="DW5" s="47" t="n"/>
      <c r="DX5" s="47" t="n"/>
      <c r="DY5" s="47" t="n"/>
      <c r="DZ5" s="47" t="n"/>
      <c r="EA5" s="47" t="n"/>
      <c r="EB5" s="47" t="n"/>
      <c r="EC5" s="47" t="n"/>
      <c r="ED5" s="47" t="n"/>
      <c r="EE5" s="47" t="n"/>
      <c r="EF5" s="47" t="n"/>
      <c r="EG5" s="47" t="n"/>
      <c r="EH5" s="47" t="n"/>
      <c r="EI5" s="47" t="n"/>
      <c r="EJ5" s="47" t="n"/>
      <c r="EK5" s="47" t="n"/>
      <c r="EL5" s="47" t="n"/>
      <c r="EM5" s="47" t="n"/>
      <c r="EN5" s="47" t="n"/>
      <c r="EO5" s="47" t="n"/>
      <c r="EP5" s="47" t="n"/>
      <c r="EQ5" s="47" t="n"/>
      <c r="ER5" s="47" t="n"/>
      <c r="ES5" s="47" t="n"/>
      <c r="ET5" s="47" t="n"/>
      <c r="EU5" s="47" t="n"/>
      <c r="EV5" s="47" t="n"/>
      <c r="EW5" s="47" t="n"/>
      <c r="EX5" s="47" t="n"/>
      <c r="EY5" s="47" t="n"/>
      <c r="EZ5" s="47" t="n"/>
      <c r="FA5" s="47" t="n"/>
      <c r="FB5" s="47" t="n"/>
      <c r="FC5" s="47" t="n"/>
      <c r="FD5" s="47" t="n"/>
      <c r="FE5" s="47" t="n"/>
      <c r="FF5" s="47" t="n"/>
      <c r="FG5" s="47" t="n"/>
      <c r="FH5" s="47" t="n"/>
      <c r="FI5" s="47" t="n"/>
      <c r="FJ5" s="47" t="n"/>
      <c r="FK5" s="47" t="n"/>
      <c r="FL5" s="47" t="n"/>
      <c r="FM5" s="47" t="n"/>
      <c r="FN5" s="47" t="n"/>
      <c r="FO5" s="47" t="n"/>
      <c r="FP5" s="47" t="n"/>
      <c r="FQ5" s="47" t="n"/>
      <c r="FR5" s="47" t="n"/>
      <c r="FS5" s="47" t="n"/>
      <c r="FT5" s="47" t="n"/>
      <c r="FU5" s="47" t="n"/>
      <c r="FV5" s="47" t="n"/>
      <c r="FW5" s="47" t="n"/>
      <c r="FX5" s="47" t="n"/>
      <c r="FY5" s="47" t="n"/>
      <c r="FZ5" s="47" t="n"/>
      <c r="GA5" s="47" t="n"/>
      <c r="GB5" s="47" t="n"/>
      <c r="GC5" s="47" t="n"/>
      <c r="GD5" s="47" t="n"/>
      <c r="GE5" s="47" t="n"/>
      <c r="GF5" s="47" t="n"/>
      <c r="GG5" s="47" t="n"/>
      <c r="GH5" s="47" t="n"/>
      <c r="GI5" s="47" t="n"/>
      <c r="GJ5" s="47" t="n"/>
      <c r="GK5" s="47" t="n"/>
      <c r="GL5" s="47" t="n"/>
      <c r="GM5" s="47" t="n"/>
      <c r="GN5" s="47" t="n"/>
      <c r="GO5" s="47" t="n"/>
      <c r="GP5" s="47" t="n"/>
      <c r="GQ5" s="47" t="n"/>
      <c r="GR5" s="47" t="n"/>
      <c r="GS5" s="47" t="n"/>
      <c r="GT5" s="47" t="n"/>
      <c r="GU5" s="47" t="n"/>
      <c r="GV5" s="47" t="n"/>
      <c r="GW5" s="47" t="n"/>
      <c r="GX5" s="47" t="n"/>
      <c r="GY5" s="47" t="n"/>
      <c r="GZ5" s="47" t="n"/>
      <c r="HA5" s="47" t="n"/>
      <c r="HB5" s="47" t="n"/>
      <c r="HC5" s="47" t="n"/>
      <c r="HD5" s="47" t="n"/>
      <c r="HE5" s="47" t="n"/>
      <c r="HF5" s="47" t="n"/>
      <c r="HG5" s="47" t="n"/>
      <c r="HH5" s="47" t="n"/>
      <c r="HI5" s="47" t="n"/>
      <c r="HJ5" s="47" t="n"/>
      <c r="HK5" s="47" t="n"/>
      <c r="HL5" s="47" t="n"/>
      <c r="HM5" s="47" t="n"/>
      <c r="HN5" s="47" t="n"/>
      <c r="HO5" s="47" t="n"/>
      <c r="HP5" s="47" t="n"/>
      <c r="HQ5" s="47" t="n"/>
      <c r="HR5" s="47" t="n"/>
      <c r="HS5" s="47" t="n"/>
      <c r="HT5" s="47" t="n"/>
      <c r="HU5" s="47" t="n"/>
      <c r="HV5" s="47" t="n"/>
      <c r="HW5" s="47" t="n"/>
      <c r="HX5" s="47" t="n"/>
      <c r="HY5" s="47" t="n"/>
      <c r="HZ5" s="47" t="n"/>
    </row>
    <row r="6" ht="42" customHeight="1" s="54">
      <c r="A6" s="46" t="inlineStr">
        <is>
          <t>31-40</t>
        </is>
      </c>
      <c r="B6" s="47">
        <f>IFERROR(__xludf.DUMMYFUNCTION("TRANSPOSE(
  FILTER(
    IF(
      'ALL PPR Drafts'!C$2:C1000 = """",
      'ALL PPR Drafts'!D$2:D1000 &amp; "" ("" &amp; 'ALL PPR Drafts'!F$2:F1000 &amp; "", "" &amp; 'ALL PPR Drafts'!H$2:H1000 &amp; "", "" &amp; 'ALL PPR Drafts'!I$2:I1000 &amp; "")"",
      """"
    ),
    VALUE('"&amp;"ALL PPR Drafts'!G$2:G1000) &gt;= 31,
    VALUE('ALL PPR Drafts'!G$2:G1000) &lt;= 40.99
  )
)
"),"Josh Jacobs (RB, 7.7, 4)")</f>
        <v/>
      </c>
      <c r="C6" s="47">
        <f>IFERROR(__xludf.DUMMYFUNCTION("""COMPUTED_VALUE"""),"")</f>
        <v/>
      </c>
      <c r="D6" s="47">
        <f>IFERROR(__xludf.DUMMYFUNCTION("""COMPUTED_VALUE"""),"")</f>
        <v/>
      </c>
      <c r="E6" s="47">
        <f>IFERROR(__xludf.DUMMYFUNCTION("""COMPUTED_VALUE"""),"Davante Adams (WR, 5, 3)")</f>
        <v/>
      </c>
      <c r="F6" s="47">
        <f>IFERROR(__xludf.DUMMYFUNCTION("""COMPUTED_VALUE"""),"")</f>
        <v/>
      </c>
      <c r="G6" s="47" t="n"/>
      <c r="H6" s="47" t="n"/>
      <c r="I6" s="47" t="n"/>
      <c r="J6" s="47" t="n"/>
      <c r="K6" s="48" t="n"/>
      <c r="L6" s="47" t="n"/>
      <c r="M6" s="47" t="n"/>
      <c r="N6" s="47" t="n"/>
      <c r="O6" s="47" t="n"/>
      <c r="P6" s="47" t="n"/>
      <c r="Q6" s="47" t="n"/>
      <c r="R6" s="47" t="n"/>
      <c r="S6" s="47" t="n"/>
      <c r="T6" s="47" t="n"/>
      <c r="U6" s="47" t="n"/>
      <c r="V6" s="47" t="n"/>
      <c r="W6" s="47" t="n"/>
      <c r="X6" s="47" t="n"/>
      <c r="Y6" s="47" t="n"/>
      <c r="Z6" s="47" t="n"/>
      <c r="AA6" s="47" t="n"/>
      <c r="AB6" s="47" t="n"/>
      <c r="AC6" s="47" t="n"/>
      <c r="AD6" s="47" t="n"/>
      <c r="AE6" s="47" t="n"/>
      <c r="AF6" s="47" t="n"/>
      <c r="AG6" s="47" t="n"/>
      <c r="AH6" s="47" t="n"/>
      <c r="AI6" s="47" t="n"/>
      <c r="AJ6" s="47" t="n"/>
      <c r="AK6" s="47" t="n"/>
      <c r="AL6" s="47" t="n"/>
      <c r="AM6" s="47" t="n"/>
      <c r="AN6" s="47" t="n"/>
      <c r="AO6" s="47" t="n"/>
      <c r="AP6" s="47" t="n"/>
      <c r="AQ6" s="47" t="n"/>
      <c r="AR6" s="47" t="n"/>
      <c r="AS6" s="47" t="n"/>
      <c r="AT6" s="47" t="n"/>
      <c r="AU6" s="47" t="n"/>
      <c r="AV6" s="47" t="n"/>
      <c r="AW6" s="47" t="n"/>
      <c r="AX6" s="47" t="n"/>
      <c r="AY6" s="47" t="n"/>
      <c r="AZ6" s="47" t="n"/>
      <c r="BA6" s="47" t="n"/>
      <c r="BB6" s="47" t="n"/>
      <c r="BC6" s="47" t="n"/>
      <c r="BD6" s="47" t="n"/>
      <c r="BE6" s="47" t="n"/>
      <c r="BF6" s="47" t="n"/>
      <c r="BG6" s="47" t="n"/>
      <c r="BH6" s="47" t="n"/>
      <c r="BI6" s="47" t="n"/>
      <c r="BJ6" s="47" t="n"/>
      <c r="BK6" s="47" t="n"/>
      <c r="BL6" s="47" t="n"/>
      <c r="BM6" s="47" t="n"/>
      <c r="BN6" s="47" t="n"/>
      <c r="BO6" s="47" t="n"/>
      <c r="BP6" s="47" t="n"/>
      <c r="BQ6" s="47" t="n"/>
      <c r="BR6" s="47" t="n"/>
      <c r="BS6" s="47" t="n"/>
      <c r="BT6" s="47" t="n"/>
      <c r="BU6" s="47" t="n"/>
      <c r="BV6" s="47" t="n"/>
      <c r="BW6" s="47" t="n"/>
      <c r="BX6" s="47" t="n"/>
      <c r="BY6" s="47" t="n"/>
      <c r="BZ6" s="47" t="n"/>
      <c r="CA6" s="47" t="n"/>
      <c r="CB6" s="47" t="n"/>
      <c r="CC6" s="47" t="n"/>
      <c r="CD6" s="47" t="n"/>
      <c r="CE6" s="47" t="n"/>
      <c r="CF6" s="47" t="n"/>
      <c r="CG6" s="47" t="n"/>
      <c r="CH6" s="47" t="n"/>
      <c r="CI6" s="47" t="n"/>
      <c r="CJ6" s="47" t="n"/>
      <c r="CK6" s="47" t="n"/>
      <c r="CL6" s="47" t="n"/>
      <c r="CM6" s="47" t="n"/>
      <c r="CN6" s="47" t="n"/>
      <c r="CO6" s="47" t="n"/>
      <c r="CP6" s="47" t="n"/>
      <c r="CQ6" s="47" t="n"/>
      <c r="CR6" s="47" t="n"/>
      <c r="CS6" s="47" t="n"/>
      <c r="CT6" s="47" t="n"/>
      <c r="CU6" s="47" t="n"/>
      <c r="CV6" s="47" t="n"/>
      <c r="CW6" s="47" t="n"/>
      <c r="CX6" s="47" t="n"/>
      <c r="CY6" s="47" t="n"/>
      <c r="CZ6" s="47" t="n"/>
      <c r="DA6" s="47" t="n"/>
      <c r="DB6" s="47" t="n"/>
      <c r="DC6" s="47" t="n"/>
      <c r="DD6" s="47" t="n"/>
      <c r="DE6" s="47" t="n"/>
      <c r="DF6" s="47" t="n"/>
      <c r="DG6" s="47" t="n"/>
      <c r="DH6" s="47" t="n"/>
      <c r="DI6" s="47" t="n"/>
      <c r="DJ6" s="47" t="n"/>
      <c r="DK6" s="47" t="n"/>
      <c r="DL6" s="47" t="n"/>
      <c r="DM6" s="47" t="n"/>
      <c r="DN6" s="47" t="n"/>
      <c r="DO6" s="47" t="n"/>
      <c r="DP6" s="47" t="n"/>
      <c r="DQ6" s="47" t="n"/>
      <c r="DR6" s="47" t="n"/>
      <c r="DS6" s="47" t="n"/>
      <c r="DT6" s="47" t="n"/>
      <c r="DU6" s="47" t="n"/>
      <c r="DV6" s="47" t="n"/>
      <c r="DW6" s="47" t="n"/>
      <c r="DX6" s="47" t="n"/>
      <c r="DY6" s="47" t="n"/>
      <c r="DZ6" s="47" t="n"/>
      <c r="EA6" s="47" t="n"/>
      <c r="EB6" s="47" t="n"/>
      <c r="EC6" s="47" t="n"/>
      <c r="ED6" s="47" t="n"/>
      <c r="EE6" s="47" t="n"/>
      <c r="EF6" s="47" t="n"/>
      <c r="EG6" s="47" t="n"/>
      <c r="EH6" s="47" t="n"/>
      <c r="EI6" s="47" t="n"/>
      <c r="EJ6" s="47" t="n"/>
      <c r="EK6" s="47" t="n"/>
      <c r="EL6" s="47" t="n"/>
      <c r="EM6" s="47" t="n"/>
      <c r="EN6" s="47" t="n"/>
      <c r="EO6" s="47" t="n"/>
      <c r="EP6" s="47" t="n"/>
      <c r="EQ6" s="47" t="n"/>
      <c r="ER6" s="47" t="n"/>
      <c r="ES6" s="47" t="n"/>
      <c r="ET6" s="47" t="n"/>
      <c r="EU6" s="47" t="n"/>
      <c r="EV6" s="47" t="n"/>
      <c r="EW6" s="47" t="n"/>
      <c r="EX6" s="47" t="n"/>
      <c r="EY6" s="47" t="n"/>
      <c r="EZ6" s="47" t="n"/>
      <c r="FA6" s="47" t="n"/>
      <c r="FB6" s="47" t="n"/>
      <c r="FC6" s="47" t="n"/>
      <c r="FD6" s="47" t="n"/>
      <c r="FE6" s="47" t="n"/>
      <c r="FF6" s="47" t="n"/>
      <c r="FG6" s="47" t="n"/>
      <c r="FH6" s="47" t="n"/>
      <c r="FI6" s="47" t="n"/>
      <c r="FJ6" s="47" t="n"/>
      <c r="FK6" s="47" t="n"/>
      <c r="FL6" s="47" t="n"/>
      <c r="FM6" s="47" t="n"/>
      <c r="FN6" s="47" t="n"/>
      <c r="FO6" s="47" t="n"/>
      <c r="FP6" s="47" t="n"/>
      <c r="FQ6" s="47" t="n"/>
      <c r="FR6" s="47" t="n"/>
      <c r="FS6" s="47" t="n"/>
      <c r="FT6" s="47" t="n"/>
      <c r="FU6" s="47" t="n"/>
      <c r="FV6" s="47" t="n"/>
      <c r="FW6" s="47" t="n"/>
      <c r="FX6" s="47" t="n"/>
      <c r="FY6" s="47" t="n"/>
      <c r="FZ6" s="47" t="n"/>
      <c r="GA6" s="47" t="n"/>
      <c r="GB6" s="47" t="n"/>
      <c r="GC6" s="47" t="n"/>
      <c r="GD6" s="47" t="n"/>
      <c r="GE6" s="47" t="n"/>
      <c r="GF6" s="47" t="n"/>
      <c r="GG6" s="47" t="n"/>
      <c r="GH6" s="47" t="n"/>
      <c r="GI6" s="47" t="n"/>
      <c r="GJ6" s="47" t="n"/>
      <c r="GK6" s="47" t="n"/>
      <c r="GL6" s="47" t="n"/>
      <c r="GM6" s="47" t="n"/>
      <c r="GN6" s="47" t="n"/>
      <c r="GO6" s="47" t="n"/>
      <c r="GP6" s="47" t="n"/>
      <c r="GQ6" s="47" t="n"/>
      <c r="GR6" s="47" t="n"/>
      <c r="GS6" s="47" t="n"/>
      <c r="GT6" s="47" t="n"/>
      <c r="GU6" s="47" t="n"/>
      <c r="GV6" s="47" t="n"/>
      <c r="GW6" s="47" t="n"/>
      <c r="GX6" s="47" t="n"/>
      <c r="GY6" s="47" t="n"/>
      <c r="GZ6" s="47" t="n"/>
      <c r="HA6" s="47" t="n"/>
      <c r="HB6" s="47" t="n"/>
      <c r="HC6" s="47" t="n"/>
      <c r="HD6" s="47" t="n"/>
      <c r="HE6" s="47" t="n"/>
      <c r="HF6" s="47" t="n"/>
      <c r="HG6" s="47" t="n"/>
      <c r="HH6" s="47" t="n"/>
      <c r="HI6" s="47" t="n"/>
      <c r="HJ6" s="47" t="n"/>
      <c r="HK6" s="47" t="n"/>
      <c r="HL6" s="47" t="n"/>
      <c r="HM6" s="47" t="n"/>
      <c r="HN6" s="47" t="n"/>
      <c r="HO6" s="47" t="n"/>
      <c r="HP6" s="47" t="n"/>
      <c r="HQ6" s="47" t="n"/>
      <c r="HR6" s="47" t="n"/>
      <c r="HS6" s="47" t="n"/>
      <c r="HT6" s="47" t="n"/>
      <c r="HU6" s="47" t="n"/>
      <c r="HV6" s="47" t="n"/>
      <c r="HW6" s="47" t="n"/>
      <c r="HX6" s="47" t="n"/>
      <c r="HY6" s="47" t="n"/>
      <c r="HZ6" s="47" t="n"/>
    </row>
    <row r="7" ht="42" customHeight="1" s="54">
      <c r="A7" s="46" t="inlineStr">
        <is>
          <t>41-50</t>
        </is>
      </c>
      <c r="B7" s="47">
        <f>IFERROR(__xludf.DUMMYFUNCTION("TRANSPOSE(
  FILTER(
    IF(
      'ALL PPR Drafts'!C$2:C1000 = """",
      'ALL PPR Drafts'!D$2:D1000 &amp; "" ("" &amp; 'ALL PPR Drafts'!F$2:F1000 &amp; "", "" &amp; 'ALL PPR Drafts'!H$2:H1000 &amp; "","" &amp; 'ALL PPR Drafts'!I$2:I1000 &amp; "")"",
      """"
    ),
    VALUE('A"&amp;"LL PPR Drafts'!G$2:G1000) &gt;= 41,
    VALUE('ALL PPR Drafts'!G$2:G1000) &lt;= 50.99
  )
)
"),"Breece Hall (RB, 5.8,4)")</f>
        <v/>
      </c>
      <c r="C7" s="47">
        <f>IFERROR(__xludf.DUMMYFUNCTION("""COMPUTED_VALUE"""),"Tucker Kraft (TE, 20.4,2)")</f>
        <v/>
      </c>
      <c r="D7" s="47">
        <f>IFERROR(__xludf.DUMMYFUNCTION("""COMPUTED_VALUE"""),"")</f>
        <v/>
      </c>
      <c r="E7" s="47">
        <f>IFERROR(__xludf.DUMMYFUNCTION("""COMPUTED_VALUE"""),"Zay Flowers (WR, 8.4,4)")</f>
        <v/>
      </c>
      <c r="F7" s="47">
        <f>IFERROR(__xludf.DUMMYFUNCTION("""COMPUTED_VALUE"""),"Joe Burrow (QB, 10.7,3)")</f>
        <v/>
      </c>
      <c r="G7" s="47">
        <f>IFERROR(__xludf.DUMMYFUNCTION("""COMPUTED_VALUE"""),"Javonte Williams (RB, 7.9,3)")</f>
        <v/>
      </c>
      <c r="H7" s="47">
        <f>IFERROR(__xludf.DUMMYFUNCTION("""COMPUTED_VALUE"""),"Travis Etienne Jr. (RB, 5.7,3)")</f>
        <v/>
      </c>
      <c r="I7" s="47">
        <f>IFERROR(__xludf.DUMMYFUNCTION("""COMPUTED_VALUE"""),"Jameson Williams (WR, 7.7,4)")</f>
        <v/>
      </c>
      <c r="J7" s="47">
        <f>IFERROR(__xludf.DUMMYFUNCTION("""COMPUTED_VALUE"""),"Jayden Daniels (QB, 11.3,4)")</f>
        <v/>
      </c>
      <c r="K7" s="47">
        <f>IFERROR(__xludf.DUMMYFUNCTION("""COMPUTED_VALUE"""),"Carnell Tate (WR, 13.9,3)")</f>
        <v/>
      </c>
      <c r="L7" s="47">
        <f>IFERROR(__xludf.DUMMYFUNCTION("""COMPUTED_VALUE"""),"Bucky Irving (RB, 4.7,3)")</f>
        <v/>
      </c>
      <c r="M7" s="47">
        <f>IFERROR(__xludf.DUMMYFUNCTION("""COMPUTED_VALUE"""),"Ladd McConkey (WR, 6.1,3)")</f>
        <v/>
      </c>
      <c r="N7" s="47">
        <f>IFERROR(__xludf.DUMMYFUNCTION("""COMPUTED_VALUE"""),"Terry McLaurin (WR, 6.9,4)")</f>
        <v/>
      </c>
      <c r="O7" s="47">
        <f>IFERROR(__xludf.DUMMYFUNCTION("""COMPUTED_VALUE"""),"Colston Loveland (TE, 11,4)")</f>
        <v/>
      </c>
      <c r="P7" s="47" t="n"/>
      <c r="Q7" s="47" t="n"/>
      <c r="R7" s="47" t="n"/>
      <c r="S7" s="47" t="n"/>
      <c r="T7" s="47" t="n"/>
      <c r="U7" s="47" t="n"/>
      <c r="V7" s="47" t="n"/>
      <c r="W7" s="47" t="n"/>
      <c r="X7" s="47" t="n"/>
      <c r="Y7" s="47" t="n"/>
      <c r="Z7" s="47" t="n"/>
      <c r="AA7" s="47" t="n"/>
      <c r="AB7" s="47" t="n"/>
      <c r="AC7" s="47" t="n"/>
      <c r="AD7" s="47" t="n"/>
      <c r="AE7" s="47" t="n"/>
      <c r="AF7" s="47" t="n"/>
      <c r="AG7" s="47" t="n"/>
      <c r="AH7" s="47" t="n"/>
      <c r="AI7" s="47" t="n"/>
      <c r="AJ7" s="47" t="n"/>
      <c r="AK7" s="47" t="n"/>
      <c r="AL7" s="47" t="n"/>
      <c r="AM7" s="47" t="n"/>
      <c r="AN7" s="47" t="n"/>
      <c r="AO7" s="47" t="n"/>
      <c r="AP7" s="47" t="n"/>
      <c r="AQ7" s="47" t="n"/>
      <c r="AR7" s="47" t="n"/>
      <c r="AS7" s="47" t="n"/>
      <c r="AT7" s="47" t="n"/>
      <c r="AU7" s="47" t="n"/>
      <c r="AV7" s="47" t="n"/>
      <c r="AW7" s="47" t="n"/>
      <c r="AX7" s="47" t="n"/>
      <c r="AY7" s="47" t="n"/>
      <c r="AZ7" s="47" t="n"/>
      <c r="BA7" s="47" t="n"/>
      <c r="BB7" s="47" t="n"/>
      <c r="BC7" s="47" t="n"/>
      <c r="BD7" s="47" t="n"/>
      <c r="BE7" s="47" t="n"/>
      <c r="BF7" s="47" t="n"/>
      <c r="BG7" s="47" t="n"/>
      <c r="BH7" s="47" t="n"/>
      <c r="BI7" s="47" t="n"/>
      <c r="BJ7" s="47" t="n"/>
      <c r="BK7" s="47" t="n"/>
      <c r="BL7" s="47" t="n"/>
      <c r="BM7" s="47" t="n"/>
      <c r="BN7" s="47" t="n"/>
      <c r="BO7" s="47" t="n"/>
      <c r="BP7" s="47" t="n"/>
      <c r="BQ7" s="47" t="n"/>
      <c r="BR7" s="47" t="n"/>
      <c r="BS7" s="47" t="n"/>
      <c r="BT7" s="47" t="n"/>
      <c r="BU7" s="47" t="n"/>
      <c r="BV7" s="47" t="n"/>
      <c r="BW7" s="47" t="n"/>
      <c r="BX7" s="47" t="n"/>
      <c r="BY7" s="47" t="n"/>
      <c r="BZ7" s="47" t="n"/>
      <c r="CA7" s="47" t="n"/>
      <c r="CB7" s="47" t="n"/>
      <c r="CC7" s="47" t="n"/>
      <c r="CD7" s="47" t="n"/>
      <c r="CE7" s="47" t="n"/>
      <c r="CF7" s="47" t="n"/>
      <c r="CG7" s="47" t="n"/>
      <c r="CH7" s="47" t="n"/>
      <c r="CI7" s="47" t="n"/>
      <c r="CJ7" s="47" t="n"/>
      <c r="CK7" s="47" t="n"/>
      <c r="CL7" s="47" t="n"/>
      <c r="CM7" s="47" t="n"/>
      <c r="CN7" s="47" t="n"/>
      <c r="CO7" s="47" t="n"/>
      <c r="CP7" s="47" t="n"/>
      <c r="CQ7" s="47" t="n"/>
      <c r="CR7" s="47" t="n"/>
      <c r="CS7" s="47" t="n"/>
      <c r="CT7" s="47" t="n"/>
      <c r="CU7" s="47" t="n"/>
      <c r="CV7" s="47" t="n"/>
      <c r="CW7" s="47" t="n"/>
      <c r="CX7" s="47" t="n"/>
      <c r="CY7" s="47" t="n"/>
      <c r="CZ7" s="47" t="n"/>
      <c r="DA7" s="47" t="n"/>
      <c r="DB7" s="47" t="n"/>
      <c r="DC7" s="47" t="n"/>
      <c r="DD7" s="47" t="n"/>
      <c r="DE7" s="47" t="n"/>
      <c r="DF7" s="47" t="n"/>
      <c r="DG7" s="47" t="n"/>
      <c r="DH7" s="47" t="n"/>
      <c r="DI7" s="47" t="n"/>
      <c r="DJ7" s="47" t="n"/>
      <c r="DK7" s="47" t="n"/>
      <c r="DL7" s="47" t="n"/>
      <c r="DM7" s="47" t="n"/>
      <c r="DN7" s="47" t="n"/>
      <c r="DO7" s="47" t="n"/>
      <c r="DP7" s="47" t="n"/>
      <c r="DQ7" s="47" t="n"/>
      <c r="DR7" s="47" t="n"/>
      <c r="DS7" s="47" t="n"/>
      <c r="DT7" s="47" t="n"/>
      <c r="DU7" s="47" t="n"/>
      <c r="DV7" s="47" t="n"/>
      <c r="DW7" s="47" t="n"/>
      <c r="DX7" s="47" t="n"/>
      <c r="DY7" s="47" t="n"/>
      <c r="DZ7" s="47" t="n"/>
      <c r="EA7" s="47" t="n"/>
      <c r="EB7" s="47" t="n"/>
      <c r="EC7" s="47" t="n"/>
      <c r="ED7" s="47" t="n"/>
      <c r="EE7" s="47" t="n"/>
      <c r="EF7" s="47" t="n"/>
      <c r="EG7" s="47" t="n"/>
      <c r="EH7" s="47" t="n"/>
      <c r="EI7" s="47" t="n"/>
      <c r="EJ7" s="47" t="n"/>
      <c r="EK7" s="47" t="n"/>
      <c r="EL7" s="47" t="n"/>
      <c r="EM7" s="47" t="n"/>
      <c r="EN7" s="47" t="n"/>
      <c r="EO7" s="47" t="n"/>
      <c r="EP7" s="47" t="n"/>
      <c r="EQ7" s="47" t="n"/>
      <c r="ER7" s="47" t="n"/>
      <c r="ES7" s="47" t="n"/>
      <c r="ET7" s="47" t="n"/>
      <c r="EU7" s="47" t="n"/>
      <c r="EV7" s="47" t="n"/>
      <c r="EW7" s="47" t="n"/>
      <c r="EX7" s="47" t="n"/>
      <c r="EY7" s="47" t="n"/>
      <c r="EZ7" s="47" t="n"/>
      <c r="FA7" s="47" t="n"/>
      <c r="FB7" s="47" t="n"/>
      <c r="FC7" s="47" t="n"/>
      <c r="FD7" s="47" t="n"/>
      <c r="FE7" s="47" t="n"/>
      <c r="FF7" s="47" t="n"/>
      <c r="FG7" s="47" t="n"/>
      <c r="FH7" s="47" t="n"/>
      <c r="FI7" s="47" t="n"/>
      <c r="FJ7" s="47" t="n"/>
      <c r="FK7" s="47" t="n"/>
      <c r="FL7" s="47" t="n"/>
      <c r="FM7" s="47" t="n"/>
      <c r="FN7" s="47" t="n"/>
      <c r="FO7" s="47" t="n"/>
      <c r="FP7" s="47" t="n"/>
      <c r="FQ7" s="47" t="n"/>
      <c r="FR7" s="47" t="n"/>
      <c r="FS7" s="47" t="n"/>
      <c r="FT7" s="47" t="n"/>
      <c r="FU7" s="47" t="n"/>
      <c r="FV7" s="47" t="n"/>
      <c r="FW7" s="47" t="n"/>
      <c r="FX7" s="47" t="n"/>
      <c r="FY7" s="47" t="n"/>
      <c r="FZ7" s="47" t="n"/>
      <c r="GA7" s="47" t="n"/>
      <c r="GB7" s="47" t="n"/>
      <c r="GC7" s="47" t="n"/>
      <c r="GD7" s="47" t="n"/>
      <c r="GE7" s="47" t="n"/>
      <c r="GF7" s="47" t="n"/>
      <c r="GG7" s="47" t="n"/>
      <c r="GH7" s="47" t="n"/>
      <c r="GI7" s="47" t="n"/>
      <c r="GJ7" s="47" t="n"/>
      <c r="GK7" s="47" t="n"/>
      <c r="GL7" s="47" t="n"/>
      <c r="GM7" s="47" t="n"/>
      <c r="GN7" s="47" t="n"/>
      <c r="GO7" s="47" t="n"/>
      <c r="GP7" s="47" t="n"/>
      <c r="GQ7" s="47" t="n"/>
      <c r="GR7" s="47" t="n"/>
      <c r="GS7" s="47" t="n"/>
      <c r="GT7" s="47" t="n"/>
      <c r="GU7" s="47" t="n"/>
      <c r="GV7" s="47" t="n"/>
      <c r="GW7" s="47" t="n"/>
      <c r="GX7" s="47" t="n"/>
      <c r="GY7" s="47" t="n"/>
      <c r="GZ7" s="47" t="n"/>
      <c r="HA7" s="47" t="n"/>
      <c r="HB7" s="47" t="n"/>
      <c r="HC7" s="47" t="n"/>
      <c r="HD7" s="47" t="n"/>
      <c r="HE7" s="47" t="n"/>
      <c r="HF7" s="47" t="n"/>
      <c r="HG7" s="47" t="n"/>
      <c r="HH7" s="47" t="n"/>
      <c r="HI7" s="47" t="n"/>
      <c r="HJ7" s="47" t="n"/>
      <c r="HK7" s="47" t="n"/>
      <c r="HL7" s="47" t="n"/>
      <c r="HM7" s="47" t="n"/>
      <c r="HN7" s="47" t="n"/>
      <c r="HO7" s="47" t="n"/>
      <c r="HP7" s="47" t="n"/>
      <c r="HQ7" s="47" t="n"/>
      <c r="HR7" s="47" t="n"/>
      <c r="HS7" s="47" t="n"/>
      <c r="HT7" s="47" t="n"/>
      <c r="HU7" s="47" t="n"/>
      <c r="HV7" s="47" t="n"/>
      <c r="HW7" s="47" t="n"/>
      <c r="HX7" s="47" t="n"/>
      <c r="HY7" s="47" t="n"/>
      <c r="HZ7" s="47" t="n"/>
    </row>
    <row r="8" ht="42" customHeight="1" s="54">
      <c r="A8" s="46" t="inlineStr">
        <is>
          <t>51-60</t>
        </is>
      </c>
      <c r="B8" s="47">
        <f>IFERROR(__xludf.DUMMYFUNCTION("TRANSPOSE(
  FILTER(
    IF(
      'ALL PPR Drafts'!C$2:C1000 = """",
      'ALL PPR Drafts'!D$2:D1000 &amp; "" ("" &amp; 'ALL PPR Drafts'!F$2:F1000 &amp; "","" &amp; 'ALL PPR Drafts'!H$2:H1000 &amp; "", "" &amp; 'ALL PPR Drafts'!I$2:I1000 &amp; "")"",
      """"
    ),
    VALUE('A"&amp;"LL PPR Drafts'!G$2:G1000) &gt;= 51,
    VALUE('ALL PPR Drafts'!G$2:G1000) &lt;= 60.99
  )
)
"),"Jaylen Waddle (WR,10.6, 3)")</f>
        <v/>
      </c>
      <c r="C8" s="47">
        <f>IFERROR(__xludf.DUMMYFUNCTION("""COMPUTED_VALUE"""),"Christian Watson (WR,8.4, 3)")</f>
        <v/>
      </c>
      <c r="D8" s="47">
        <f>IFERROR(__xludf.DUMMYFUNCTION("""COMPUTED_VALUE"""),"TreVeyon Henderson (RB,7.7, 4)")</f>
        <v/>
      </c>
      <c r="E8" s="47">
        <f>IFERROR(__xludf.DUMMYFUNCTION("""COMPUTED_VALUE"""),"Jalen Hurts (QB,10.7, 4)")</f>
        <v/>
      </c>
      <c r="F8" s="47">
        <f>IFERROR(__xludf.DUMMYFUNCTION("""COMPUTED_VALUE"""),"Luther Burden III (WR,9.3, 4)")</f>
        <v/>
      </c>
      <c r="G8" s="47">
        <f>IFERROR(__xludf.DUMMYFUNCTION("""COMPUTED_VALUE"""),"Emeka Egbuka (WR,8.8, 4)")</f>
        <v/>
      </c>
      <c r="H8" s="47">
        <f>IFERROR(__xludf.DUMMYFUNCTION("""COMPUTED_VALUE"""),"Mike Evans (WR,11.9, 4)")</f>
        <v/>
      </c>
      <c r="I8" s="47">
        <f>IFERROR(__xludf.DUMMYFUNCTION("""COMPUTED_VALUE"""),"DeVonta Smith (WR,9.6, 2)")</f>
        <v/>
      </c>
      <c r="J8" s="47">
        <f>IFERROR(__xludf.DUMMYFUNCTION("""COMPUTED_VALUE"""),"D'Andre Swift (RB,4.5, 4)")</f>
        <v/>
      </c>
      <c r="K8" s="47">
        <f>IFERROR(__xludf.DUMMYFUNCTION("""COMPUTED_VALUE"""),"Cam Skattebo (RB,9.7, 2)")</f>
        <v/>
      </c>
      <c r="L8" s="47" t="n"/>
      <c r="M8" s="47" t="n"/>
      <c r="N8" s="47" t="n"/>
      <c r="O8" s="47" t="n"/>
      <c r="P8" s="47" t="n"/>
      <c r="Q8" s="47" t="n"/>
      <c r="R8" s="47" t="n"/>
      <c r="S8" s="47" t="n"/>
      <c r="T8" s="47" t="n"/>
      <c r="U8" s="47" t="n"/>
      <c r="V8" s="47" t="n"/>
      <c r="W8" s="47" t="n"/>
      <c r="X8" s="47" t="n"/>
      <c r="Y8" s="47" t="n"/>
      <c r="Z8" s="47" t="n"/>
      <c r="AA8" s="47" t="n"/>
      <c r="AB8" s="47" t="n"/>
      <c r="AC8" s="47" t="n"/>
      <c r="AD8" s="47" t="n"/>
      <c r="AE8" s="47" t="n"/>
      <c r="AF8" s="47" t="n"/>
      <c r="AG8" s="47" t="n"/>
      <c r="AH8" s="47" t="n"/>
      <c r="AI8" s="47" t="n"/>
      <c r="AJ8" s="47" t="n"/>
      <c r="AK8" s="47" t="n"/>
      <c r="AL8" s="47" t="n"/>
      <c r="AM8" s="47" t="n"/>
      <c r="AN8" s="47" t="n"/>
      <c r="AO8" s="47" t="n"/>
      <c r="AP8" s="47" t="n"/>
      <c r="AQ8" s="47" t="n"/>
      <c r="AR8" s="47" t="n"/>
      <c r="AS8" s="47" t="n"/>
      <c r="AT8" s="47" t="n"/>
      <c r="AU8" s="47" t="n"/>
      <c r="AV8" s="47" t="n"/>
      <c r="AW8" s="47" t="n"/>
      <c r="AX8" s="47" t="n"/>
      <c r="AY8" s="47" t="n"/>
      <c r="AZ8" s="47" t="n"/>
      <c r="BA8" s="47" t="n"/>
      <c r="BB8" s="47" t="n"/>
      <c r="BC8" s="47" t="n"/>
      <c r="BD8" s="47" t="n"/>
      <c r="BE8" s="47" t="n"/>
      <c r="BF8" s="47" t="n"/>
      <c r="BG8" s="47" t="n"/>
      <c r="BH8" s="47" t="n"/>
      <c r="BI8" s="47" t="n"/>
      <c r="BJ8" s="47" t="n"/>
      <c r="BK8" s="47" t="n"/>
      <c r="BL8" s="47" t="n"/>
      <c r="BM8" s="47" t="n"/>
      <c r="BN8" s="47" t="n"/>
      <c r="BO8" s="47" t="n"/>
      <c r="BP8" s="47" t="n"/>
      <c r="BQ8" s="47" t="n"/>
      <c r="BR8" s="47" t="n"/>
      <c r="BS8" s="47" t="n"/>
      <c r="BT8" s="47" t="n"/>
      <c r="BU8" s="47" t="n"/>
      <c r="BV8" s="47" t="n"/>
      <c r="BW8" s="47" t="n"/>
      <c r="BX8" s="47" t="n"/>
      <c r="BY8" s="47" t="n"/>
      <c r="BZ8" s="47" t="n"/>
      <c r="CA8" s="47" t="n"/>
      <c r="CB8" s="47" t="n"/>
      <c r="CC8" s="47" t="n"/>
      <c r="CD8" s="47" t="n"/>
      <c r="CE8" s="47" t="n"/>
      <c r="CF8" s="47" t="n"/>
      <c r="CG8" s="47" t="n"/>
      <c r="CH8" s="47" t="n"/>
      <c r="CI8" s="47" t="n"/>
      <c r="CJ8" s="47" t="n"/>
      <c r="CK8" s="47" t="n"/>
      <c r="CL8" s="47" t="n"/>
      <c r="CM8" s="47" t="n"/>
      <c r="CN8" s="47" t="n"/>
      <c r="CO8" s="47" t="n"/>
      <c r="CP8" s="47" t="n"/>
      <c r="CQ8" s="47" t="n"/>
      <c r="CR8" s="47" t="n"/>
      <c r="CS8" s="47" t="n"/>
      <c r="CT8" s="47" t="n"/>
      <c r="CU8" s="47" t="n"/>
      <c r="CV8" s="47" t="n"/>
      <c r="CW8" s="47" t="n"/>
      <c r="CX8" s="47" t="n"/>
      <c r="CY8" s="47" t="n"/>
      <c r="CZ8" s="47" t="n"/>
      <c r="DA8" s="47" t="n"/>
      <c r="DB8" s="47" t="n"/>
      <c r="DC8" s="47" t="n"/>
      <c r="DD8" s="47" t="n"/>
      <c r="DE8" s="47" t="n"/>
      <c r="DF8" s="47" t="n"/>
      <c r="DG8" s="47" t="n"/>
      <c r="DH8" s="47" t="n"/>
      <c r="DI8" s="47" t="n"/>
      <c r="DJ8" s="47" t="n"/>
      <c r="DK8" s="47" t="n"/>
      <c r="DL8" s="47" t="n"/>
      <c r="DM8" s="47" t="n"/>
      <c r="DN8" s="47" t="n"/>
      <c r="DO8" s="47" t="n"/>
      <c r="DP8" s="47" t="n"/>
      <c r="DQ8" s="47" t="n"/>
      <c r="DR8" s="47" t="n"/>
      <c r="DS8" s="47" t="n"/>
      <c r="DT8" s="47" t="n"/>
      <c r="DU8" s="47" t="n"/>
      <c r="DV8" s="47" t="n"/>
      <c r="DW8" s="47" t="n"/>
      <c r="DX8" s="47" t="n"/>
      <c r="DY8" s="47" t="n"/>
      <c r="DZ8" s="47" t="n"/>
      <c r="EA8" s="47" t="n"/>
      <c r="EB8" s="47" t="n"/>
      <c r="EC8" s="47" t="n"/>
      <c r="ED8" s="47" t="n"/>
      <c r="EE8" s="47" t="n"/>
      <c r="EF8" s="47" t="n"/>
      <c r="EG8" s="47" t="n"/>
      <c r="EH8" s="47" t="n"/>
      <c r="EI8" s="47" t="n"/>
      <c r="EJ8" s="47" t="n"/>
      <c r="EK8" s="47" t="n"/>
      <c r="EL8" s="47" t="n"/>
      <c r="EM8" s="47" t="n"/>
      <c r="EN8" s="47" t="n"/>
      <c r="EO8" s="47" t="n"/>
      <c r="EP8" s="47" t="n"/>
      <c r="EQ8" s="47" t="n"/>
      <c r="ER8" s="47" t="n"/>
      <c r="ES8" s="47" t="n"/>
      <c r="ET8" s="47" t="n"/>
      <c r="EU8" s="47" t="n"/>
      <c r="EV8" s="47" t="n"/>
      <c r="EW8" s="47" t="n"/>
      <c r="EX8" s="47" t="n"/>
      <c r="EY8" s="47" t="n"/>
      <c r="EZ8" s="47" t="n"/>
      <c r="FA8" s="47" t="n"/>
      <c r="FB8" s="47" t="n"/>
      <c r="FC8" s="47" t="n"/>
      <c r="FD8" s="47" t="n"/>
      <c r="FE8" s="47" t="n"/>
      <c r="FF8" s="47" t="n"/>
      <c r="FG8" s="47" t="n"/>
      <c r="FH8" s="47" t="n"/>
      <c r="FI8" s="47" t="n"/>
      <c r="FJ8" s="47" t="n"/>
      <c r="FK8" s="47" t="n"/>
      <c r="FL8" s="47" t="n"/>
      <c r="FM8" s="47" t="n"/>
      <c r="FN8" s="47" t="n"/>
      <c r="FO8" s="47" t="n"/>
      <c r="FP8" s="47" t="n"/>
      <c r="FQ8" s="47" t="n"/>
      <c r="FR8" s="47" t="n"/>
      <c r="FS8" s="47" t="n"/>
      <c r="FT8" s="47" t="n"/>
      <c r="FU8" s="47" t="n"/>
      <c r="FV8" s="47" t="n"/>
      <c r="FW8" s="47" t="n"/>
      <c r="FX8" s="47" t="n"/>
      <c r="FY8" s="47" t="n"/>
      <c r="FZ8" s="47" t="n"/>
      <c r="GA8" s="47" t="n"/>
      <c r="GB8" s="47" t="n"/>
      <c r="GC8" s="47" t="n"/>
      <c r="GD8" s="47" t="n"/>
      <c r="GE8" s="47" t="n"/>
      <c r="GF8" s="47" t="n"/>
      <c r="GG8" s="47" t="n"/>
      <c r="GH8" s="47" t="n"/>
      <c r="GI8" s="47" t="n"/>
      <c r="GJ8" s="47" t="n"/>
      <c r="GK8" s="47" t="n"/>
      <c r="GL8" s="47" t="n"/>
      <c r="GM8" s="47" t="n"/>
      <c r="GN8" s="47" t="n"/>
      <c r="GO8" s="47" t="n"/>
      <c r="GP8" s="47" t="n"/>
      <c r="GQ8" s="47" t="n"/>
      <c r="GR8" s="47" t="n"/>
      <c r="GS8" s="47" t="n"/>
      <c r="GT8" s="47" t="n"/>
      <c r="GU8" s="47" t="n"/>
      <c r="GV8" s="47" t="n"/>
      <c r="GW8" s="47" t="n"/>
      <c r="GX8" s="47" t="n"/>
      <c r="GY8" s="47" t="n"/>
      <c r="GZ8" s="47" t="n"/>
      <c r="HA8" s="47" t="n"/>
      <c r="HB8" s="47" t="n"/>
      <c r="HC8" s="47" t="n"/>
      <c r="HD8" s="47" t="n"/>
      <c r="HE8" s="47" t="n"/>
      <c r="HF8" s="47" t="n"/>
      <c r="HG8" s="47" t="n"/>
      <c r="HH8" s="47" t="n"/>
      <c r="HI8" s="47" t="n"/>
      <c r="HJ8" s="47" t="n"/>
      <c r="HK8" s="47" t="n"/>
      <c r="HL8" s="47" t="n"/>
      <c r="HM8" s="47" t="n"/>
      <c r="HN8" s="47" t="n"/>
      <c r="HO8" s="47" t="n"/>
      <c r="HP8" s="47" t="n"/>
      <c r="HQ8" s="47" t="n"/>
      <c r="HR8" s="47" t="n"/>
      <c r="HS8" s="47" t="n"/>
      <c r="HT8" s="47" t="n"/>
      <c r="HU8" s="47" t="n"/>
      <c r="HV8" s="47" t="n"/>
      <c r="HW8" s="47" t="n"/>
      <c r="HX8" s="47" t="n"/>
      <c r="HY8" s="47" t="n"/>
      <c r="HZ8" s="47" t="n"/>
    </row>
    <row r="9" ht="42" customHeight="1" s="54">
      <c r="A9" s="46" t="inlineStr">
        <is>
          <t>61-70</t>
        </is>
      </c>
      <c r="B9" s="47">
        <f>IFERROR(__xludf.DUMMYFUNCTION("TRANSPOSE(
  FILTER(
    IF(
      'ALL PPR Drafts'!C$2:C1000 = """",
      'ALL PPR Drafts'!D$2:D1000 &amp; "" ("" &amp; 'ALL PPR Drafts'!F$2:F1000 &amp; "","" &amp; 'ALL PPR Drafts'!H$2:H1000 &amp; "", "" &amp; 'ALL PPR Drafts'!I$2:I1000 &amp; "")"",
      """"
    ),
    VALUE('A"&amp;"LL PPR Drafts'!G$2:G1000) &gt;= 61,
    VALUE('ALL PPR Drafts'!G$2:G1000) &lt;= 70.99
  )
)
"),"Quinshon Judkins (RB,3.7, 4)")</f>
        <v/>
      </c>
      <c r="C9" s="47">
        <f>IFERROR(__xludf.DUMMYFUNCTION("""COMPUTED_VALUE"""),"Makai Lemon (WR,19, 4)")</f>
        <v/>
      </c>
      <c r="D9" s="47">
        <f>IFERROR(__xludf.DUMMYFUNCTION("""COMPUTED_VALUE"""),"David Montgomery (RB,12.5, 4)")</f>
        <v/>
      </c>
      <c r="E9" s="47">
        <f>IFERROR(__xludf.DUMMYFUNCTION("""COMPUTED_VALUE"""),"DJ Moore (WR,17.9, 4)")</f>
        <v/>
      </c>
      <c r="F9" s="47">
        <f>IFERROR(__xludf.DUMMYFUNCTION("""COMPUTED_VALUE"""),"Bhayshul Tuten (RB,10.4, 4)")</f>
        <v/>
      </c>
      <c r="G9" s="47">
        <f>IFERROR(__xludf.DUMMYFUNCTION("""COMPUTED_VALUE"""),"Jordyn Tyson (WR,18.8, 4)")</f>
        <v/>
      </c>
      <c r="H9" s="47">
        <f>IFERROR(__xludf.DUMMYFUNCTION("""COMPUTED_VALUE"""),"Rome Odunze (WR,13.2, 4)")</f>
        <v/>
      </c>
      <c r="I9" s="47">
        <f>IFERROR(__xludf.DUMMYFUNCTION("""COMPUTED_VALUE"""),"RJ Harvey (RB,12.1, 3)")</f>
        <v/>
      </c>
      <c r="J9" s="47">
        <f>IFERROR(__xludf.DUMMYFUNCTION("""COMPUTED_VALUE"""),"Tyler Warren (TE,5.3, 4)")</f>
        <v/>
      </c>
      <c r="K9" s="47">
        <f>IFERROR(__xludf.DUMMYFUNCTION("""COMPUTED_VALUE"""),"Alec Pierce (WR,11.6, 4)")</f>
        <v/>
      </c>
      <c r="L9">
        <f>IFERROR(__xludf.DUMMYFUNCTION("""COMPUTED_VALUE"""),"Jaxson Dart (QB,10.3, 4)")</f>
        <v/>
      </c>
      <c r="M9" s="47" t="n"/>
      <c r="N9" s="47" t="n"/>
      <c r="O9" s="47" t="n"/>
      <c r="P9" s="47" t="n"/>
      <c r="Q9" s="47" t="n"/>
      <c r="R9" s="47" t="n"/>
      <c r="S9" s="47" t="n"/>
      <c r="T9" s="47" t="n"/>
      <c r="U9" s="47" t="n"/>
      <c r="V9" s="47" t="n"/>
      <c r="W9" s="47" t="n"/>
      <c r="X9" s="47" t="n"/>
      <c r="Y9" s="47" t="n"/>
      <c r="Z9" s="47" t="n"/>
      <c r="AA9" s="47" t="n"/>
      <c r="AB9" s="47" t="n"/>
      <c r="AC9" s="47" t="n"/>
      <c r="AD9" s="47" t="n"/>
      <c r="AE9" s="47" t="n"/>
      <c r="AF9" s="47" t="n"/>
      <c r="AG9" s="47" t="n"/>
      <c r="AH9" s="47" t="n"/>
      <c r="AI9" s="47" t="n"/>
      <c r="AJ9" s="47" t="n"/>
      <c r="AK9" s="47" t="n"/>
      <c r="AL9" s="47" t="n"/>
      <c r="AM9" s="47" t="n"/>
      <c r="AN9" s="47" t="n"/>
      <c r="AO9" s="47" t="n"/>
      <c r="AP9" s="47" t="n"/>
      <c r="AQ9" s="47" t="n"/>
      <c r="AR9" s="47" t="n"/>
      <c r="AS9" s="47" t="n"/>
      <c r="AT9" s="47" t="n"/>
      <c r="AU9" s="47" t="n"/>
      <c r="AV9" s="47" t="n"/>
      <c r="AW9" s="47" t="n"/>
      <c r="AX9" s="47" t="n"/>
      <c r="AY9" s="47" t="n"/>
      <c r="AZ9" s="47" t="n"/>
      <c r="BA9" s="47" t="n"/>
      <c r="BB9" s="47" t="n"/>
      <c r="BC9" s="47" t="n"/>
      <c r="BD9" s="47" t="n"/>
      <c r="BE9" s="47" t="n"/>
      <c r="BF9" s="47" t="n"/>
      <c r="BG9" s="47" t="n"/>
      <c r="BH9" s="47" t="n"/>
      <c r="BI9" s="47" t="n"/>
      <c r="BJ9" s="47" t="n"/>
      <c r="BK9" s="47" t="n"/>
      <c r="BL9" s="47" t="n"/>
      <c r="BM9" s="47" t="n"/>
      <c r="BN9" s="47" t="n"/>
      <c r="BO9" s="47" t="n"/>
      <c r="BP9" s="47" t="n"/>
      <c r="BQ9" s="47" t="n"/>
      <c r="BR9" s="47" t="n"/>
      <c r="BS9" s="47" t="n"/>
      <c r="BT9" s="47" t="n"/>
      <c r="BU9" s="47" t="n"/>
      <c r="BV9" s="47" t="n"/>
      <c r="BW9" s="47" t="n"/>
      <c r="BX9" s="47" t="n"/>
      <c r="BY9" s="47" t="n"/>
      <c r="BZ9" s="47" t="n"/>
      <c r="CA9" s="47" t="n"/>
      <c r="CB9" s="47" t="n"/>
      <c r="CC9" s="47" t="n"/>
      <c r="CD9" s="47" t="n"/>
      <c r="CE9" s="47" t="n"/>
      <c r="CF9" s="47" t="n"/>
      <c r="CG9" s="47" t="n"/>
      <c r="CH9" s="47" t="n"/>
      <c r="CI9" s="47" t="n"/>
      <c r="CJ9" s="47" t="n"/>
      <c r="CK9" s="47" t="n"/>
      <c r="CL9" s="47" t="n"/>
      <c r="CM9" s="47" t="n"/>
      <c r="CN9" s="47" t="n"/>
      <c r="CO9" s="47" t="n"/>
      <c r="CP9" s="47" t="n"/>
      <c r="CQ9" s="47" t="n"/>
      <c r="CR9" s="47" t="n"/>
      <c r="CS9" s="47" t="n"/>
      <c r="CT9" s="47" t="n"/>
      <c r="CU9" s="47" t="n"/>
      <c r="CV9" s="47" t="n"/>
      <c r="CW9" s="47" t="n"/>
      <c r="CX9" s="47" t="n"/>
      <c r="CY9" s="47" t="n"/>
      <c r="CZ9" s="47" t="n"/>
      <c r="DA9" s="47" t="n"/>
      <c r="DB9" s="47" t="n"/>
      <c r="DC9" s="47" t="n"/>
      <c r="DD9" s="47" t="n"/>
      <c r="DE9" s="47" t="n"/>
      <c r="DF9" s="47" t="n"/>
      <c r="DG9" s="47" t="n"/>
      <c r="DH9" s="47" t="n"/>
      <c r="DI9" s="47" t="n"/>
      <c r="DJ9" s="47" t="n"/>
      <c r="DK9" s="47" t="n"/>
      <c r="DL9" s="47" t="n"/>
      <c r="DM9" s="47" t="n"/>
      <c r="DN9" s="47" t="n"/>
      <c r="DO9" s="47" t="n"/>
      <c r="DP9" s="47" t="n"/>
      <c r="DQ9" s="47" t="n"/>
      <c r="DR9" s="47" t="n"/>
      <c r="DS9" s="47" t="n"/>
      <c r="DT9" s="47" t="n"/>
      <c r="DU9" s="47" t="n"/>
      <c r="DV9" s="47" t="n"/>
      <c r="DW9" s="47" t="n"/>
      <c r="DX9" s="47" t="n"/>
      <c r="DY9" s="47" t="n"/>
      <c r="DZ9" s="47" t="n"/>
      <c r="EA9" s="47" t="n"/>
      <c r="EB9" s="47" t="n"/>
      <c r="EC9" s="47" t="n"/>
      <c r="ED9" s="47" t="n"/>
      <c r="EE9" s="47" t="n"/>
      <c r="EF9" s="47" t="n"/>
      <c r="EG9" s="47" t="n"/>
      <c r="EH9" s="47" t="n"/>
      <c r="EI9" s="47" t="n"/>
      <c r="EJ9" s="47" t="n"/>
      <c r="EK9" s="47" t="n"/>
      <c r="EL9" s="47" t="n"/>
      <c r="EM9" s="47" t="n"/>
      <c r="EN9" s="47" t="n"/>
      <c r="EO9" s="47" t="n"/>
      <c r="EP9" s="47" t="n"/>
      <c r="EQ9" s="47" t="n"/>
      <c r="ER9" s="47" t="n"/>
      <c r="ES9" s="47" t="n"/>
      <c r="ET9" s="47" t="n"/>
      <c r="EU9" s="47" t="n"/>
      <c r="EV9" s="47" t="n"/>
      <c r="EW9" s="47" t="n"/>
      <c r="EX9" s="47" t="n"/>
      <c r="EY9" s="47" t="n"/>
      <c r="EZ9" s="47" t="n"/>
      <c r="FA9" s="47" t="n"/>
      <c r="FB9" s="47" t="n"/>
      <c r="FC9" s="47" t="n"/>
      <c r="FD9" s="47" t="n"/>
      <c r="FE9" s="47" t="n"/>
      <c r="FF9" s="47" t="n"/>
      <c r="FG9" s="47" t="n"/>
      <c r="FH9" s="47" t="n"/>
      <c r="FI9" s="47" t="n"/>
      <c r="FJ9" s="47" t="n"/>
      <c r="FK9" s="47" t="n"/>
      <c r="FL9" s="47" t="n"/>
      <c r="FM9" s="47" t="n"/>
      <c r="FN9" s="47" t="n"/>
      <c r="FO9" s="47" t="n"/>
      <c r="FP9" s="47" t="n"/>
      <c r="FQ9" s="47" t="n"/>
      <c r="FR9" s="47" t="n"/>
      <c r="FS9" s="47" t="n"/>
      <c r="FT9" s="47" t="n"/>
      <c r="FU9" s="47" t="n"/>
      <c r="FV9" s="47" t="n"/>
      <c r="FW9" s="47" t="n"/>
      <c r="FX9" s="47" t="n"/>
      <c r="FY9" s="47" t="n"/>
      <c r="FZ9" s="47" t="n"/>
      <c r="GA9" s="47" t="n"/>
      <c r="GB9" s="47" t="n"/>
      <c r="GC9" s="47" t="n"/>
      <c r="GD9" s="47" t="n"/>
      <c r="GE9" s="47" t="n"/>
      <c r="GF9" s="47" t="n"/>
      <c r="GG9" s="47" t="n"/>
      <c r="GH9" s="47" t="n"/>
      <c r="GI9" s="47" t="n"/>
      <c r="GJ9" s="47" t="n"/>
      <c r="GK9" s="47" t="n"/>
      <c r="GL9" s="47" t="n"/>
      <c r="GM9" s="47" t="n"/>
      <c r="GN9" s="47" t="n"/>
      <c r="GO9" s="47" t="n"/>
      <c r="GP9" s="47" t="n"/>
      <c r="GQ9" s="47" t="n"/>
      <c r="GR9" s="47" t="n"/>
      <c r="GS9" s="47" t="n"/>
      <c r="GT9" s="47" t="n"/>
      <c r="GU9" s="47" t="n"/>
      <c r="GV9" s="47" t="n"/>
      <c r="GW9" s="47" t="n"/>
      <c r="GX9" s="47" t="n"/>
      <c r="GY9" s="47" t="n"/>
      <c r="GZ9" s="47" t="n"/>
      <c r="HA9" s="47" t="n"/>
      <c r="HB9" s="47" t="n"/>
      <c r="HC9" s="47" t="n"/>
      <c r="HD9" s="47" t="n"/>
      <c r="HE9" s="47" t="n"/>
      <c r="HF9" s="47" t="n"/>
      <c r="HG9" s="47" t="n"/>
      <c r="HH9" s="47" t="n"/>
      <c r="HI9" s="47" t="n"/>
      <c r="HJ9" s="47" t="n"/>
      <c r="HK9" s="47" t="n"/>
      <c r="HL9" s="47" t="n"/>
      <c r="HM9" s="47" t="n"/>
      <c r="HN9" s="47" t="n"/>
      <c r="HO9" s="47" t="n"/>
      <c r="HP9" s="47" t="n"/>
      <c r="HQ9" s="47" t="n"/>
      <c r="HR9" s="47" t="n"/>
      <c r="HS9" s="47" t="n"/>
      <c r="HT9" s="47" t="n"/>
      <c r="HU9" s="47" t="n"/>
      <c r="HV9" s="47" t="n"/>
      <c r="HW9" s="47" t="n"/>
      <c r="HX9" s="47" t="n"/>
      <c r="HY9" s="47" t="n"/>
      <c r="HZ9" s="47" t="n"/>
    </row>
    <row r="10" ht="42" customHeight="1" s="54">
      <c r="A10" s="46" t="inlineStr">
        <is>
          <t>71-80</t>
        </is>
      </c>
      <c r="B10" s="47">
        <f>IFERROR(__xludf.DUMMYFUNCTION("TRANSPOSE(
  FILTER(
    IF(
      'ALL PPR Drafts'!C$2:C1000 = """",
      'ALL PPR Drafts'!D$2:D1000 &amp; "" ("" &amp; 'ALL PPR Drafts'!F$2:F1000 &amp; "", "" &amp; 'ALL PPR Drafts'!H$2:H1000 &amp; "", "" &amp; 'ALL PPR Drafts'!I$2:I1000 &amp; "")"",
      """"
    ),
    VALUE('"&amp;"ALL PPR Drafts'!G$2:G1000) &gt;= 71,
    VALUE('ALL PPR Drafts'!G$2:G1000) &lt;= 80.99
  )
)
"),"Caleb Williams (QB, 11.3, 3)")</f>
        <v/>
      </c>
      <c r="C10" s="47">
        <f>IFERROR(__xludf.DUMMYFUNCTION("""COMPUTED_VALUE"""),"Jaylen Warren (RB, 7.6, 4)")</f>
        <v/>
      </c>
      <c r="D10" s="47">
        <f>IFERROR(__xludf.DUMMYFUNCTION("""COMPUTED_VALUE"""),"Courtland Sutton (WR, 10.4, 3)")</f>
        <v/>
      </c>
      <c r="E10" s="47">
        <f>IFERROR(__xludf.DUMMYFUNCTION("""COMPUTED_VALUE"""),"Harold Fannin Jr. (TE, 7.3, 4)")</f>
        <v/>
      </c>
      <c r="F10" s="47">
        <f>IFERROR(__xludf.DUMMYFUNCTION("""COMPUTED_VALUE"""),"#N/A")</f>
        <v/>
      </c>
      <c r="G10" s="47">
        <f>IFERROR(__xludf.DUMMYFUNCTION("""COMPUTED_VALUE"""),"Justin Herbert (QB, 13.5, 3)")</f>
        <v/>
      </c>
      <c r="H10" s="47">
        <f>IFERROR(__xludf.DUMMYFUNCTION("""COMPUTED_VALUE"""),"Kyle Monangai (RB, 7.1, 4)")</f>
        <v/>
      </c>
      <c r="I10" s="47">
        <f>IFERROR(__xludf.DUMMYFUNCTION("""COMPUTED_VALUE"""),"Blake Corum (RB, 9.2, 3)")</f>
        <v/>
      </c>
      <c r="J10" s="48" t="n"/>
      <c r="K10" s="47" t="n"/>
      <c r="L10" s="47" t="n"/>
      <c r="M10" s="47" t="n"/>
      <c r="N10" s="47" t="n"/>
      <c r="O10" s="47" t="n"/>
      <c r="P10" s="47" t="n"/>
      <c r="Q10" s="47" t="n"/>
      <c r="R10" s="47" t="n"/>
      <c r="S10" s="47" t="n"/>
      <c r="T10" s="47" t="n"/>
      <c r="U10" s="47" t="n"/>
      <c r="V10" s="47" t="n"/>
      <c r="W10" s="47" t="n"/>
      <c r="X10" s="47" t="n"/>
      <c r="Y10" s="47" t="n"/>
      <c r="Z10" s="47" t="n"/>
      <c r="AA10" s="47" t="n"/>
      <c r="AB10" s="47" t="n"/>
      <c r="AC10" s="47" t="n"/>
      <c r="AD10" s="47" t="n"/>
      <c r="AE10" s="47" t="n"/>
      <c r="AF10" s="47" t="n"/>
      <c r="AG10" s="47" t="n"/>
      <c r="AH10" s="47" t="n"/>
      <c r="AI10" s="47" t="n"/>
      <c r="AJ10" s="47" t="n"/>
      <c r="AK10" s="47" t="n"/>
      <c r="AL10" s="47" t="n"/>
      <c r="AM10" s="47" t="n"/>
      <c r="AN10" s="47" t="n"/>
      <c r="AO10" s="47" t="n"/>
      <c r="AP10" s="47" t="n"/>
      <c r="AQ10" s="47" t="n"/>
      <c r="AR10" s="47" t="n"/>
      <c r="AS10" s="47" t="n"/>
      <c r="AT10" s="47" t="n"/>
      <c r="AU10" s="47" t="n"/>
      <c r="AV10" s="47" t="n"/>
      <c r="AW10" s="47" t="n"/>
      <c r="AX10" s="47" t="n"/>
      <c r="AY10" s="47" t="n"/>
      <c r="AZ10" s="47" t="n"/>
      <c r="BA10" s="47" t="n"/>
      <c r="BB10" s="47" t="n"/>
      <c r="BC10" s="47" t="n"/>
      <c r="BD10" s="47" t="n"/>
      <c r="BE10" s="47" t="n"/>
      <c r="BF10" s="47" t="n"/>
      <c r="BG10" s="47" t="n"/>
      <c r="BH10" s="47" t="n"/>
      <c r="BI10" s="47" t="n"/>
      <c r="BJ10" s="47" t="n"/>
      <c r="BK10" s="47" t="n"/>
      <c r="BL10" s="47" t="n"/>
      <c r="BM10" s="47" t="n"/>
      <c r="BN10" s="47" t="n"/>
      <c r="BO10" s="47" t="n"/>
      <c r="BP10" s="47" t="n"/>
      <c r="BQ10" s="47" t="n"/>
      <c r="BR10" s="47" t="n"/>
      <c r="BS10" s="47" t="n"/>
      <c r="BT10" s="47" t="n"/>
      <c r="BU10" s="47" t="n"/>
      <c r="BV10" s="47" t="n"/>
      <c r="BW10" s="47" t="n"/>
      <c r="BX10" s="47" t="n"/>
      <c r="BY10" s="47" t="n"/>
      <c r="BZ10" s="47" t="n"/>
      <c r="CA10" s="47" t="n"/>
      <c r="CB10" s="47" t="n"/>
      <c r="CC10" s="47" t="n"/>
      <c r="CD10" s="47" t="n"/>
      <c r="CE10" s="47" t="n"/>
      <c r="CF10" s="47" t="n"/>
      <c r="CG10" s="47" t="n"/>
      <c r="CH10" s="47" t="n"/>
      <c r="CI10" s="47" t="n"/>
      <c r="CJ10" s="47" t="n"/>
      <c r="CK10" s="47" t="n"/>
      <c r="CL10" s="47" t="n"/>
      <c r="CM10" s="47" t="n"/>
      <c r="CN10" s="47" t="n"/>
      <c r="CO10" s="47" t="n"/>
      <c r="CP10" s="47" t="n"/>
      <c r="CQ10" s="47" t="n"/>
      <c r="CR10" s="47" t="n"/>
      <c r="CS10" s="47" t="n"/>
      <c r="CT10" s="47" t="n"/>
      <c r="CU10" s="47" t="n"/>
      <c r="CV10" s="47" t="n"/>
      <c r="CW10" s="47" t="n"/>
      <c r="CX10" s="47" t="n"/>
      <c r="CY10" s="47" t="n"/>
      <c r="CZ10" s="47" t="n"/>
      <c r="DA10" s="47" t="n"/>
      <c r="DB10" s="47" t="n"/>
      <c r="DC10" s="47" t="n"/>
      <c r="DD10" s="47" t="n"/>
      <c r="DE10" s="47" t="n"/>
      <c r="DF10" s="47" t="n"/>
      <c r="DG10" s="47" t="n"/>
      <c r="DH10" s="47" t="n"/>
      <c r="DI10" s="47" t="n"/>
      <c r="DJ10" s="47" t="n"/>
      <c r="DK10" s="47" t="n"/>
      <c r="DL10" s="47" t="n"/>
      <c r="DM10" s="47" t="n"/>
      <c r="DN10" s="47" t="n"/>
      <c r="DO10" s="47" t="n"/>
      <c r="DP10" s="47" t="n"/>
      <c r="DQ10" s="47" t="n"/>
      <c r="DR10" s="47" t="n"/>
      <c r="DS10" s="47" t="n"/>
      <c r="DT10" s="47" t="n"/>
      <c r="DU10" s="47" t="n"/>
      <c r="DV10" s="47" t="n"/>
      <c r="DW10" s="47" t="n"/>
      <c r="DX10" s="47" t="n"/>
      <c r="DY10" s="47" t="n"/>
      <c r="DZ10" s="47" t="n"/>
      <c r="EA10" s="47" t="n"/>
      <c r="EB10" s="47" t="n"/>
      <c r="EC10" s="47" t="n"/>
      <c r="ED10" s="47" t="n"/>
      <c r="EE10" s="47" t="n"/>
      <c r="EF10" s="47" t="n"/>
      <c r="EG10" s="47" t="n"/>
      <c r="EH10" s="47" t="n"/>
      <c r="EI10" s="47" t="n"/>
      <c r="EJ10" s="47" t="n"/>
      <c r="EK10" s="47" t="n"/>
      <c r="EL10" s="47" t="n"/>
      <c r="EM10" s="47" t="n"/>
      <c r="EN10" s="47" t="n"/>
      <c r="EO10" s="47" t="n"/>
      <c r="EP10" s="47" t="n"/>
      <c r="EQ10" s="47" t="n"/>
      <c r="ER10" s="47" t="n"/>
      <c r="ES10" s="47" t="n"/>
      <c r="ET10" s="47" t="n"/>
      <c r="EU10" s="47" t="n"/>
      <c r="EV10" s="47" t="n"/>
      <c r="EW10" s="47" t="n"/>
      <c r="EX10" s="47" t="n"/>
      <c r="EY10" s="47" t="n"/>
      <c r="EZ10" s="47" t="n"/>
      <c r="FA10" s="47" t="n"/>
      <c r="FB10" s="47" t="n"/>
      <c r="FC10" s="47" t="n"/>
      <c r="FD10" s="47" t="n"/>
      <c r="FE10" s="47" t="n"/>
      <c r="FF10" s="47" t="n"/>
      <c r="FG10" s="47" t="n"/>
      <c r="FH10" s="47" t="n"/>
      <c r="FI10" s="47" t="n"/>
      <c r="FJ10" s="47" t="n"/>
      <c r="FK10" s="47" t="n"/>
      <c r="FL10" s="47" t="n"/>
      <c r="FM10" s="47" t="n"/>
      <c r="FN10" s="47" t="n"/>
      <c r="FO10" s="47" t="n"/>
      <c r="FP10" s="47" t="n"/>
      <c r="FQ10" s="47" t="n"/>
      <c r="FR10" s="47" t="n"/>
      <c r="FS10" s="47" t="n"/>
      <c r="FT10" s="47" t="n"/>
      <c r="FU10" s="47" t="n"/>
      <c r="FV10" s="47" t="n"/>
      <c r="FW10" s="47" t="n"/>
      <c r="FX10" s="47" t="n"/>
      <c r="FY10" s="47" t="n"/>
      <c r="FZ10" s="47" t="n"/>
      <c r="GA10" s="47" t="n"/>
      <c r="GB10" s="47" t="n"/>
      <c r="GC10" s="47" t="n"/>
      <c r="GD10" s="47" t="n"/>
      <c r="GE10" s="47" t="n"/>
      <c r="GF10" s="47" t="n"/>
      <c r="GG10" s="47" t="n"/>
      <c r="GH10" s="47" t="n"/>
      <c r="GI10" s="47" t="n"/>
      <c r="GJ10" s="47" t="n"/>
      <c r="GK10" s="47" t="n"/>
      <c r="GL10" s="47" t="n"/>
      <c r="GM10" s="47" t="n"/>
      <c r="GN10" s="47" t="n"/>
      <c r="GO10" s="47" t="n"/>
      <c r="GP10" s="47" t="n"/>
      <c r="GQ10" s="47" t="n"/>
      <c r="GR10" s="47" t="n"/>
      <c r="GS10" s="47" t="n"/>
      <c r="GT10" s="47" t="n"/>
      <c r="GU10" s="47" t="n"/>
      <c r="GV10" s="47" t="n"/>
      <c r="GW10" s="47" t="n"/>
      <c r="GX10" s="47" t="n"/>
      <c r="GY10" s="47" t="n"/>
      <c r="GZ10" s="47" t="n"/>
      <c r="HA10" s="47" t="n"/>
      <c r="HB10" s="47" t="n"/>
      <c r="HC10" s="47" t="n"/>
      <c r="HD10" s="47" t="n"/>
      <c r="HE10" s="47" t="n"/>
      <c r="HF10" s="47" t="n"/>
      <c r="HG10" s="47" t="n"/>
      <c r="HH10" s="47" t="n"/>
      <c r="HI10" s="47" t="n"/>
      <c r="HJ10" s="47" t="n"/>
      <c r="HK10" s="47" t="n"/>
      <c r="HL10" s="47" t="n"/>
      <c r="HM10" s="47" t="n"/>
      <c r="HN10" s="47" t="n"/>
      <c r="HO10" s="47" t="n"/>
      <c r="HP10" s="47" t="n"/>
      <c r="HQ10" s="47" t="n"/>
      <c r="HR10" s="47" t="n"/>
      <c r="HS10" s="47" t="n"/>
      <c r="HT10" s="47" t="n"/>
      <c r="HU10" s="47" t="n"/>
      <c r="HV10" s="47" t="n"/>
      <c r="HW10" s="47" t="n"/>
      <c r="HX10" s="47" t="n"/>
      <c r="HY10" s="47" t="n"/>
      <c r="HZ10" s="47" t="n"/>
    </row>
    <row r="11" ht="42" customHeight="1" s="54">
      <c r="A11" s="46" t="inlineStr">
        <is>
          <t>81-90</t>
        </is>
      </c>
      <c r="B11" s="47">
        <f>IFERROR(__xludf.DUMMYFUNCTION("TRANSPOSE(
  FILTER(
    IF(
      'ALL PPR Drafts'!C$2:C1000 = """",
      'ALL PPR Drafts'!D$2:D1000 &amp; "" ("" &amp; 'ALL PPR Drafts'!F$2:F1000 &amp; "", "" &amp; 'ALL PPR Drafts'!H$2:H1000 &amp; "", "" &amp; 'ALL PPR Drafts'!I$2:I1000 &amp; "")"",
      """"
    ),
    VALUE('"&amp;"ALL PPR Drafts'!G$2:G1000) &gt;= 81,
    VALUE('ALL PPR Drafts'!G$2:G1000) &lt;= 90.99
  )
)
"),"Rico Dowdle (RB, 8, 4)")</f>
        <v/>
      </c>
      <c r="C11" s="47">
        <f>IFERROR(__xludf.DUMMYFUNCTION("""COMPUTED_VALUE"""),"Marvin Harrison Jr. (WR, 9.3, 4)")</f>
        <v/>
      </c>
      <c r="D11" s="47">
        <f>IFERROR(__xludf.DUMMYFUNCTION("""COMPUTED_VALUE"""),"Rhamondre Stevenson (RB, 9.9, 1)")</f>
        <v/>
      </c>
      <c r="E11" s="48">
        <f>IFERROR(__xludf.DUMMYFUNCTION("""COMPUTED_VALUE"""),"Sam LaPorta (TE, 2, 4)")</f>
        <v/>
      </c>
      <c r="F11" s="47">
        <f>IFERROR(__xludf.DUMMYFUNCTION("""COMPUTED_VALUE"""),"Trevor Lawrence (QB, 12.2, 2)")</f>
        <v/>
      </c>
      <c r="G11" s="48">
        <f>IFERROR(__xludf.DUMMYFUNCTION("""COMPUTED_VALUE"""),"Kyle Pitts Sr. (TE, 4.2, 4)")</f>
        <v/>
      </c>
      <c r="H11" s="47">
        <f>IFERROR(__xludf.DUMMYFUNCTION("""COMPUTED_VALUE"""),"Dak Prescott (QB, 11.8, 4)")</f>
        <v/>
      </c>
      <c r="I11" s="47">
        <f>IFERROR(__xludf.DUMMYFUNCTION("""COMPUTED_VALUE"""),"Tyler Allgeier (RB, 13.7, 3)")</f>
        <v/>
      </c>
      <c r="J11" s="47">
        <f>IFERROR(__xludf.DUMMYFUNCTION("""COMPUTED_VALUE"""),"Tony Pollard (RB, 12.9, 4)")</f>
        <v/>
      </c>
      <c r="K11" s="47">
        <f>IFERROR(__xludf.DUMMYFUNCTION("""COMPUTED_VALUE"""),"#N/A")</f>
        <v/>
      </c>
      <c r="L11" s="47" t="n"/>
      <c r="M11" s="47" t="n"/>
      <c r="N11" s="47" t="n"/>
      <c r="O11" s="47" t="n"/>
      <c r="P11" s="47" t="n"/>
      <c r="Q11" s="47" t="n"/>
      <c r="R11" s="47" t="n"/>
      <c r="S11" s="47" t="n"/>
      <c r="T11" s="47" t="n"/>
      <c r="U11" s="47" t="n"/>
      <c r="V11" s="47" t="n"/>
      <c r="W11" s="47" t="n"/>
      <c r="X11" s="47" t="n"/>
      <c r="Y11" s="47" t="n"/>
      <c r="Z11" s="47" t="n"/>
      <c r="AA11" s="47" t="n"/>
      <c r="AB11" s="47" t="n"/>
      <c r="AC11" s="47" t="n"/>
      <c r="AD11" s="47" t="n"/>
      <c r="AE11" s="47" t="n"/>
      <c r="AF11" s="47" t="n"/>
      <c r="AG11" s="47" t="n"/>
      <c r="AH11" s="47" t="n"/>
      <c r="AI11" s="47" t="n"/>
      <c r="AJ11" s="47" t="n"/>
      <c r="AK11" s="47" t="n"/>
      <c r="AL11" s="47" t="n"/>
      <c r="AM11" s="47" t="n"/>
      <c r="AN11" s="47" t="n"/>
      <c r="AO11" s="47" t="n"/>
      <c r="AP11" s="47" t="n"/>
      <c r="AQ11" s="47" t="n"/>
      <c r="AR11" s="47" t="n"/>
      <c r="AS11" s="47" t="n"/>
      <c r="AT11" s="47" t="n"/>
      <c r="AU11" s="47" t="n"/>
      <c r="AV11" s="47" t="n"/>
      <c r="AW11" s="47" t="n"/>
      <c r="AX11" s="47" t="n"/>
      <c r="AY11" s="47" t="n"/>
      <c r="AZ11" s="47" t="n"/>
      <c r="BA11" s="47" t="n"/>
      <c r="BB11" s="47" t="n"/>
      <c r="BC11" s="47" t="n"/>
      <c r="BD11" s="47" t="n"/>
      <c r="BE11" s="47" t="n"/>
      <c r="BF11" s="47" t="n"/>
      <c r="BG11" s="47" t="n"/>
      <c r="BH11" s="47" t="n"/>
      <c r="BI11" s="47" t="n"/>
      <c r="BJ11" s="47" t="n"/>
      <c r="BK11" s="47" t="n"/>
      <c r="BL11" s="47" t="n"/>
      <c r="BM11" s="47" t="n"/>
      <c r="BN11" s="47" t="n"/>
      <c r="BO11" s="47" t="n"/>
      <c r="BP11" s="47" t="n"/>
      <c r="BQ11" s="47" t="n"/>
      <c r="BR11" s="47" t="n"/>
      <c r="BS11" s="47" t="n"/>
      <c r="BT11" s="47" t="n"/>
      <c r="BU11" s="47" t="n"/>
      <c r="BV11" s="47" t="n"/>
      <c r="BW11" s="47" t="n"/>
      <c r="BX11" s="47" t="n"/>
      <c r="BY11" s="47" t="n"/>
      <c r="BZ11" s="47" t="n"/>
      <c r="CA11" s="47" t="n"/>
      <c r="CB11" s="47" t="n"/>
      <c r="CC11" s="47" t="n"/>
      <c r="CD11" s="47" t="n"/>
      <c r="CE11" s="47" t="n"/>
      <c r="CF11" s="47" t="n"/>
      <c r="CG11" s="47" t="n"/>
      <c r="CH11" s="47" t="n"/>
      <c r="CI11" s="47" t="n"/>
      <c r="CJ11" s="47" t="n"/>
      <c r="CK11" s="47" t="n"/>
      <c r="CL11" s="47" t="n"/>
      <c r="CM11" s="47" t="n"/>
      <c r="CN11" s="47" t="n"/>
      <c r="CO11" s="47" t="n"/>
      <c r="CP11" s="47" t="n"/>
      <c r="CQ11" s="47" t="n"/>
      <c r="CR11" s="47" t="n"/>
      <c r="CS11" s="47" t="n"/>
      <c r="CT11" s="47" t="n"/>
      <c r="CU11" s="47" t="n"/>
      <c r="CV11" s="47" t="n"/>
      <c r="CW11" s="47" t="n"/>
      <c r="CX11" s="47" t="n"/>
      <c r="CY11" s="47" t="n"/>
      <c r="CZ11" s="47" t="n"/>
      <c r="DA11" s="47" t="n"/>
      <c r="DB11" s="47" t="n"/>
      <c r="DC11" s="47" t="n"/>
      <c r="DD11" s="47" t="n"/>
      <c r="DE11" s="47" t="n"/>
      <c r="DF11" s="47" t="n"/>
      <c r="DG11" s="47" t="n"/>
      <c r="DH11" s="47" t="n"/>
      <c r="DI11" s="47" t="n"/>
      <c r="DJ11" s="47" t="n"/>
      <c r="DK11" s="47" t="n"/>
      <c r="DL11" s="47" t="n"/>
      <c r="DM11" s="47" t="n"/>
      <c r="DN11" s="47" t="n"/>
      <c r="DO11" s="47" t="n"/>
      <c r="DP11" s="47" t="n"/>
      <c r="DQ11" s="47" t="n"/>
      <c r="DR11" s="47" t="n"/>
      <c r="DS11" s="47" t="n"/>
      <c r="DT11" s="47" t="n"/>
      <c r="DU11" s="47" t="n"/>
      <c r="DV11" s="47" t="n"/>
      <c r="DW11" s="47" t="n"/>
      <c r="DX11" s="47" t="n"/>
      <c r="DY11" s="47" t="n"/>
      <c r="DZ11" s="47" t="n"/>
      <c r="EA11" s="47" t="n"/>
      <c r="EB11" s="47" t="n"/>
      <c r="EC11" s="47" t="n"/>
      <c r="ED11" s="47" t="n"/>
      <c r="EE11" s="47" t="n"/>
      <c r="EF11" s="47" t="n"/>
      <c r="EG11" s="47" t="n"/>
      <c r="EH11" s="47" t="n"/>
      <c r="EI11" s="47" t="n"/>
      <c r="EJ11" s="47" t="n"/>
      <c r="EK11" s="47" t="n"/>
      <c r="EL11" s="47" t="n"/>
      <c r="EM11" s="47" t="n"/>
      <c r="EN11" s="47" t="n"/>
      <c r="EO11" s="47" t="n"/>
      <c r="EP11" s="47" t="n"/>
      <c r="EQ11" s="47" t="n"/>
      <c r="ER11" s="47" t="n"/>
      <c r="ES11" s="47" t="n"/>
      <c r="ET11" s="47" t="n"/>
      <c r="EU11" s="47" t="n"/>
      <c r="EV11" s="47" t="n"/>
      <c r="EW11" s="47" t="n"/>
      <c r="EX11" s="47" t="n"/>
      <c r="EY11" s="47" t="n"/>
      <c r="EZ11" s="47" t="n"/>
      <c r="FA11" s="47" t="n"/>
      <c r="FB11" s="47" t="n"/>
      <c r="FC11" s="47" t="n"/>
      <c r="FD11" s="47" t="n"/>
      <c r="FE11" s="47" t="n"/>
      <c r="FF11" s="47" t="n"/>
      <c r="FG11" s="47" t="n"/>
      <c r="FH11" s="47" t="n"/>
      <c r="FI11" s="47" t="n"/>
      <c r="FJ11" s="47" t="n"/>
      <c r="FK11" s="47" t="n"/>
      <c r="FL11" s="47" t="n"/>
      <c r="FM11" s="47" t="n"/>
      <c r="FN11" s="47" t="n"/>
      <c r="FO11" s="47" t="n"/>
      <c r="FP11" s="47" t="n"/>
      <c r="FQ11" s="47" t="n"/>
      <c r="FR11" s="47" t="n"/>
      <c r="FS11" s="47" t="n"/>
      <c r="FT11" s="47" t="n"/>
      <c r="FU11" s="47" t="n"/>
      <c r="FV11" s="47" t="n"/>
      <c r="FW11" s="47" t="n"/>
      <c r="FX11" s="47" t="n"/>
      <c r="FY11" s="47" t="n"/>
      <c r="FZ11" s="47" t="n"/>
      <c r="GA11" s="47" t="n"/>
      <c r="GB11" s="47" t="n"/>
      <c r="GC11" s="47" t="n"/>
      <c r="GD11" s="47" t="n"/>
      <c r="GE11" s="47" t="n"/>
      <c r="GF11" s="47" t="n"/>
      <c r="GG11" s="47" t="n"/>
      <c r="GH11" s="47" t="n"/>
      <c r="GI11" s="47" t="n"/>
      <c r="GJ11" s="47" t="n"/>
      <c r="GK11" s="47" t="n"/>
      <c r="GL11" s="47" t="n"/>
      <c r="GM11" s="47" t="n"/>
      <c r="GN11" s="47" t="n"/>
      <c r="GO11" s="47" t="n"/>
      <c r="GP11" s="47" t="n"/>
      <c r="GQ11" s="47" t="n"/>
      <c r="GR11" s="47" t="n"/>
      <c r="GS11" s="47" t="n"/>
      <c r="GT11" s="47" t="n"/>
      <c r="GU11" s="47" t="n"/>
      <c r="GV11" s="47" t="n"/>
      <c r="GW11" s="47" t="n"/>
      <c r="GX11" s="47" t="n"/>
      <c r="GY11" s="47" t="n"/>
      <c r="GZ11" s="47" t="n"/>
      <c r="HA11" s="47" t="n"/>
      <c r="HB11" s="47" t="n"/>
      <c r="HC11" s="47" t="n"/>
      <c r="HD11" s="47" t="n"/>
      <c r="HE11" s="47" t="n"/>
      <c r="HF11" s="47" t="n"/>
      <c r="HG11" s="47" t="n"/>
      <c r="HH11" s="47" t="n"/>
      <c r="HI11" s="47" t="n"/>
      <c r="HJ11" s="47" t="n"/>
      <c r="HK11" s="47" t="n"/>
      <c r="HL11" s="47" t="n"/>
      <c r="HM11" s="47" t="n"/>
      <c r="HN11" s="47" t="n"/>
      <c r="HO11" s="47" t="n"/>
      <c r="HP11" s="47" t="n"/>
      <c r="HQ11" s="47" t="n"/>
      <c r="HR11" s="47" t="n"/>
      <c r="HS11" s="47" t="n"/>
      <c r="HT11" s="47" t="n"/>
      <c r="HU11" s="47" t="n"/>
      <c r="HV11" s="47" t="n"/>
      <c r="HW11" s="47" t="n"/>
      <c r="HX11" s="47" t="n"/>
      <c r="HY11" s="47" t="n"/>
      <c r="HZ11" s="47" t="n"/>
    </row>
    <row r="12" ht="42" customHeight="1" s="54">
      <c r="A12" s="46" t="inlineStr">
        <is>
          <t>91-100</t>
        </is>
      </c>
      <c r="B12" s="47">
        <f>IFERROR(__xludf.DUMMYFUNCTION("TRANSPOSE(
  FILTER(
    IF(
      'ALL PPR Drafts'!C$2:C1000 = """",
      'ALL PPR Drafts'!D$2:D1000 &amp; "" ("" &amp; 'ALL PPR Drafts'!F$2:F1000 &amp; "", "" &amp; 'ALL PPR Drafts'!H$2:H1000 &amp; "", "" &amp; 'ALL PPR Drafts'!I$2:I1000 &amp; "")"",
      """"
    ),
    VALUE('"&amp;"ALL PPR Drafts'!G$2:G1000) &gt;= 91,
    VALUE('ALL PPR Drafts'!G$2:G1000) &lt;= 100.99
  )
)
"),"Patrick Mahomes II (QB, 11.3, 4)")</f>
        <v/>
      </c>
      <c r="C12" s="47">
        <f>IFERROR(__xludf.DUMMYFUNCTION("""COMPUTED_VALUE"""),"Chuba Hubbard (RB, 15.1, 4)")</f>
        <v/>
      </c>
      <c r="D12" s="47">
        <f>IFERROR(__xludf.DUMMYFUNCTION("""COMPUTED_VALUE"""),"Michael Wilson (WR, 13.1, 4)")</f>
        <v/>
      </c>
      <c r="E12" s="48">
        <f>IFERROR(__xludf.DUMMYFUNCTION("""COMPUTED_VALUE"""),"Jordan Addison (WR, 8.7, 4)")</f>
        <v/>
      </c>
      <c r="F12" s="47">
        <f>IFERROR(__xludf.DUMMYFUNCTION("""COMPUTED_VALUE"""),"Zach Charbonnet (RB, 20.9, 4)")</f>
        <v/>
      </c>
      <c r="G12" s="47">
        <f>IFERROR(__xludf.DUMMYFUNCTION("""COMPUTED_VALUE"""),"Chris Godwin Jr. (WR, 10.6, 4)")</f>
        <v/>
      </c>
      <c r="H12" s="47" t="n"/>
      <c r="I12" s="47" t="n"/>
      <c r="J12" s="47" t="n"/>
      <c r="K12" s="47" t="n"/>
      <c r="L12" s="47" t="n"/>
      <c r="M12" s="47" t="n"/>
      <c r="N12" s="47" t="n"/>
      <c r="O12" s="47" t="n"/>
      <c r="P12" s="47" t="n"/>
      <c r="Q12" s="47" t="n"/>
      <c r="R12" s="47" t="n"/>
      <c r="S12" s="47" t="n"/>
      <c r="T12" s="47" t="n"/>
      <c r="U12" s="47" t="n"/>
      <c r="V12" s="47" t="n"/>
      <c r="W12" s="47" t="n"/>
      <c r="X12" s="47" t="n"/>
      <c r="Y12" s="47" t="n"/>
      <c r="Z12" s="47" t="n"/>
      <c r="AA12" s="47" t="n"/>
      <c r="AB12" s="47" t="n"/>
      <c r="AC12" s="47" t="n"/>
      <c r="AD12" s="47" t="n"/>
      <c r="AE12" s="47" t="n"/>
      <c r="AF12" s="47" t="n"/>
      <c r="AG12" s="47" t="n"/>
      <c r="AH12" s="47" t="n"/>
      <c r="AI12" s="47" t="n"/>
      <c r="AJ12" s="47" t="n"/>
      <c r="AK12" s="47" t="n"/>
      <c r="AL12" s="47" t="n"/>
      <c r="AM12" s="47" t="n"/>
      <c r="AN12" s="47" t="n"/>
      <c r="AO12" s="47" t="n"/>
      <c r="AP12" s="47" t="n"/>
      <c r="AQ12" s="47" t="n"/>
      <c r="AR12" s="47" t="n"/>
      <c r="AS12" s="47" t="n"/>
      <c r="AT12" s="47" t="n"/>
      <c r="AU12" s="47" t="n"/>
      <c r="AV12" s="47" t="n"/>
      <c r="AW12" s="47" t="n"/>
      <c r="AX12" s="47" t="n"/>
      <c r="AY12" s="47" t="n"/>
      <c r="AZ12" s="47" t="n"/>
      <c r="BA12" s="47" t="n"/>
      <c r="BB12" s="47" t="n"/>
      <c r="BC12" s="47" t="n"/>
      <c r="BD12" s="47" t="n"/>
      <c r="BE12" s="47" t="n"/>
      <c r="BF12" s="47" t="n"/>
      <c r="BG12" s="47" t="n"/>
      <c r="BH12" s="47" t="n"/>
      <c r="BI12" s="47" t="n"/>
      <c r="BJ12" s="47" t="n"/>
      <c r="BK12" s="47" t="n"/>
      <c r="BL12" s="47" t="n"/>
      <c r="BM12" s="47" t="n"/>
      <c r="BN12" s="47" t="n"/>
      <c r="BO12" s="47" t="n"/>
      <c r="BP12" s="47" t="n"/>
      <c r="BQ12" s="47" t="n"/>
      <c r="BR12" s="47" t="n"/>
      <c r="BS12" s="47" t="n"/>
      <c r="BT12" s="47" t="n"/>
      <c r="BU12" s="47" t="n"/>
      <c r="BV12" s="47" t="n"/>
      <c r="BW12" s="47" t="n"/>
      <c r="BX12" s="47" t="n"/>
      <c r="BY12" s="47" t="n"/>
      <c r="BZ12" s="47" t="n"/>
      <c r="CA12" s="47" t="n"/>
      <c r="CB12" s="47" t="n"/>
      <c r="CC12" s="47" t="n"/>
      <c r="CD12" s="47" t="n"/>
      <c r="CE12" s="47" t="n"/>
      <c r="CF12" s="47" t="n"/>
      <c r="CG12" s="47" t="n"/>
      <c r="CH12" s="47" t="n"/>
      <c r="CI12" s="47" t="n"/>
      <c r="CJ12" s="47" t="n"/>
      <c r="CK12" s="47" t="n"/>
      <c r="CL12" s="47" t="n"/>
      <c r="CM12" s="47" t="n"/>
      <c r="CN12" s="47" t="n"/>
      <c r="CO12" s="47" t="n"/>
      <c r="CP12" s="47" t="n"/>
      <c r="CQ12" s="47" t="n"/>
      <c r="CR12" s="47" t="n"/>
      <c r="CS12" s="47" t="n"/>
      <c r="CT12" s="47" t="n"/>
      <c r="CU12" s="47" t="n"/>
      <c r="CV12" s="47" t="n"/>
      <c r="CW12" s="47" t="n"/>
      <c r="CX12" s="47" t="n"/>
      <c r="CY12" s="47" t="n"/>
      <c r="CZ12" s="47" t="n"/>
      <c r="DA12" s="47" t="n"/>
      <c r="DB12" s="47" t="n"/>
      <c r="DC12" s="47" t="n"/>
      <c r="DD12" s="47" t="n"/>
      <c r="DE12" s="47" t="n"/>
      <c r="DF12" s="47" t="n"/>
      <c r="DG12" s="47" t="n"/>
      <c r="DH12" s="47" t="n"/>
      <c r="DI12" s="47" t="n"/>
      <c r="DJ12" s="47" t="n"/>
      <c r="DK12" s="47" t="n"/>
      <c r="DL12" s="47" t="n"/>
      <c r="DM12" s="47" t="n"/>
      <c r="DN12" s="47" t="n"/>
      <c r="DO12" s="47" t="n"/>
      <c r="DP12" s="47" t="n"/>
      <c r="DQ12" s="47" t="n"/>
      <c r="DR12" s="47" t="n"/>
      <c r="DS12" s="47" t="n"/>
      <c r="DT12" s="47" t="n"/>
      <c r="DU12" s="47" t="n"/>
      <c r="DV12" s="47" t="n"/>
      <c r="DW12" s="47" t="n"/>
      <c r="DX12" s="47" t="n"/>
      <c r="DY12" s="47" t="n"/>
      <c r="DZ12" s="47" t="n"/>
      <c r="EA12" s="47" t="n"/>
      <c r="EB12" s="47" t="n"/>
      <c r="EC12" s="47" t="n"/>
      <c r="ED12" s="47" t="n"/>
      <c r="EE12" s="47" t="n"/>
      <c r="EF12" s="47" t="n"/>
      <c r="EG12" s="47" t="n"/>
      <c r="EH12" s="47" t="n"/>
      <c r="EI12" s="47" t="n"/>
      <c r="EJ12" s="47" t="n"/>
      <c r="EK12" s="47" t="n"/>
      <c r="EL12" s="47" t="n"/>
      <c r="EM12" s="47" t="n"/>
      <c r="EN12" s="47" t="n"/>
      <c r="EO12" s="47" t="n"/>
      <c r="EP12" s="47" t="n"/>
      <c r="EQ12" s="47" t="n"/>
      <c r="ER12" s="47" t="n"/>
      <c r="ES12" s="47" t="n"/>
      <c r="ET12" s="47" t="n"/>
      <c r="EU12" s="47" t="n"/>
      <c r="EV12" s="47" t="n"/>
      <c r="EW12" s="47" t="n"/>
      <c r="EX12" s="47" t="n"/>
      <c r="EY12" s="47" t="n"/>
      <c r="EZ12" s="47" t="n"/>
      <c r="FA12" s="47" t="n"/>
      <c r="FB12" s="47" t="n"/>
      <c r="FC12" s="47" t="n"/>
      <c r="FD12" s="47" t="n"/>
      <c r="FE12" s="47" t="n"/>
      <c r="FF12" s="47" t="n"/>
      <c r="FG12" s="47" t="n"/>
      <c r="FH12" s="47" t="n"/>
      <c r="FI12" s="47" t="n"/>
      <c r="FJ12" s="47" t="n"/>
      <c r="FK12" s="47" t="n"/>
      <c r="FL12" s="47" t="n"/>
      <c r="FM12" s="47" t="n"/>
      <c r="FN12" s="47" t="n"/>
      <c r="FO12" s="47" t="n"/>
      <c r="FP12" s="47" t="n"/>
      <c r="FQ12" s="47" t="n"/>
      <c r="FR12" s="47" t="n"/>
      <c r="FS12" s="47" t="n"/>
      <c r="FT12" s="47" t="n"/>
      <c r="FU12" s="47" t="n"/>
      <c r="FV12" s="47" t="n"/>
      <c r="FW12" s="47" t="n"/>
      <c r="FX12" s="47" t="n"/>
      <c r="FY12" s="47" t="n"/>
      <c r="FZ12" s="47" t="n"/>
      <c r="GA12" s="47" t="n"/>
      <c r="GB12" s="47" t="n"/>
      <c r="GC12" s="47" t="n"/>
      <c r="GD12" s="47" t="n"/>
      <c r="GE12" s="47" t="n"/>
      <c r="GF12" s="47" t="n"/>
      <c r="GG12" s="47" t="n"/>
      <c r="GH12" s="47" t="n"/>
      <c r="GI12" s="47" t="n"/>
      <c r="GJ12" s="47" t="n"/>
      <c r="GK12" s="47" t="n"/>
      <c r="GL12" s="47" t="n"/>
      <c r="GM12" s="47" t="n"/>
      <c r="GN12" s="47" t="n"/>
      <c r="GO12" s="47" t="n"/>
      <c r="GP12" s="47" t="n"/>
      <c r="GQ12" s="47" t="n"/>
      <c r="GR12" s="47" t="n"/>
      <c r="GS12" s="47" t="n"/>
      <c r="GT12" s="47" t="n"/>
      <c r="GU12" s="47" t="n"/>
      <c r="GV12" s="47" t="n"/>
      <c r="GW12" s="47" t="n"/>
      <c r="GX12" s="47" t="n"/>
      <c r="GY12" s="47" t="n"/>
      <c r="GZ12" s="47" t="n"/>
      <c r="HA12" s="47" t="n"/>
      <c r="HB12" s="47" t="n"/>
      <c r="HC12" s="47" t="n"/>
      <c r="HD12" s="47" t="n"/>
      <c r="HE12" s="47" t="n"/>
      <c r="HF12" s="47" t="n"/>
      <c r="HG12" s="47" t="n"/>
      <c r="HH12" s="47" t="n"/>
      <c r="HI12" s="47" t="n"/>
      <c r="HJ12" s="47" t="n"/>
      <c r="HK12" s="47" t="n"/>
      <c r="HL12" s="47" t="n"/>
      <c r="HM12" s="47" t="n"/>
      <c r="HN12" s="47" t="n"/>
      <c r="HO12" s="47" t="n"/>
      <c r="HP12" s="47" t="n"/>
      <c r="HQ12" s="47" t="n"/>
      <c r="HR12" s="47" t="n"/>
      <c r="HS12" s="47" t="n"/>
      <c r="HT12" s="47" t="n"/>
      <c r="HU12" s="47" t="n"/>
      <c r="HV12" s="47" t="n"/>
      <c r="HW12" s="47" t="n"/>
      <c r="HX12" s="47" t="n"/>
      <c r="HY12" s="47" t="n"/>
      <c r="HZ12" s="47" t="n"/>
    </row>
    <row r="13" ht="42" customHeight="1" s="54">
      <c r="A13" s="46" t="inlineStr">
        <is>
          <t>101-110</t>
        </is>
      </c>
      <c r="B13" s="48">
        <f>IFERROR(__xludf.DUMMYFUNCTION("TRANSPOSE(
  FILTER(
    IF(
      'ALL PPR Drafts'!C$2:C1000 = """",
      'ALL PPR Drafts'!D$2:D1000 &amp; "" ("" &amp; 'ALL PPR Drafts'!F$2:F1000 &amp; "", "" &amp; 'ALL PPR Drafts'!H$2:H1000 &amp; "", "" &amp; 'ALL PPR Drafts'!I$2:I1000 &amp; "")"",
      """"
    ),
    VALUE('"&amp;"ALL PPR Drafts'!G$2:G1000) &gt;= 101,
    VALUE('ALL PPR Drafts'!G$2:G1000) &lt;= 110.99
  )
)
"),"J.K. Dobbins (RB, 22.4, 4)")</f>
        <v/>
      </c>
      <c r="C13" s="47">
        <f>IFERROR(__xludf.DUMMYFUNCTION("""COMPUTED_VALUE"""),"Dalton Kincaid (TE, 12.9, 4)")</f>
        <v/>
      </c>
      <c r="D13" s="47">
        <f>IFERROR(__xludf.DUMMYFUNCTION("""COMPUTED_VALUE"""),"Jacory Croskey-Merritt (RB, 10.3, 2)")</f>
        <v/>
      </c>
      <c r="E13" s="47">
        <f>IFERROR(__xludf.DUMMYFUNCTION("""COMPUTED_VALUE"""),"Bo Nix (QB, 4.3, 3)")</f>
        <v/>
      </c>
      <c r="F13" s="47">
        <f>IFERROR(__xludf.DUMMYFUNCTION("""COMPUTED_VALUE"""),"Matthew Stafford (QB, 5.6, 3)")</f>
        <v/>
      </c>
      <c r="G13" s="47">
        <f>IFERROR(__xludf.DUMMYFUNCTION("""COMPUTED_VALUE"""),"Ricky Pearsall (WR, 7.9, 4)")</f>
        <v/>
      </c>
      <c r="H13" s="47">
        <f>IFERROR(__xludf.DUMMYFUNCTION("""COMPUTED_VALUE"""),"Parker Washington (WR, 16.9, 4)")</f>
        <v/>
      </c>
      <c r="I13" s="47">
        <f>IFERROR(__xludf.DUMMYFUNCTION("""COMPUTED_VALUE"""),"Quentin Johnston (WR, 11.5, 4)")</f>
        <v/>
      </c>
      <c r="J13" s="47">
        <f>IFERROR(__xludf.DUMMYFUNCTION("""COMPUTED_VALUE"""),"Oronde Gadsden II (TE, 12, 4)")</f>
        <v/>
      </c>
      <c r="K13" s="47">
        <f>IFERROR(__xludf.DUMMYFUNCTION("""COMPUTED_VALUE"""),"Michael Pittman Jr. (WR, 11.9, 4)")</f>
        <v/>
      </c>
      <c r="L13" s="47">
        <f>IFERROR(__xludf.DUMMYFUNCTION("""COMPUTED_VALUE"""),"Woody Marks (RB, 22.3, 4)")</f>
        <v/>
      </c>
      <c r="M13" s="47" t="n"/>
      <c r="N13" s="47" t="n"/>
      <c r="O13" s="47" t="n"/>
      <c r="P13" s="47" t="n"/>
      <c r="Q13" s="47" t="n"/>
      <c r="R13" s="47" t="n"/>
      <c r="S13" s="47" t="n"/>
      <c r="T13" s="47" t="n"/>
      <c r="U13" s="47" t="n"/>
      <c r="V13" s="47" t="n"/>
      <c r="W13" s="47" t="n"/>
      <c r="X13" s="47" t="n"/>
      <c r="Y13" s="47" t="n"/>
      <c r="Z13" s="47" t="n"/>
      <c r="AA13" s="47" t="n"/>
      <c r="AB13" s="47" t="n"/>
      <c r="AC13" s="47" t="n"/>
      <c r="AD13" s="47" t="n"/>
      <c r="AE13" s="47" t="n"/>
      <c r="AF13" s="47" t="n"/>
      <c r="AG13" s="47" t="n"/>
      <c r="AH13" s="47" t="n"/>
      <c r="AI13" s="47" t="n"/>
      <c r="AJ13" s="47" t="n"/>
      <c r="AK13" s="47" t="n"/>
      <c r="AL13" s="47" t="n"/>
      <c r="AM13" s="47" t="n"/>
      <c r="AN13" s="47" t="n"/>
      <c r="AO13" s="47" t="n"/>
      <c r="AP13" s="47" t="n"/>
      <c r="AQ13" s="47" t="n"/>
      <c r="AR13" s="47" t="n"/>
      <c r="AS13" s="47" t="n"/>
      <c r="AT13" s="47" t="n"/>
      <c r="AU13" s="47" t="n"/>
      <c r="AV13" s="47" t="n"/>
      <c r="AW13" s="47" t="n"/>
      <c r="AX13" s="47" t="n"/>
      <c r="AY13" s="47" t="n"/>
      <c r="AZ13" s="47" t="n"/>
      <c r="BA13" s="47" t="n"/>
      <c r="BB13" s="47" t="n"/>
      <c r="BC13" s="47" t="n"/>
      <c r="BD13" s="47" t="n"/>
      <c r="BE13" s="47" t="n"/>
      <c r="BF13" s="47" t="n"/>
      <c r="BG13" s="47" t="n"/>
      <c r="BH13" s="47" t="n"/>
      <c r="BI13" s="47" t="n"/>
      <c r="BJ13" s="47" t="n"/>
      <c r="BK13" s="47" t="n"/>
      <c r="BL13" s="47" t="n"/>
      <c r="BM13" s="47" t="n"/>
      <c r="BN13" s="47" t="n"/>
      <c r="BO13" s="47" t="n"/>
      <c r="BP13" s="47" t="n"/>
      <c r="BQ13" s="47" t="n"/>
      <c r="BR13" s="47" t="n"/>
      <c r="BS13" s="47" t="n"/>
      <c r="BT13" s="47" t="n"/>
      <c r="BU13" s="47" t="n"/>
      <c r="BV13" s="47" t="n"/>
      <c r="BW13" s="47" t="n"/>
      <c r="BX13" s="47" t="n"/>
      <c r="BY13" s="47" t="n"/>
      <c r="BZ13" s="47" t="n"/>
      <c r="CA13" s="47" t="n"/>
      <c r="CB13" s="47" t="n"/>
      <c r="CC13" s="47" t="n"/>
      <c r="CD13" s="47" t="n"/>
      <c r="CE13" s="47" t="n"/>
      <c r="CF13" s="47" t="n"/>
      <c r="CG13" s="47" t="n"/>
      <c r="CH13" s="47" t="n"/>
      <c r="CI13" s="47" t="n"/>
      <c r="CJ13" s="47" t="n"/>
      <c r="CK13" s="47" t="n"/>
      <c r="CL13" s="47" t="n"/>
      <c r="CM13" s="47" t="n"/>
      <c r="CN13" s="47" t="n"/>
      <c r="CO13" s="47" t="n"/>
      <c r="CP13" s="47" t="n"/>
      <c r="CQ13" s="47" t="n"/>
      <c r="CR13" s="47" t="n"/>
      <c r="CS13" s="47" t="n"/>
      <c r="CT13" s="47" t="n"/>
      <c r="CU13" s="47" t="n"/>
      <c r="CV13" s="47" t="n"/>
      <c r="CW13" s="47" t="n"/>
      <c r="CX13" s="47" t="n"/>
      <c r="CY13" s="47" t="n"/>
      <c r="CZ13" s="47" t="n"/>
      <c r="DA13" s="47" t="n"/>
      <c r="DB13" s="47" t="n"/>
      <c r="DC13" s="47" t="n"/>
      <c r="DD13" s="47" t="n"/>
      <c r="DE13" s="47" t="n"/>
      <c r="DF13" s="47" t="n"/>
      <c r="DG13" s="47" t="n"/>
      <c r="DH13" s="47" t="n"/>
      <c r="DI13" s="47" t="n"/>
      <c r="DJ13" s="47" t="n"/>
      <c r="DK13" s="47" t="n"/>
      <c r="DL13" s="47" t="n"/>
      <c r="DM13" s="47" t="n"/>
      <c r="DN13" s="47" t="n"/>
      <c r="DO13" s="47" t="n"/>
      <c r="DP13" s="47" t="n"/>
      <c r="DQ13" s="47" t="n"/>
      <c r="DR13" s="47" t="n"/>
      <c r="DS13" s="47" t="n"/>
      <c r="DT13" s="47" t="n"/>
      <c r="DU13" s="47" t="n"/>
      <c r="DV13" s="47" t="n"/>
      <c r="DW13" s="47" t="n"/>
      <c r="DX13" s="47" t="n"/>
      <c r="DY13" s="47" t="n"/>
      <c r="DZ13" s="47" t="n"/>
      <c r="EA13" s="47" t="n"/>
      <c r="EB13" s="47" t="n"/>
      <c r="EC13" s="47" t="n"/>
      <c r="ED13" s="47" t="n"/>
      <c r="EE13" s="47" t="n"/>
      <c r="EF13" s="47" t="n"/>
      <c r="EG13" s="47" t="n"/>
      <c r="EH13" s="47" t="n"/>
      <c r="EI13" s="47" t="n"/>
      <c r="EJ13" s="47" t="n"/>
      <c r="EK13" s="47" t="n"/>
      <c r="EL13" s="47" t="n"/>
      <c r="EM13" s="47" t="n"/>
      <c r="EN13" s="47" t="n"/>
      <c r="EO13" s="47" t="n"/>
      <c r="EP13" s="47" t="n"/>
      <c r="EQ13" s="47" t="n"/>
      <c r="ER13" s="47" t="n"/>
      <c r="ES13" s="47" t="n"/>
      <c r="ET13" s="47" t="n"/>
      <c r="EU13" s="47" t="n"/>
      <c r="EV13" s="47" t="n"/>
      <c r="EW13" s="47" t="n"/>
      <c r="EX13" s="47" t="n"/>
      <c r="EY13" s="47" t="n"/>
      <c r="EZ13" s="47" t="n"/>
      <c r="FA13" s="47" t="n"/>
      <c r="FB13" s="47" t="n"/>
      <c r="FC13" s="47" t="n"/>
      <c r="FD13" s="47" t="n"/>
      <c r="FE13" s="47" t="n"/>
      <c r="FF13" s="47" t="n"/>
      <c r="FG13" s="47" t="n"/>
      <c r="FH13" s="47" t="n"/>
      <c r="FI13" s="47" t="n"/>
      <c r="FJ13" s="47" t="n"/>
      <c r="FK13" s="47" t="n"/>
      <c r="FL13" s="47" t="n"/>
      <c r="FM13" s="47" t="n"/>
      <c r="FN13" s="47" t="n"/>
      <c r="FO13" s="47" t="n"/>
      <c r="FP13" s="47" t="n"/>
      <c r="FQ13" s="47" t="n"/>
      <c r="FR13" s="47" t="n"/>
      <c r="FS13" s="47" t="n"/>
      <c r="FT13" s="47" t="n"/>
      <c r="FU13" s="47" t="n"/>
      <c r="FV13" s="47" t="n"/>
      <c r="FW13" s="47" t="n"/>
      <c r="FX13" s="47" t="n"/>
      <c r="FY13" s="47" t="n"/>
      <c r="FZ13" s="47" t="n"/>
      <c r="GA13" s="47" t="n"/>
      <c r="GB13" s="47" t="n"/>
      <c r="GC13" s="47" t="n"/>
      <c r="GD13" s="47" t="n"/>
      <c r="GE13" s="47" t="n"/>
      <c r="GF13" s="47" t="n"/>
      <c r="GG13" s="47" t="n"/>
      <c r="GH13" s="47" t="n"/>
      <c r="GI13" s="47" t="n"/>
      <c r="GJ13" s="47" t="n"/>
      <c r="GK13" s="47" t="n"/>
      <c r="GL13" s="47" t="n"/>
      <c r="GM13" s="47" t="n"/>
      <c r="GN13" s="47" t="n"/>
      <c r="GO13" s="47" t="n"/>
      <c r="GP13" s="47" t="n"/>
      <c r="GQ13" s="47" t="n"/>
      <c r="GR13" s="47" t="n"/>
      <c r="GS13" s="47" t="n"/>
      <c r="GT13" s="47" t="n"/>
      <c r="GU13" s="47" t="n"/>
      <c r="GV13" s="47" t="n"/>
      <c r="GW13" s="47" t="n"/>
      <c r="GX13" s="47" t="n"/>
      <c r="GY13" s="47" t="n"/>
      <c r="GZ13" s="47" t="n"/>
      <c r="HA13" s="47" t="n"/>
      <c r="HB13" s="47" t="n"/>
      <c r="HC13" s="47" t="n"/>
      <c r="HD13" s="47" t="n"/>
      <c r="HE13" s="47" t="n"/>
      <c r="HF13" s="47" t="n"/>
      <c r="HG13" s="47" t="n"/>
      <c r="HH13" s="47" t="n"/>
      <c r="HI13" s="47" t="n"/>
      <c r="HJ13" s="47" t="n"/>
      <c r="HK13" s="47" t="n"/>
      <c r="HL13" s="47" t="n"/>
      <c r="HM13" s="47" t="n"/>
      <c r="HN13" s="47" t="n"/>
      <c r="HO13" s="47" t="n"/>
      <c r="HP13" s="47" t="n"/>
      <c r="HQ13" s="47" t="n"/>
      <c r="HR13" s="47" t="n"/>
      <c r="HS13" s="47" t="n"/>
      <c r="HT13" s="47" t="n"/>
      <c r="HU13" s="47" t="n"/>
      <c r="HV13" s="47" t="n"/>
      <c r="HW13" s="47" t="n"/>
      <c r="HX13" s="47" t="n"/>
      <c r="HY13" s="47" t="n"/>
      <c r="HZ13" s="47" t="n"/>
    </row>
    <row r="14" ht="51" customHeight="1" s="54">
      <c r="A14" s="46" t="inlineStr">
        <is>
          <t>111-120</t>
        </is>
      </c>
      <c r="B14" s="47">
        <f>IFERROR(__xludf.DUMMYFUNCTION("TRANSPOSE(
  FILTER(
    IF(
      'ALL PPR Drafts'!C$2:C1000 = """",
      'ALL PPR Drafts'!D$2:D1000 &amp; "" ("" &amp; 'ALL PPR Drafts'!F$2:F1000 &amp; "", "" &amp; 'ALL PPR Drafts'!H$2:H1000 &amp; "", "" &amp; 'ALL PPR Drafts'!I$2:I1000 &amp; "")"",
      """"
    ),
    VALUE('"&amp;"ALL PPR Drafts'!G$2:G1000) &gt;= 111,
    VALUE('ALL PPR Drafts'!G$2:G1000) &lt;= 120.99
  )
)
"),"#N/A")</f>
        <v/>
      </c>
      <c r="C14" s="47">
        <f>IFERROR(__xludf.DUMMYFUNCTION("""COMPUTED_VALUE"""),"Brandon Aiyuk (WR, 32.5, 3)")</f>
        <v/>
      </c>
      <c r="D14" s="47">
        <f>IFERROR(__xludf.DUMMYFUNCTION("""COMPUTED_VALUE"""),"Jakobi Meyers (WR, 4.5, 3)")</f>
        <v/>
      </c>
      <c r="E14" s="47">
        <f>IFERROR(__xludf.DUMMYFUNCTION("""COMPUTED_VALUE"""),"Jared Goff (QB, 6.8, 3)")</f>
        <v/>
      </c>
      <c r="F14" s="47">
        <f>IFERROR(__xludf.DUMMYFUNCTION("""COMPUTED_VALUE"""),"Aaron Jones Sr. (RB, 5.3, 4)")</f>
        <v/>
      </c>
      <c r="G14" s="47">
        <f>IFERROR(__xludf.DUMMYFUNCTION("""COMPUTED_VALUE"""),"Jake Ferguson (TE, 14.3, 4)")</f>
        <v/>
      </c>
      <c r="H14" s="47">
        <f>IFERROR(__xludf.DUMMYFUNCTION("""COMPUTED_VALUE"""),"#N/A")</f>
        <v/>
      </c>
      <c r="I14" s="49">
        <f>IFERROR(__xludf.DUMMYFUNCTION("""COMPUTED_VALUE"""),"Denzel Boston (WR, 32.2, 4)")</f>
        <v/>
      </c>
      <c r="J14" s="47">
        <f>IFERROR(__xludf.DUMMYFUNCTION("""COMPUTED_VALUE"""),"Jordan Mason (RB, 10.2, 4)")</f>
        <v/>
      </c>
      <c r="K14" s="47" t="n"/>
      <c r="L14" s="47" t="n"/>
      <c r="M14" s="47" t="n"/>
      <c r="N14" s="47" t="n"/>
      <c r="O14" s="47" t="n"/>
      <c r="P14" s="47" t="n"/>
      <c r="Q14" s="47" t="n"/>
      <c r="R14" s="47" t="n"/>
      <c r="S14" s="47" t="n"/>
      <c r="T14" s="47" t="n"/>
      <c r="U14" s="47" t="n"/>
      <c r="V14" s="47" t="n"/>
      <c r="W14" s="47" t="n"/>
      <c r="X14" s="47" t="n"/>
      <c r="Y14" s="47" t="n"/>
      <c r="Z14" s="47" t="n"/>
      <c r="AA14" s="47" t="n"/>
      <c r="AB14" s="47" t="n"/>
      <c r="AC14" s="47" t="n"/>
      <c r="AD14" s="47" t="n"/>
      <c r="AE14" s="47" t="n"/>
      <c r="AF14" s="47" t="n"/>
      <c r="AG14" s="47" t="n"/>
      <c r="AH14" s="47" t="n"/>
      <c r="AI14" s="47" t="n"/>
      <c r="AJ14" s="47" t="n"/>
      <c r="AK14" s="47" t="n"/>
      <c r="AL14" s="47" t="n"/>
      <c r="AM14" s="47" t="n"/>
      <c r="AN14" s="47" t="n"/>
      <c r="AO14" s="47" t="n"/>
      <c r="AP14" s="47" t="n"/>
      <c r="AQ14" s="47" t="n"/>
      <c r="AR14" s="47" t="n"/>
      <c r="AS14" s="47" t="n"/>
      <c r="AT14" s="47" t="n"/>
      <c r="AU14" s="47" t="n"/>
      <c r="AV14" s="47" t="n"/>
      <c r="AW14" s="47" t="n"/>
      <c r="AX14" s="47" t="n"/>
      <c r="AY14" s="47" t="n"/>
      <c r="AZ14" s="47" t="n"/>
      <c r="BA14" s="47" t="n"/>
      <c r="BB14" s="47" t="n"/>
      <c r="BC14" s="47" t="n"/>
      <c r="BD14" s="47" t="n"/>
      <c r="BE14" s="47" t="n"/>
      <c r="BF14" s="47" t="n"/>
      <c r="BG14" s="47" t="n"/>
      <c r="BH14" s="47" t="n"/>
      <c r="BI14" s="47" t="n"/>
      <c r="BJ14" s="47" t="n"/>
      <c r="BK14" s="47" t="n"/>
      <c r="BL14" s="47" t="n"/>
      <c r="BM14" s="47" t="n"/>
      <c r="BN14" s="47" t="n"/>
      <c r="BO14" s="47" t="n"/>
      <c r="BP14" s="47" t="n"/>
      <c r="BQ14" s="47" t="n"/>
      <c r="BR14" s="47" t="n"/>
      <c r="BS14" s="47" t="n"/>
      <c r="BT14" s="47" t="n"/>
      <c r="BU14" s="47" t="n"/>
      <c r="BV14" s="47" t="n"/>
      <c r="BW14" s="47" t="n"/>
      <c r="BX14" s="47" t="n"/>
      <c r="BY14" s="47" t="n"/>
      <c r="BZ14" s="47" t="n"/>
      <c r="CA14" s="47" t="n"/>
      <c r="CB14" s="47" t="n"/>
      <c r="CC14" s="47" t="n"/>
      <c r="CD14" s="47" t="n"/>
      <c r="CE14" s="47" t="n"/>
      <c r="CF14" s="47" t="n"/>
      <c r="CG14" s="47" t="n"/>
      <c r="CH14" s="47" t="n"/>
      <c r="CI14" s="47" t="n"/>
      <c r="CJ14" s="47" t="n"/>
      <c r="CK14" s="47" t="n"/>
      <c r="CL14" s="47" t="n"/>
      <c r="CM14" s="47" t="n"/>
      <c r="CN14" s="47" t="n"/>
      <c r="CO14" s="47" t="n"/>
      <c r="CP14" s="47" t="n"/>
      <c r="CQ14" s="47" t="n"/>
      <c r="CR14" s="47" t="n"/>
      <c r="CS14" s="47" t="n"/>
      <c r="CT14" s="47" t="n"/>
      <c r="CU14" s="47" t="n"/>
      <c r="CV14" s="47" t="n"/>
      <c r="CW14" s="47" t="n"/>
      <c r="CX14" s="47" t="n"/>
      <c r="CY14" s="47" t="n"/>
      <c r="CZ14" s="47" t="n"/>
      <c r="DA14" s="47" t="n"/>
      <c r="DB14" s="47" t="n"/>
      <c r="DC14" s="47" t="n"/>
      <c r="DD14" s="47" t="n"/>
      <c r="DE14" s="47" t="n"/>
      <c r="DF14" s="47" t="n"/>
      <c r="DG14" s="47" t="n"/>
      <c r="DH14" s="47" t="n"/>
      <c r="DI14" s="47" t="n"/>
      <c r="DJ14" s="47" t="n"/>
      <c r="DK14" s="47" t="n"/>
      <c r="DL14" s="47" t="n"/>
      <c r="DM14" s="47" t="n"/>
      <c r="DN14" s="47" t="n"/>
      <c r="DO14" s="47" t="n"/>
      <c r="DP14" s="47" t="n"/>
      <c r="DQ14" s="47" t="n"/>
      <c r="DR14" s="47" t="n"/>
      <c r="DS14" s="47" t="n"/>
      <c r="DT14" s="47" t="n"/>
      <c r="DU14" s="47" t="n"/>
      <c r="DV14" s="47" t="n"/>
      <c r="DW14" s="47" t="n"/>
      <c r="DX14" s="47" t="n"/>
      <c r="DY14" s="47" t="n"/>
      <c r="DZ14" s="47" t="n"/>
      <c r="EA14" s="47" t="n"/>
      <c r="EB14" s="47" t="n"/>
      <c r="EC14" s="47" t="n"/>
      <c r="ED14" s="47" t="n"/>
      <c r="EE14" s="47" t="n"/>
      <c r="EF14" s="47" t="n"/>
      <c r="EG14" s="47" t="n"/>
      <c r="EH14" s="47" t="n"/>
      <c r="EI14" s="47" t="n"/>
      <c r="EJ14" s="47" t="n"/>
      <c r="EK14" s="47" t="n"/>
      <c r="EL14" s="47" t="n"/>
      <c r="EM14" s="47" t="n"/>
      <c r="EN14" s="47" t="n"/>
      <c r="EO14" s="47" t="n"/>
      <c r="EP14" s="47" t="n"/>
      <c r="EQ14" s="47" t="n"/>
      <c r="ER14" s="47" t="n"/>
      <c r="ES14" s="47" t="n"/>
      <c r="ET14" s="47" t="n"/>
      <c r="EU14" s="47" t="n"/>
      <c r="EV14" s="47" t="n"/>
      <c r="EW14" s="47" t="n"/>
      <c r="EX14" s="47" t="n"/>
      <c r="EY14" s="47" t="n"/>
      <c r="EZ14" s="47" t="n"/>
      <c r="FA14" s="47" t="n"/>
      <c r="FB14" s="47" t="n"/>
      <c r="FC14" s="47" t="n"/>
      <c r="FD14" s="47" t="n"/>
      <c r="FE14" s="47" t="n"/>
      <c r="FF14" s="47" t="n"/>
      <c r="FG14" s="47" t="n"/>
      <c r="FH14" s="47" t="n"/>
      <c r="FI14" s="47" t="n"/>
      <c r="FJ14" s="47" t="n"/>
      <c r="FK14" s="47" t="n"/>
      <c r="FL14" s="47" t="n"/>
      <c r="FM14" s="47" t="n"/>
      <c r="FN14" s="47" t="n"/>
      <c r="FO14" s="47" t="n"/>
      <c r="FP14" s="47" t="n"/>
      <c r="FQ14" s="47" t="n"/>
      <c r="FR14" s="47" t="n"/>
      <c r="FS14" s="47" t="n"/>
      <c r="FT14" s="47" t="n"/>
      <c r="FU14" s="47" t="n"/>
      <c r="FV14" s="47" t="n"/>
      <c r="FW14" s="47" t="n"/>
      <c r="FX14" s="47" t="n"/>
      <c r="FY14" s="47" t="n"/>
      <c r="FZ14" s="47" t="n"/>
      <c r="GA14" s="47" t="n"/>
      <c r="GB14" s="47" t="n"/>
      <c r="GC14" s="47" t="n"/>
      <c r="GD14" s="47" t="n"/>
      <c r="GE14" s="47" t="n"/>
      <c r="GF14" s="47" t="n"/>
      <c r="GG14" s="47" t="n"/>
      <c r="GH14" s="47" t="n"/>
      <c r="GI14" s="47" t="n"/>
      <c r="GJ14" s="47" t="n"/>
      <c r="GK14" s="47" t="n"/>
      <c r="GL14" s="47" t="n"/>
      <c r="GM14" s="47" t="n"/>
      <c r="GN14" s="47" t="n"/>
      <c r="GO14" s="47" t="n"/>
      <c r="GP14" s="47" t="n"/>
      <c r="GQ14" s="47" t="n"/>
      <c r="GR14" s="47" t="n"/>
      <c r="GS14" s="47" t="n"/>
      <c r="GT14" s="47" t="n"/>
      <c r="GU14" s="47" t="n"/>
      <c r="GV14" s="47" t="n"/>
      <c r="GW14" s="47" t="n"/>
      <c r="GX14" s="47" t="n"/>
      <c r="GY14" s="47" t="n"/>
      <c r="GZ14" s="47" t="n"/>
      <c r="HA14" s="47" t="n"/>
      <c r="HB14" s="47" t="n"/>
      <c r="HC14" s="47" t="n"/>
      <c r="HD14" s="47" t="n"/>
      <c r="HE14" s="47" t="n"/>
      <c r="HF14" s="47" t="n"/>
      <c r="HG14" s="47" t="n"/>
      <c r="HH14" s="47" t="n"/>
      <c r="HI14" s="47" t="n"/>
      <c r="HJ14" s="47" t="n"/>
      <c r="HK14" s="47" t="n"/>
      <c r="HL14" s="47" t="n"/>
      <c r="HM14" s="47" t="n"/>
      <c r="HN14" s="47" t="n"/>
      <c r="HO14" s="47" t="n"/>
      <c r="HP14" s="47" t="n"/>
      <c r="HQ14" s="47" t="n"/>
      <c r="HR14" s="47" t="n"/>
      <c r="HS14" s="47" t="n"/>
      <c r="HT14" s="47" t="n"/>
      <c r="HU14" s="47" t="n"/>
      <c r="HV14" s="47" t="n"/>
      <c r="HW14" s="47" t="n"/>
      <c r="HX14" s="47" t="n"/>
      <c r="HY14" s="47" t="n"/>
      <c r="HZ14" s="47" t="n"/>
    </row>
    <row r="15" ht="42" customHeight="1" s="54">
      <c r="A15" s="46" t="inlineStr">
        <is>
          <t>121-130</t>
        </is>
      </c>
      <c r="B15" s="47">
        <f>IFERROR(__xludf.DUMMYFUNCTION("TRANSPOSE(
  FILTER(
    IF(
      'ALL PPR Drafts'!C$2:C1000 = """",
      'ALL PPR Drafts'!D$2:D1000 &amp; "" ("" &amp; 'ALL PPR Drafts'!F$2:F1000 &amp; "", "" &amp; 'ALL PPR Drafts'!H$2:H1000 &amp; "", "" &amp; 'ALL PPR Drafts'!I$2:I1000 &amp; "")"",
      """"
    ),
    VALUE('"&amp;"ALL PPR Drafts'!G$2:G1000) &gt;= 121,
    VALUE('ALL PPR Drafts'!G$2:G1000) &lt;= 130.99
  )
)
"),"Juwan Johnson (TE, 15.4, 4)")</f>
        <v/>
      </c>
      <c r="C15" s="48">
        <f>IFERROR(__xludf.DUMMYFUNCTION("""COMPUTED_VALUE"""),"James Conner (RB, 16.1, 4)")</f>
        <v/>
      </c>
      <c r="D15" s="47">
        <f>IFERROR(__xludf.DUMMYFUNCTION("""COMPUTED_VALUE"""),"Jayden Higgins (WR, 9, 4)")</f>
        <v/>
      </c>
      <c r="E15" s="47">
        <f>IFERROR(__xludf.DUMMYFUNCTION("""COMPUTED_VALUE"""),"#N/A")</f>
        <v/>
      </c>
      <c r="F15" s="47">
        <f>IFERROR(__xludf.DUMMYFUNCTION("""COMPUTED_VALUE"""),"Malik Willis (QB, 24.7, 4)")</f>
        <v/>
      </c>
      <c r="G15" s="47">
        <f>IFERROR(__xludf.DUMMYFUNCTION("""COMPUTED_VALUE"""),"Brenton Strange (TE, 17, 4)")</f>
        <v/>
      </c>
      <c r="H15" s="47">
        <f>IFERROR(__xludf.DUMMYFUNCTION("""COMPUTED_VALUE"""),"#N/A")</f>
        <v/>
      </c>
      <c r="I15" s="48">
        <f>IFERROR(__xludf.DUMMYFUNCTION("""COMPUTED_VALUE"""),"Kyler Murray (QB, 16.5, 3)")</f>
        <v/>
      </c>
      <c r="J15" s="47">
        <f>IFERROR(__xludf.DUMMYFUNCTION("""COMPUTED_VALUE"""),"#N/A")</f>
        <v/>
      </c>
      <c r="K15" s="47">
        <f>IFERROR(__xludf.DUMMYFUNCTION("""COMPUTED_VALUE"""),"Travis Kelce (TE, 29.9, 4)")</f>
        <v/>
      </c>
      <c r="L15" s="47">
        <f>IFERROR(__xludf.DUMMYFUNCTION("""COMPUTED_VALUE"""),"#N/A")</f>
        <v/>
      </c>
      <c r="M15" s="47" t="n"/>
      <c r="N15" s="47" t="n"/>
      <c r="O15" s="47" t="n"/>
      <c r="P15" s="47" t="n"/>
      <c r="Q15" s="47" t="n"/>
      <c r="R15" s="47" t="n"/>
      <c r="S15" s="47" t="n"/>
      <c r="T15" s="47" t="n"/>
      <c r="U15" s="47" t="n"/>
      <c r="V15" s="47" t="n"/>
      <c r="W15" s="47" t="n"/>
      <c r="X15" s="47" t="n"/>
      <c r="Y15" s="47" t="n"/>
      <c r="Z15" s="47" t="n"/>
      <c r="AA15" s="47" t="n"/>
      <c r="AB15" s="47" t="n"/>
      <c r="AC15" s="47" t="n"/>
      <c r="AD15" s="47" t="n"/>
      <c r="AE15" s="47" t="n"/>
      <c r="AF15" s="47" t="n"/>
      <c r="AG15" s="47" t="n"/>
      <c r="AH15" s="47" t="n"/>
      <c r="AI15" s="47" t="n"/>
      <c r="AJ15" s="47" t="n"/>
      <c r="AK15" s="47" t="n"/>
      <c r="AL15" s="47" t="n"/>
      <c r="AM15" s="47" t="n"/>
      <c r="AN15" s="47" t="n"/>
      <c r="AO15" s="47" t="n"/>
      <c r="AP15" s="47" t="n"/>
      <c r="AQ15" s="47" t="n"/>
      <c r="AR15" s="47" t="n"/>
      <c r="AS15" s="47" t="n"/>
      <c r="AT15" s="47" t="n"/>
      <c r="AU15" s="47" t="n"/>
      <c r="AV15" s="47" t="n"/>
      <c r="AW15" s="47" t="n"/>
      <c r="AX15" s="47" t="n"/>
      <c r="AY15" s="47" t="n"/>
      <c r="AZ15" s="47" t="n"/>
      <c r="BA15" s="47" t="n"/>
      <c r="BB15" s="47" t="n"/>
      <c r="BC15" s="47" t="n"/>
      <c r="BD15" s="47" t="n"/>
      <c r="BE15" s="47" t="n"/>
      <c r="BF15" s="47" t="n"/>
      <c r="BG15" s="47" t="n"/>
      <c r="BH15" s="47" t="n"/>
      <c r="BI15" s="47" t="n"/>
      <c r="BJ15" s="47" t="n"/>
      <c r="BK15" s="47" t="n"/>
      <c r="BL15" s="47" t="n"/>
      <c r="BM15" s="47" t="n"/>
      <c r="BN15" s="47" t="n"/>
      <c r="BO15" s="47" t="n"/>
      <c r="BP15" s="47" t="n"/>
      <c r="BQ15" s="47" t="n"/>
      <c r="BR15" s="47" t="n"/>
      <c r="BS15" s="47" t="n"/>
      <c r="BT15" s="47" t="n"/>
      <c r="BU15" s="47" t="n"/>
      <c r="BV15" s="47" t="n"/>
      <c r="BW15" s="47" t="n"/>
      <c r="BX15" s="47" t="n"/>
      <c r="BY15" s="47" t="n"/>
      <c r="BZ15" s="47" t="n"/>
      <c r="CA15" s="47" t="n"/>
      <c r="CB15" s="47" t="n"/>
      <c r="CC15" s="47" t="n"/>
      <c r="CD15" s="47" t="n"/>
      <c r="CE15" s="47" t="n"/>
      <c r="CF15" s="47" t="n"/>
      <c r="CG15" s="47" t="n"/>
      <c r="CH15" s="47" t="n"/>
      <c r="CI15" s="47" t="n"/>
      <c r="CJ15" s="47" t="n"/>
      <c r="CK15" s="47" t="n"/>
      <c r="CL15" s="47" t="n"/>
      <c r="CM15" s="47" t="n"/>
      <c r="CN15" s="47" t="n"/>
      <c r="CO15" s="47" t="n"/>
      <c r="CP15" s="47" t="n"/>
      <c r="CQ15" s="47" t="n"/>
      <c r="CR15" s="47" t="n"/>
      <c r="CS15" s="47" t="n"/>
      <c r="CT15" s="47" t="n"/>
      <c r="CU15" s="47" t="n"/>
      <c r="CV15" s="47" t="n"/>
      <c r="CW15" s="47" t="n"/>
      <c r="CX15" s="47" t="n"/>
      <c r="CY15" s="47" t="n"/>
      <c r="CZ15" s="47" t="n"/>
      <c r="DA15" s="47" t="n"/>
      <c r="DB15" s="47" t="n"/>
      <c r="DC15" s="47" t="n"/>
      <c r="DD15" s="47" t="n"/>
      <c r="DE15" s="47" t="n"/>
      <c r="DF15" s="47" t="n"/>
      <c r="DG15" s="47" t="n"/>
      <c r="DH15" s="47" t="n"/>
      <c r="DI15" s="47" t="n"/>
      <c r="DJ15" s="47" t="n"/>
      <c r="DK15" s="47" t="n"/>
      <c r="DL15" s="47" t="n"/>
      <c r="DM15" s="47" t="n"/>
      <c r="DN15" s="47" t="n"/>
      <c r="DO15" s="47" t="n"/>
      <c r="DP15" s="47" t="n"/>
      <c r="DQ15" s="47" t="n"/>
      <c r="DR15" s="47" t="n"/>
      <c r="DS15" s="47" t="n"/>
      <c r="DT15" s="47" t="n"/>
      <c r="DU15" s="47" t="n"/>
      <c r="DV15" s="47" t="n"/>
      <c r="DW15" s="47" t="n"/>
      <c r="DX15" s="47" t="n"/>
      <c r="DY15" s="47" t="n"/>
      <c r="DZ15" s="47" t="n"/>
      <c r="EA15" s="47" t="n"/>
      <c r="EB15" s="47" t="n"/>
      <c r="EC15" s="47" t="n"/>
      <c r="ED15" s="47" t="n"/>
      <c r="EE15" s="47" t="n"/>
      <c r="EF15" s="47" t="n"/>
      <c r="EG15" s="47" t="n"/>
      <c r="EH15" s="47" t="n"/>
      <c r="EI15" s="47" t="n"/>
      <c r="EJ15" s="47" t="n"/>
      <c r="EK15" s="47" t="n"/>
      <c r="EL15" s="47" t="n"/>
      <c r="EM15" s="47" t="n"/>
      <c r="EN15" s="47" t="n"/>
      <c r="EO15" s="47" t="n"/>
      <c r="EP15" s="47" t="n"/>
      <c r="EQ15" s="47" t="n"/>
      <c r="ER15" s="47" t="n"/>
      <c r="ES15" s="47" t="n"/>
      <c r="ET15" s="47" t="n"/>
      <c r="EU15" s="47" t="n"/>
      <c r="EV15" s="47" t="n"/>
      <c r="EW15" s="47" t="n"/>
      <c r="EX15" s="47" t="n"/>
      <c r="EY15" s="47" t="n"/>
      <c r="EZ15" s="47" t="n"/>
      <c r="FA15" s="47" t="n"/>
      <c r="FB15" s="47" t="n"/>
      <c r="FC15" s="47" t="n"/>
      <c r="FD15" s="47" t="n"/>
      <c r="FE15" s="47" t="n"/>
      <c r="FF15" s="47" t="n"/>
      <c r="FG15" s="47" t="n"/>
      <c r="FH15" s="47" t="n"/>
      <c r="FI15" s="47" t="n"/>
      <c r="FJ15" s="47" t="n"/>
      <c r="FK15" s="47" t="n"/>
      <c r="FL15" s="47" t="n"/>
      <c r="FM15" s="47" t="n"/>
      <c r="FN15" s="47" t="n"/>
      <c r="FO15" s="47" t="n"/>
      <c r="FP15" s="47" t="n"/>
      <c r="FQ15" s="47" t="n"/>
      <c r="FR15" s="47" t="n"/>
      <c r="FS15" s="47" t="n"/>
      <c r="FT15" s="47" t="n"/>
      <c r="FU15" s="47" t="n"/>
      <c r="FV15" s="47" t="n"/>
      <c r="FW15" s="47" t="n"/>
      <c r="FX15" s="47" t="n"/>
      <c r="FY15" s="47" t="n"/>
      <c r="FZ15" s="47" t="n"/>
      <c r="GA15" s="47" t="n"/>
      <c r="GB15" s="47" t="n"/>
      <c r="GC15" s="47" t="n"/>
      <c r="GD15" s="47" t="n"/>
      <c r="GE15" s="47" t="n"/>
      <c r="GF15" s="47" t="n"/>
      <c r="GG15" s="47" t="n"/>
      <c r="GH15" s="47" t="n"/>
      <c r="GI15" s="47" t="n"/>
      <c r="GJ15" s="47" t="n"/>
      <c r="GK15" s="47" t="n"/>
      <c r="GL15" s="47" t="n"/>
      <c r="GM15" s="47" t="n"/>
      <c r="GN15" s="47" t="n"/>
      <c r="GO15" s="47" t="n"/>
      <c r="GP15" s="47" t="n"/>
      <c r="GQ15" s="47" t="n"/>
      <c r="GR15" s="47" t="n"/>
      <c r="GS15" s="47" t="n"/>
      <c r="GT15" s="47" t="n"/>
      <c r="GU15" s="47" t="n"/>
      <c r="GV15" s="47" t="n"/>
      <c r="GW15" s="47" t="n"/>
      <c r="GX15" s="47" t="n"/>
      <c r="GY15" s="47" t="n"/>
      <c r="GZ15" s="47" t="n"/>
      <c r="HA15" s="47" t="n"/>
      <c r="HB15" s="47" t="n"/>
      <c r="HC15" s="47" t="n"/>
      <c r="HD15" s="47" t="n"/>
      <c r="HE15" s="47" t="n"/>
      <c r="HF15" s="47" t="n"/>
      <c r="HG15" s="47" t="n"/>
      <c r="HH15" s="47" t="n"/>
      <c r="HI15" s="47" t="n"/>
      <c r="HJ15" s="47" t="n"/>
      <c r="HK15" s="47" t="n"/>
      <c r="HL15" s="47" t="n"/>
      <c r="HM15" s="47" t="n"/>
      <c r="HN15" s="47" t="n"/>
      <c r="HO15" s="47" t="n"/>
      <c r="HP15" s="47" t="n"/>
      <c r="HQ15" s="47" t="n"/>
      <c r="HR15" s="47" t="n"/>
      <c r="HS15" s="47" t="n"/>
      <c r="HT15" s="47" t="n"/>
      <c r="HU15" s="47" t="n"/>
      <c r="HV15" s="47" t="n"/>
      <c r="HW15" s="47" t="n"/>
      <c r="HX15" s="47" t="n"/>
      <c r="HY15" s="47" t="n"/>
      <c r="HZ15" s="47" t="n"/>
    </row>
    <row r="16" ht="28" customHeight="1" s="54">
      <c r="A16" s="47" t="inlineStr">
        <is>
          <t>131-140</t>
        </is>
      </c>
      <c r="B16" s="47">
        <f>IFERROR(__xludf.DUMMYFUNCTION("TRANSPOSE(
  FILTER(
    IF(
      'ALL PPR Drafts'!C$2:C1000 = """",
      'ALL PPR Drafts'!D$2:D1000 &amp; "" ("" &amp; 'ALL PPR Drafts'!F$2:F1000 &amp; "", "" &amp; 'ALL PPR Drafts'!H$2:H1000 &amp; "", "" &amp; 'ALL PPR Drafts'!I$2:I1000 &amp; "")"",
      """"
    ),
    VALUE('"&amp;"ALL PPR Drafts'!G$2:G1000) &gt;= 131,
    VALUE('ALL PPR Drafts'!G$2:G1000) &lt;= 140.99
  )
)
"),"#N/A")</f>
        <v/>
      </c>
      <c r="C16" s="47">
        <f>IFERROR(__xludf.DUMMYFUNCTION("""COMPUTED_VALUE"""),"Jadarian Price (RB, 52.3, 4)")</f>
        <v/>
      </c>
      <c r="D16" s="47">
        <f>IFERROR(__xludf.DUMMYFUNCTION("""COMPUTED_VALUE"""),"Braelon Allen (RB, 18.4, 4)")</f>
        <v/>
      </c>
      <c r="E16" s="47">
        <f>IFERROR(__xludf.DUMMYFUNCTION("""COMPUTED_VALUE"""),"Jayden Reed (WR, 9.7, 4)")</f>
        <v/>
      </c>
      <c r="F16" s="47">
        <f>IFERROR(__xludf.DUMMYFUNCTION("""COMPUTED_VALUE"""),"#N/A")</f>
        <v/>
      </c>
      <c r="G16" s="47">
        <f>IFERROR(__xludf.DUMMYFUNCTION("""COMPUTED_VALUE"""),"Romeo Doubs (WR, 33.5, 4)")</f>
        <v/>
      </c>
      <c r="H16" s="47">
        <f>IFERROR(__xludf.DUMMYFUNCTION("""COMPUTED_VALUE"""),"#N/A")</f>
        <v/>
      </c>
      <c r="I16" s="47">
        <f>IFERROR(__xludf.DUMMYFUNCTION("""COMPUTED_VALUE"""),"George Kittle (TE, 32.5, 4)")</f>
        <v/>
      </c>
      <c r="J16" s="48">
        <f>IFERROR(__xludf.DUMMYFUNCTION("""COMPUTED_VALUE"""),"Hunter Henry (TE, 11.5, 3)")</f>
        <v/>
      </c>
      <c r="K16" s="47">
        <f>IFERROR(__xludf.DUMMYFUNCTION("""COMPUTED_VALUE"""),"Xavier Worthy (WR, 7.6, 3)")</f>
        <v/>
      </c>
      <c r="L16" s="47">
        <f>IFERROR(__xludf.DUMMYFUNCTION("""COMPUTED_VALUE"""),"Khalil Shakir (WR, 8.4, 4)")</f>
        <v/>
      </c>
      <c r="M16" s="47" t="n"/>
      <c r="N16" s="47" t="n"/>
      <c r="O16" s="47" t="n"/>
      <c r="P16" s="47" t="n"/>
      <c r="Q16" s="47" t="n"/>
      <c r="R16" s="47" t="n"/>
      <c r="S16" s="47" t="n"/>
      <c r="T16" s="47" t="n"/>
      <c r="U16" s="47" t="n"/>
      <c r="V16" s="47" t="n"/>
      <c r="W16" s="47" t="n"/>
      <c r="X16" s="47" t="n"/>
      <c r="Y16" s="47" t="n"/>
      <c r="Z16" s="47" t="n"/>
      <c r="AA16" s="47" t="n"/>
      <c r="AB16" s="47" t="n"/>
      <c r="AC16" s="47" t="n"/>
      <c r="AD16" s="47" t="n"/>
      <c r="AE16" s="47" t="n"/>
      <c r="AF16" s="47" t="n"/>
      <c r="AG16" s="47" t="n"/>
      <c r="AH16" s="47" t="n"/>
      <c r="AI16" s="47" t="n"/>
      <c r="AJ16" s="47" t="n"/>
      <c r="AK16" s="47" t="n"/>
      <c r="AL16" s="47" t="n"/>
      <c r="AM16" s="47" t="n"/>
      <c r="AN16" s="47" t="n"/>
      <c r="AO16" s="47" t="n"/>
      <c r="AP16" s="47" t="n"/>
      <c r="AQ16" s="47" t="n"/>
      <c r="AR16" s="47" t="n"/>
      <c r="AS16" s="47" t="n"/>
      <c r="AT16" s="47" t="n"/>
      <c r="AU16" s="47" t="n"/>
      <c r="AV16" s="47" t="n"/>
      <c r="AW16" s="47" t="n"/>
      <c r="AX16" s="47" t="n"/>
      <c r="AY16" s="47" t="n"/>
      <c r="AZ16" s="47" t="n"/>
      <c r="BA16" s="47" t="n"/>
      <c r="BB16" s="47" t="n"/>
      <c r="BC16" s="47" t="n"/>
      <c r="BD16" s="47" t="n"/>
      <c r="BE16" s="47" t="n"/>
      <c r="BF16" s="47" t="n"/>
      <c r="BG16" s="47" t="n"/>
      <c r="BH16" s="47" t="n"/>
      <c r="BI16" s="47" t="n"/>
      <c r="BJ16" s="47" t="n"/>
      <c r="BK16" s="47" t="n"/>
      <c r="BL16" s="47" t="n"/>
      <c r="BM16" s="47" t="n"/>
      <c r="BN16" s="47" t="n"/>
      <c r="BO16" s="47" t="n"/>
      <c r="BP16" s="47" t="n"/>
      <c r="BQ16" s="47" t="n"/>
      <c r="BR16" s="47" t="n"/>
      <c r="BS16" s="47" t="n"/>
      <c r="BT16" s="47" t="n"/>
      <c r="BU16" s="47" t="n"/>
      <c r="BV16" s="47" t="n"/>
      <c r="BW16" s="47" t="n"/>
      <c r="BX16" s="47" t="n"/>
      <c r="BY16" s="47" t="n"/>
      <c r="BZ16" s="47" t="n"/>
      <c r="CA16" s="47" t="n"/>
      <c r="CB16" s="47" t="n"/>
      <c r="CC16" s="47" t="n"/>
      <c r="CD16" s="47" t="n"/>
      <c r="CE16" s="47" t="n"/>
      <c r="CF16" s="47" t="n"/>
      <c r="CG16" s="47" t="n"/>
      <c r="CH16" s="47" t="n"/>
      <c r="CI16" s="47" t="n"/>
      <c r="CJ16" s="47" t="n"/>
      <c r="CK16" s="47" t="n"/>
      <c r="CL16" s="47" t="n"/>
      <c r="CM16" s="47" t="n"/>
      <c r="CN16" s="47" t="n"/>
      <c r="CO16" s="47" t="n"/>
      <c r="CP16" s="47" t="n"/>
      <c r="CQ16" s="47" t="n"/>
      <c r="CR16" s="47" t="n"/>
      <c r="CS16" s="47" t="n"/>
      <c r="CT16" s="47" t="n"/>
      <c r="CU16" s="47" t="n"/>
      <c r="CV16" s="47" t="n"/>
      <c r="CW16" s="47" t="n"/>
      <c r="CX16" s="47" t="n"/>
      <c r="CY16" s="47" t="n"/>
      <c r="CZ16" s="47" t="n"/>
      <c r="DA16" s="47" t="n"/>
      <c r="DB16" s="47" t="n"/>
      <c r="DC16" s="47" t="n"/>
      <c r="DD16" s="47" t="n"/>
      <c r="DE16" s="47" t="n"/>
      <c r="DF16" s="47" t="n"/>
      <c r="DG16" s="47" t="n"/>
      <c r="DH16" s="47" t="n"/>
      <c r="DI16" s="47" t="n"/>
      <c r="DJ16" s="47" t="n"/>
      <c r="DK16" s="47" t="n"/>
      <c r="DL16" s="47" t="n"/>
      <c r="DM16" s="47" t="n"/>
      <c r="DN16" s="47" t="n"/>
      <c r="DO16" s="47" t="n"/>
      <c r="DP16" s="47" t="n"/>
      <c r="DQ16" s="47" t="n"/>
      <c r="DR16" s="47" t="n"/>
      <c r="DS16" s="47" t="n"/>
      <c r="DT16" s="47" t="n"/>
      <c r="DU16" s="47" t="n"/>
      <c r="DV16" s="47" t="n"/>
      <c r="DW16" s="47" t="n"/>
      <c r="DX16" s="47" t="n"/>
      <c r="DY16" s="47" t="n"/>
      <c r="DZ16" s="47" t="n"/>
      <c r="EA16" s="47" t="n"/>
      <c r="EB16" s="47" t="n"/>
      <c r="EC16" s="47" t="n"/>
      <c r="ED16" s="47" t="n"/>
      <c r="EE16" s="47" t="n"/>
      <c r="EF16" s="47" t="n"/>
      <c r="EG16" s="47" t="n"/>
      <c r="EH16" s="47" t="n"/>
      <c r="EI16" s="47" t="n"/>
      <c r="EJ16" s="47" t="n"/>
      <c r="EK16" s="47" t="n"/>
      <c r="EL16" s="47" t="n"/>
      <c r="EM16" s="47" t="n"/>
      <c r="EN16" s="47" t="n"/>
      <c r="EO16" s="47" t="n"/>
      <c r="EP16" s="47" t="n"/>
      <c r="EQ16" s="47" t="n"/>
      <c r="ER16" s="47" t="n"/>
      <c r="ES16" s="47" t="n"/>
      <c r="ET16" s="47" t="n"/>
      <c r="EU16" s="47" t="n"/>
      <c r="EV16" s="47" t="n"/>
      <c r="EW16" s="47" t="n"/>
      <c r="EX16" s="47" t="n"/>
      <c r="EY16" s="47" t="n"/>
      <c r="EZ16" s="47" t="n"/>
      <c r="FA16" s="47" t="n"/>
      <c r="FB16" s="47" t="n"/>
      <c r="FC16" s="47" t="n"/>
      <c r="FD16" s="47" t="n"/>
      <c r="FE16" s="47" t="n"/>
      <c r="FF16" s="47" t="n"/>
      <c r="FG16" s="47" t="n"/>
      <c r="FH16" s="47" t="n"/>
      <c r="FI16" s="47" t="n"/>
      <c r="FJ16" s="47" t="n"/>
      <c r="FK16" s="47" t="n"/>
      <c r="FL16" s="47" t="n"/>
      <c r="FM16" s="47" t="n"/>
      <c r="FN16" s="47" t="n"/>
      <c r="FO16" s="47" t="n"/>
      <c r="FP16" s="47" t="n"/>
      <c r="FQ16" s="47" t="n"/>
      <c r="FR16" s="47" t="n"/>
      <c r="FS16" s="47" t="n"/>
      <c r="FT16" s="47" t="n"/>
      <c r="FU16" s="47" t="n"/>
      <c r="FV16" s="47" t="n"/>
      <c r="FW16" s="47" t="n"/>
      <c r="FX16" s="47" t="n"/>
      <c r="FY16" s="47" t="n"/>
      <c r="FZ16" s="47" t="n"/>
      <c r="GA16" s="47" t="n"/>
      <c r="GB16" s="47" t="n"/>
      <c r="GC16" s="47" t="n"/>
      <c r="GD16" s="47" t="n"/>
      <c r="GE16" s="47" t="n"/>
      <c r="GF16" s="47" t="n"/>
      <c r="GG16" s="47" t="n"/>
      <c r="GH16" s="47" t="n"/>
      <c r="GI16" s="47" t="n"/>
      <c r="GJ16" s="47" t="n"/>
      <c r="GK16" s="47" t="n"/>
      <c r="GL16" s="47" t="n"/>
      <c r="GM16" s="47" t="n"/>
      <c r="GN16" s="47" t="n"/>
      <c r="GO16" s="47" t="n"/>
      <c r="GP16" s="47" t="n"/>
      <c r="GQ16" s="47" t="n"/>
      <c r="GR16" s="47" t="n"/>
      <c r="GS16" s="47" t="n"/>
      <c r="GT16" s="47" t="n"/>
      <c r="GU16" s="47" t="n"/>
      <c r="GV16" s="47" t="n"/>
      <c r="GW16" s="47" t="n"/>
      <c r="GX16" s="47" t="n"/>
      <c r="GY16" s="47" t="n"/>
      <c r="GZ16" s="47" t="n"/>
      <c r="HA16" s="47" t="n"/>
      <c r="HB16" s="47" t="n"/>
      <c r="HC16" s="47" t="n"/>
      <c r="HD16" s="47" t="n"/>
      <c r="HE16" s="47" t="n"/>
      <c r="HF16" s="47" t="n"/>
      <c r="HG16" s="47" t="n"/>
      <c r="HH16" s="47" t="n"/>
      <c r="HI16" s="47" t="n"/>
      <c r="HJ16" s="47" t="n"/>
      <c r="HK16" s="47" t="n"/>
      <c r="HL16" s="47" t="n"/>
      <c r="HM16" s="47" t="n"/>
      <c r="HN16" s="47" t="n"/>
      <c r="HO16" s="47" t="n"/>
      <c r="HP16" s="47" t="n"/>
      <c r="HQ16" s="47" t="n"/>
      <c r="HR16" s="47" t="n"/>
      <c r="HS16" s="47" t="n"/>
      <c r="HT16" s="47" t="n"/>
      <c r="HU16" s="47" t="n"/>
      <c r="HV16" s="47" t="n"/>
      <c r="HW16" s="47" t="n"/>
      <c r="HX16" s="47" t="n"/>
      <c r="HY16" s="47" t="n"/>
      <c r="HZ16" s="47" t="n"/>
    </row>
    <row r="17" ht="42" customHeight="1" s="54">
      <c r="A17" s="47" t="inlineStr">
        <is>
          <t>141-150</t>
        </is>
      </c>
      <c r="B17" s="47">
        <f>IFERROR(__xludf.DUMMYFUNCTION("TRANSPOSE(
  FILTER(
    IF(
      'ALL PPR Drafts'!C$2:C1000 = """",
      'ALL PPR Drafts'!D$2:D1000 &amp; "" ("" &amp; 'ALL PPR Drafts'!F$2:F1000 &amp; "", "" &amp; 'ALL PPR Drafts'!H$2:H1000 &amp; "", "" &amp; 'ALL PPR Drafts'!I$2:I1000 &amp; "")"",
      """"
    ),
    VALUE('"&amp;"ALL PPR Drafts'!G$2:G1000) &gt;= 141,
    VALUE('ALL PPR Drafts'!G$2:G1000) &lt;= 150.99
  )
)
"),"C.J. Stroud (QB, 10.9, 4)")</f>
        <v/>
      </c>
      <c r="C17" s="47">
        <f>IFERROR(__xludf.DUMMYFUNCTION("""COMPUTED_VALUE"""),"#N/A")</f>
        <v/>
      </c>
      <c r="D17" s="47">
        <f>IFERROR(__xludf.DUMMYFUNCTION("""COMPUTED_VALUE"""),"Emmett Johnson (RB, 42.5, 4)")</f>
        <v/>
      </c>
      <c r="E17" s="47">
        <f>IFERROR(__xludf.DUMMYFUNCTION("""COMPUTED_VALUE"""),"#N/A")</f>
        <v/>
      </c>
      <c r="F17" s="47">
        <f>IFERROR(__xludf.DUMMYFUNCTION("""COMPUTED_VALUE"""),"Stefon Diggs (WR, 49, 4)")</f>
        <v/>
      </c>
      <c r="G17" s="47">
        <f>IFERROR(__xludf.DUMMYFUNCTION("""COMPUTED_VALUE"""),"Alvin Kamara (RB, 21.6, 4)")</f>
        <v/>
      </c>
      <c r="H17" s="47">
        <f>IFERROR(__xludf.DUMMYFUNCTION("""COMPUTED_VALUE"""),"#N/A")</f>
        <v/>
      </c>
      <c r="I17" s="47">
        <f>IFERROR(__xludf.DUMMYFUNCTION("""COMPUTED_VALUE"""),"#N/A")</f>
        <v/>
      </c>
      <c r="J17" s="47">
        <f>IFERROR(__xludf.DUMMYFUNCTION("""COMPUTED_VALUE"""),"Houston Texans (DS, 0, 4)")</f>
        <v/>
      </c>
      <c r="K17" s="47">
        <f>IFERROR(__xludf.DUMMYFUNCTION("""COMPUTED_VALUE"""),"Jonathon Brooks (RB, 26.3, 4)")</f>
        <v/>
      </c>
      <c r="L17" s="47" t="n"/>
      <c r="M17" s="47" t="n"/>
      <c r="N17" s="47" t="n"/>
      <c r="O17" s="47" t="n"/>
      <c r="P17" s="47" t="n"/>
      <c r="Q17" s="47" t="n"/>
      <c r="R17" s="47" t="n"/>
      <c r="S17" s="47" t="n"/>
      <c r="T17" s="47" t="n"/>
      <c r="U17" s="47" t="n"/>
      <c r="V17" s="47" t="n"/>
      <c r="W17" s="47" t="n"/>
      <c r="X17" s="47" t="n"/>
      <c r="Y17" s="47" t="n"/>
      <c r="Z17" s="47" t="n"/>
      <c r="AA17" s="47" t="n"/>
      <c r="AB17" s="47" t="n"/>
      <c r="AC17" s="47" t="n"/>
      <c r="AD17" s="47" t="n"/>
      <c r="AE17" s="47" t="n"/>
      <c r="AF17" s="47" t="n"/>
      <c r="AG17" s="47" t="n"/>
      <c r="AH17" s="47" t="n"/>
      <c r="AI17" s="47" t="n"/>
      <c r="AJ17" s="47" t="n"/>
      <c r="AK17" s="47" t="n"/>
      <c r="AL17" s="47" t="n"/>
      <c r="AM17" s="47" t="n"/>
      <c r="AN17" s="47" t="n"/>
      <c r="AO17" s="47" t="n"/>
      <c r="AP17" s="47" t="n"/>
      <c r="AQ17" s="47" t="n"/>
      <c r="AR17" s="47" t="n"/>
      <c r="AS17" s="47" t="n"/>
      <c r="AT17" s="47" t="n"/>
      <c r="AU17" s="47" t="n"/>
      <c r="AV17" s="47" t="n"/>
      <c r="AW17" s="47" t="n"/>
      <c r="AX17" s="47" t="n"/>
      <c r="AY17" s="47" t="n"/>
      <c r="AZ17" s="47" t="n"/>
      <c r="BA17" s="47" t="n"/>
      <c r="BB17" s="47" t="n"/>
      <c r="BC17" s="47" t="n"/>
      <c r="BD17" s="47" t="n"/>
      <c r="BE17" s="47" t="n"/>
      <c r="BF17" s="47" t="n"/>
      <c r="BG17" s="47" t="n"/>
      <c r="BH17" s="47" t="n"/>
      <c r="BI17" s="47" t="n"/>
      <c r="BJ17" s="47" t="n"/>
      <c r="BK17" s="47" t="n"/>
      <c r="BL17" s="47" t="n"/>
      <c r="BM17" s="47" t="n"/>
      <c r="BN17" s="47" t="n"/>
      <c r="BO17" s="47" t="n"/>
      <c r="BP17" s="47" t="n"/>
      <c r="BQ17" s="47" t="n"/>
      <c r="BR17" s="47" t="n"/>
      <c r="BS17" s="47" t="n"/>
      <c r="BT17" s="47" t="n"/>
      <c r="BU17" s="47" t="n"/>
      <c r="BV17" s="47" t="n"/>
      <c r="BW17" s="47" t="n"/>
      <c r="BX17" s="47" t="n"/>
      <c r="BY17" s="47" t="n"/>
      <c r="BZ17" s="47" t="n"/>
      <c r="CA17" s="47" t="n"/>
      <c r="CB17" s="47" t="n"/>
      <c r="CC17" s="47" t="n"/>
      <c r="CD17" s="47" t="n"/>
      <c r="CE17" s="47" t="n"/>
      <c r="CF17" s="47" t="n"/>
      <c r="CG17" s="47" t="n"/>
      <c r="CH17" s="47" t="n"/>
      <c r="CI17" s="47" t="n"/>
      <c r="CJ17" s="47" t="n"/>
      <c r="CK17" s="47" t="n"/>
      <c r="CL17" s="47" t="n"/>
      <c r="CM17" s="47" t="n"/>
      <c r="CN17" s="47" t="n"/>
      <c r="CO17" s="47" t="n"/>
      <c r="CP17" s="47" t="n"/>
      <c r="CQ17" s="47" t="n"/>
      <c r="CR17" s="47" t="n"/>
      <c r="CS17" s="47" t="n"/>
      <c r="CT17" s="47" t="n"/>
      <c r="CU17" s="47" t="n"/>
      <c r="CV17" s="47" t="n"/>
      <c r="CW17" s="47" t="n"/>
      <c r="CX17" s="47" t="n"/>
      <c r="CY17" s="47" t="n"/>
      <c r="CZ17" s="47" t="n"/>
      <c r="DA17" s="47" t="n"/>
      <c r="DB17" s="47" t="n"/>
      <c r="DC17" s="47" t="n"/>
      <c r="DD17" s="47" t="n"/>
      <c r="DE17" s="47" t="n"/>
      <c r="DF17" s="47" t="n"/>
      <c r="DG17" s="47" t="n"/>
      <c r="DH17" s="47" t="n"/>
      <c r="DI17" s="47" t="n"/>
      <c r="DJ17" s="47" t="n"/>
      <c r="DK17" s="47" t="n"/>
      <c r="DL17" s="47" t="n"/>
      <c r="DM17" s="47" t="n"/>
      <c r="DN17" s="47" t="n"/>
      <c r="DO17" s="47" t="n"/>
      <c r="DP17" s="47" t="n"/>
      <c r="DQ17" s="47" t="n"/>
      <c r="DR17" s="47" t="n"/>
      <c r="DS17" s="47" t="n"/>
      <c r="DT17" s="47" t="n"/>
      <c r="DU17" s="47" t="n"/>
      <c r="DV17" s="47" t="n"/>
      <c r="DW17" s="47" t="n"/>
      <c r="DX17" s="47" t="n"/>
      <c r="DY17" s="47" t="n"/>
      <c r="DZ17" s="47" t="n"/>
      <c r="EA17" s="47" t="n"/>
      <c r="EB17" s="47" t="n"/>
      <c r="EC17" s="47" t="n"/>
      <c r="ED17" s="47" t="n"/>
      <c r="EE17" s="47" t="n"/>
      <c r="EF17" s="47" t="n"/>
      <c r="EG17" s="47" t="n"/>
      <c r="EH17" s="47" t="n"/>
      <c r="EI17" s="47" t="n"/>
      <c r="EJ17" s="47" t="n"/>
      <c r="EK17" s="47" t="n"/>
      <c r="EL17" s="47" t="n"/>
      <c r="EM17" s="47" t="n"/>
      <c r="EN17" s="47" t="n"/>
      <c r="EO17" s="47" t="n"/>
      <c r="EP17" s="47" t="n"/>
      <c r="EQ17" s="47" t="n"/>
      <c r="ER17" s="47" t="n"/>
      <c r="ES17" s="47" t="n"/>
      <c r="ET17" s="47" t="n"/>
      <c r="EU17" s="47" t="n"/>
      <c r="EV17" s="47" t="n"/>
      <c r="EW17" s="47" t="n"/>
      <c r="EX17" s="47" t="n"/>
      <c r="EY17" s="47" t="n"/>
      <c r="EZ17" s="47" t="n"/>
      <c r="FA17" s="47" t="n"/>
      <c r="FB17" s="47" t="n"/>
      <c r="FC17" s="47" t="n"/>
      <c r="FD17" s="47" t="n"/>
      <c r="FE17" s="47" t="n"/>
      <c r="FF17" s="47" t="n"/>
      <c r="FG17" s="47" t="n"/>
      <c r="FH17" s="47" t="n"/>
      <c r="FI17" s="47" t="n"/>
      <c r="FJ17" s="47" t="n"/>
      <c r="FK17" s="47" t="n"/>
      <c r="FL17" s="47" t="n"/>
      <c r="FM17" s="47" t="n"/>
      <c r="FN17" s="47" t="n"/>
      <c r="FO17" s="47" t="n"/>
      <c r="FP17" s="47" t="n"/>
      <c r="FQ17" s="47" t="n"/>
      <c r="FR17" s="47" t="n"/>
      <c r="FS17" s="47" t="n"/>
      <c r="FT17" s="47" t="n"/>
      <c r="FU17" s="47" t="n"/>
      <c r="FV17" s="47" t="n"/>
      <c r="FW17" s="47" t="n"/>
      <c r="FX17" s="47" t="n"/>
      <c r="FY17" s="47" t="n"/>
      <c r="FZ17" s="47" t="n"/>
      <c r="GA17" s="47" t="n"/>
      <c r="GB17" s="47" t="n"/>
      <c r="GC17" s="47" t="n"/>
      <c r="GD17" s="47" t="n"/>
      <c r="GE17" s="47" t="n"/>
      <c r="GF17" s="47" t="n"/>
      <c r="GG17" s="47" t="n"/>
      <c r="GH17" s="47" t="n"/>
      <c r="GI17" s="47" t="n"/>
      <c r="GJ17" s="47" t="n"/>
      <c r="GK17" s="47" t="n"/>
      <c r="GL17" s="47" t="n"/>
      <c r="GM17" s="47" t="n"/>
      <c r="GN17" s="47" t="n"/>
      <c r="GO17" s="47" t="n"/>
      <c r="GP17" s="47" t="n"/>
      <c r="GQ17" s="47" t="n"/>
      <c r="GR17" s="47" t="n"/>
      <c r="GS17" s="47" t="n"/>
      <c r="GT17" s="47" t="n"/>
      <c r="GU17" s="47" t="n"/>
      <c r="GV17" s="47" t="n"/>
      <c r="GW17" s="47" t="n"/>
      <c r="GX17" s="47" t="n"/>
      <c r="GY17" s="47" t="n"/>
      <c r="GZ17" s="47" t="n"/>
      <c r="HA17" s="47" t="n"/>
      <c r="HB17" s="47" t="n"/>
      <c r="HC17" s="47" t="n"/>
      <c r="HD17" s="47" t="n"/>
      <c r="HE17" s="47" t="n"/>
      <c r="HF17" s="47" t="n"/>
      <c r="HG17" s="47" t="n"/>
      <c r="HH17" s="47" t="n"/>
      <c r="HI17" s="47" t="n"/>
      <c r="HJ17" s="47" t="n"/>
      <c r="HK17" s="47" t="n"/>
      <c r="HL17" s="47" t="n"/>
      <c r="HM17" s="47" t="n"/>
      <c r="HN17" s="47" t="n"/>
      <c r="HO17" s="47" t="n"/>
      <c r="HP17" s="47" t="n"/>
      <c r="HQ17" s="47" t="n"/>
      <c r="HR17" s="47" t="n"/>
      <c r="HS17" s="47" t="n"/>
      <c r="HT17" s="47" t="n"/>
      <c r="HU17" s="47" t="n"/>
      <c r="HV17" s="47" t="n"/>
      <c r="HW17" s="47" t="n"/>
      <c r="HX17" s="47" t="n"/>
      <c r="HY17" s="47" t="n"/>
      <c r="HZ17" s="47" t="n"/>
    </row>
  </sheetData>
  <conditionalFormatting sqref="A3:HZ17">
    <cfRule type="endsWith" priority="1" operator="endsWith" dxfId="16" text="1)">
      <formula>RIGHT((A3),LEN("1)"))=("1)")</formula>
    </cfRule>
    <cfRule type="endsWith" priority="2" operator="endsWith" dxfId="15" text="2)">
      <formula>RIGHT((A3),LEN("2)"))=("2)")</formula>
    </cfRule>
    <cfRule type="endsWith" priority="3" operator="endsWith" dxfId="14" text="3)">
      <formula>RIGHT((A3),LEN("3)"))=("3)")</formula>
    </cfRule>
    <cfRule type="endsWith" priority="4" operator="endsWith" dxfId="13" text="4)">
      <formula>RIGHT((A3),LEN("4)"))=("4)")</formula>
    </cfRule>
    <cfRule type="endsWith" priority="5" operator="endsWith" dxfId="12" text="5)">
      <formula>RIGHT((A3),LEN("5)"))=("5)")</formula>
    </cfRule>
  </conditionalFormatting>
  <pageMargins left="0.7" right="0.7" top="0.75" bottom="0.75" header="0.3" footer="0.3"/>
</worksheet>
</file>

<file path=xl/worksheets/sheet8.xml><?xml version="1.0" encoding="utf-8"?>
<worksheet xmlns="http://schemas.openxmlformats.org/spreadsheetml/2006/main">
  <sheetPr>
    <tabColor rgb="FFFFFF00"/>
    <outlinePr summaryBelow="0" summaryRight="0"/>
    <pageSetUpPr/>
  </sheetPr>
  <dimension ref="A1:I996"/>
  <sheetViews>
    <sheetView workbookViewId="0">
      <pane ySplit="1" topLeftCell="A2" activePane="bottomLeft" state="frozen"/>
      <selection pane="bottomLeft" activeCell="B3" sqref="B3"/>
    </sheetView>
  </sheetViews>
  <sheetFormatPr baseColWidth="10" defaultColWidth="12.5" defaultRowHeight="15.75" customHeight="1"/>
  <cols>
    <col width="17.33203125" customWidth="1" style="54" min="1" max="1"/>
    <col width="6.6640625" customWidth="1" style="54" min="2" max="2"/>
    <col width="23.1640625" customWidth="1" style="54" min="3" max="3"/>
    <col width="19.83203125" customWidth="1" style="54" min="4" max="4"/>
    <col width="9.5" customWidth="1" style="54" min="5" max="5"/>
    <col width="13.83203125" customWidth="1" style="54" min="6" max="6"/>
    <col width="13.5" customWidth="1" style="54" min="7" max="7"/>
    <col width="11.5" customWidth="1" style="54" min="8" max="8"/>
  </cols>
  <sheetData>
    <row r="1" ht="15.75" customHeight="1" s="54">
      <c r="A1" s="26" t="n"/>
      <c r="B1" s="26" t="inlineStr">
        <is>
          <t>x</t>
        </is>
      </c>
      <c r="C1" s="26" t="inlineStr">
        <is>
          <t>Taken</t>
        </is>
      </c>
      <c r="D1" s="37" t="inlineStr">
        <is>
          <t>PLAYER NAME</t>
        </is>
      </c>
      <c r="E1" s="37" t="inlineStr">
        <is>
          <t>TEAM</t>
        </is>
      </c>
      <c r="F1" s="26" t="inlineStr">
        <is>
          <t>POS</t>
        </is>
      </c>
      <c r="G1" s="37" t="inlineStr">
        <is>
          <t>AVG.</t>
        </is>
      </c>
      <c r="H1" s="37" t="inlineStr">
        <is>
          <t>STD.DEV</t>
        </is>
      </c>
      <c r="I1" s="50" t="n"/>
    </row>
    <row r="2" ht="15.75" customHeight="1" s="54">
      <c r="C2">
        <f>IF(COUNTIF(Keeper!B:B,D2)&gt;0,"x","")</f>
        <v/>
      </c>
      <c r="D2" s="40">
        <f>Fantasypro!C2</f>
        <v/>
      </c>
      <c r="E2" s="40">
        <f>Fantasypro!D2</f>
        <v/>
      </c>
      <c r="F2">
        <f>Fantasypro!K2</f>
        <v/>
      </c>
      <c r="G2" s="39">
        <f>Fantasypro!H2</f>
        <v/>
      </c>
      <c r="H2" s="39">
        <f>Fantasypro!I2</f>
        <v/>
      </c>
      <c r="I2" s="51">
        <f>_xludf.IFS(
  F3 = "RB", _xludf.IFS(
    AND(H3 &gt;= 0, H3 &lt; 2.55), 1,
    AND(H3 &gt;= 2.55, H3 &lt; 4.7), 2,
    AND(H3 &gt;= 4.7, H3 &lt; 8.4), 3,
    AND(H3 &gt;= 8.4, H3 &lt;= 36), 4
  ),
  F3 = "WR", _xludf.IFS(
    AND(H3 &gt;= 0, H3 &lt; 2.55), 1,
    AND(H3 &gt;= 2.55, H3 &lt; 4.2), 2,
    AND(H3 &gt;= 4.2, H3 &lt; 8.55), 3,
    AND(H3 &gt;= 8.55, H3 &lt;= 24.4), 4
  ),
  F3 = "QB", _xludf.IFS(
    AND(H3 &gt;= 0, H3 &lt; 2.95), 1,
    AND(H3 &gt;= 2.95, H3 &lt; 5.4), 2,
    AND(H3 &gt;= 5.4, H3 &lt; 7.2), 3,
    AND(H3 &gt;= 7.2, H3 &lt;= 12.3), 4
  ),
  F3 = "TE", _xludf.IFS(
    AND(H3 &gt;= 0, H3 &lt; 3), 1,
    AND(H3 &gt;= 3, H3 &lt; 4.8), 2,
    AND(H3 &gt;= 4.8, H3 &lt; 8.525), 3,
    AND(H3 &gt;= 8.525, H3 &lt;= 24.6), 4
  )
)</f>
        <v/>
      </c>
    </row>
    <row r="3" ht="15.75" customHeight="1" s="54">
      <c r="C3">
        <f>IF(COUNTIF(Keeper!B:B,D3)&gt;0,"x","")</f>
        <v/>
      </c>
      <c r="D3" s="40">
        <f>Fantasypro!C3</f>
        <v/>
      </c>
      <c r="E3" s="40">
        <f>Fantasypro!D3</f>
        <v/>
      </c>
      <c r="F3">
        <f>Fantasypro!K3</f>
        <v/>
      </c>
      <c r="G3" s="39">
        <f>Fantasypro!H3</f>
        <v/>
      </c>
      <c r="H3" s="39">
        <f>Fantasypro!I3</f>
        <v/>
      </c>
      <c r="I3" s="51">
        <f>_xludf.IFS(
F4 = "RB", _xludf.IFS(
AND(H4 &gt;= 0, H4 &lt; 2.55), 1,
AND(H4 &gt;= 2.55, H4 &lt; 4.7), 2,
AND(H4 &gt;= 4.7, H4 &lt; 8.4), 3,
AND(H4 &gt;= 8.4, H4 &lt;= 36), 
4),
F4 = "WR", _xludf.IFS(
AND(H4 &gt;= 0, H4 &lt; 2.55), 1,
AND(H4 &gt;= 2.55, H4 &lt; 4.2), 2,
AND(H4 &gt;= 4.2, H4 &lt; 8.55), 3,
AND(H4 &gt;= 8.55, H4 &lt;= 24.4), 
4),
F4 = "QB", _xludf.IFS(
AND(H4 &gt;= 0, H4 &lt; 2.95), 1,
AND(H4 &gt;= 2.95, H4 &lt; 5.4), 2,
AND(H4 &gt;= 5.4, H4 &lt; 7.2), 3,
AND(H4 &gt;= 7.2, H4 &lt;= 12.3), 
4),
F4 = "TE", _xludf.IFS(
AND(H4 &gt;= 0, H4 &lt; 3), 1,
AND(H4 &gt;= 3, H4 &lt; 4.8), 2,
AND(H4 &gt;= 4.8, H4 &lt; 8.525), 3,
AND(H4 &gt;= 8.525, H4 &lt;= 24.6), 
4)
)</f>
        <v/>
      </c>
    </row>
    <row r="4" ht="15.75" customHeight="1" s="54">
      <c r="C4">
        <f>IF(COUNTIF(Keeper!B:B,D4)&gt;0,"x","")</f>
        <v/>
      </c>
      <c r="D4" s="40">
        <f>Fantasypro!C4</f>
        <v/>
      </c>
      <c r="E4" s="40">
        <f>Fantasypro!D4</f>
        <v/>
      </c>
      <c r="F4">
        <f>Fantasypro!K4</f>
        <v/>
      </c>
      <c r="G4" s="39">
        <f>Fantasypro!H4</f>
        <v/>
      </c>
      <c r="H4" s="39">
        <f>Fantasypro!I4</f>
        <v/>
      </c>
      <c r="I4" s="51">
        <f>_xludf.IFS(
F5 = "RB", _xludf.IFS(
AND(H5 &gt;= 0, H5 &lt; 2.55), 1,
AND(H5 &gt;= 2.55, H5 &lt; 4.7), 2,
AND(H5 &gt;= 4.7, H5 &lt; 8.4), 3,
AND(H5 &gt;= 8.4, H5 &lt;= 36), 
4),
F5 = "WR", _xludf.IFS(
AND(H5 &gt;= 0, H5 &lt; 2.55), 1,
AND(H5 &gt;= 2.55, H5 &lt; 4.2), 2,
AND(H5 &gt;= 4.2, H5 &lt; 8.55), 3,
AND(H5 &gt;= 8.55, H5 &lt;= 24.4), 
4),
F5 = "QB", _xludf.IFS(
AND(H5 &gt;= 0, H5 &lt; 2.95), 1,
AND(H5 &gt;= 2.95, H5 &lt; 5.4), 2,
AND(H5 &gt;= 5.4, H5 &lt; 7.2), 3,
AND(H5 &gt;= 7.2, H5 &lt;= 12.3), 
4),
F5 = "TE", _xludf.IFS(
AND(H5 &gt;= 0, H5 &lt; 3), 1,
AND(H5 &gt;= 3, H5 &lt; 4.8), 2,
AND(H5 &gt;= 4.8, H5 &lt; 8.525), 3,
AND(H5 &gt;= 8.525, H5 &lt;= 24.6), 
4)
)</f>
        <v/>
      </c>
    </row>
    <row r="5" ht="15.75" customHeight="1" s="54">
      <c r="C5">
        <f>IF(COUNTIF(Keeper!B:B,D5)&gt;0,"x","")</f>
        <v/>
      </c>
      <c r="D5" s="40">
        <f>Fantasypro!C5</f>
        <v/>
      </c>
      <c r="E5" s="40">
        <f>Fantasypro!D5</f>
        <v/>
      </c>
      <c r="F5">
        <f>Fantasypro!K5</f>
        <v/>
      </c>
      <c r="G5" s="39">
        <f>Fantasypro!H5</f>
        <v/>
      </c>
      <c r="H5" s="39">
        <f>Fantasypro!I5</f>
        <v/>
      </c>
      <c r="I5" s="51">
        <f>_xludf.IFS(
F6 = "RB", _xludf.IFS(
AND(H6 &gt;= 0, H6 &lt; 2.55), 1,
AND(H6 &gt;= 2.55, H6 &lt; 4.7), 2,
AND(H6 &gt;= 4.7, H6 &lt; 8.4), 3,
AND(H6 &gt;= 8.4, H6 &lt;= 36), 
4),
F6 = "WR", _xludf.IFS(
AND(H6 &gt;= 0, H6 &lt; 2.55), 1,
AND(H6 &gt;= 2.55, H6 &lt; 4.2), 2,
AND(H6 &gt;= 4.2, H6 &lt; 8.55), 3,
AND(H6 &gt;= 8.55, H6 &lt;= 24.4), 
4),
F6 = "QB", _xludf.IFS(
AND(H6 &gt;= 0, H6 &lt; 2.95), 1,
AND(H6 &gt;= 2.95, H6 &lt; 5.4), 2,
AND(H6 &gt;= 5.4, H6 &lt; 7.2), 3,
AND(H6 &gt;= 7.2, H6 &lt;= 12.3), 
4),
F6 = "TE", _xludf.IFS(
AND(H6 &gt;= 0, H6 &lt; 3), 1,
AND(H6 &gt;= 3, H6 &lt; 4.8), 2,
AND(H6 &gt;= 4.8, H6 &lt; 8.525), 3,
AND(H6 &gt;= 8.525, H6 &lt;= 24.6), 
4)
)</f>
        <v/>
      </c>
    </row>
    <row r="6" ht="15.75" customHeight="1" s="54">
      <c r="C6">
        <f>IF(COUNTIF(Keeper!B:B,D6)&gt;0,"x","")</f>
        <v/>
      </c>
      <c r="D6" s="40">
        <f>Fantasypro!C6</f>
        <v/>
      </c>
      <c r="E6" s="40">
        <f>Fantasypro!D6</f>
        <v/>
      </c>
      <c r="F6">
        <f>Fantasypro!K6</f>
        <v/>
      </c>
      <c r="G6" s="39">
        <f>Fantasypro!H6</f>
        <v/>
      </c>
      <c r="H6" s="39">
        <f>Fantasypro!I6</f>
        <v/>
      </c>
      <c r="I6" s="51">
        <f>_xludf.IFS(
F7 = "RB", _xludf.IFS(
AND(H7 &gt;= 0, H7 &lt; 2.55), 1,
AND(H7 &gt;= 2.55, H7 &lt; 4.7), 2,
AND(H7 &gt;= 4.7, H7 &lt; 8.4), 3,
AND(H7 &gt;= 8.4, H7 &lt;= 36), 
4),
F7 = "WR", _xludf.IFS(
AND(H7 &gt;= 0, H7 &lt; 2.55), 1,
AND(H7 &gt;= 2.55, H7 &lt; 4.2), 2,
AND(H7 &gt;= 4.2, H7 &lt; 8.55), 3,
AND(H7 &gt;= 8.55, H7 &lt;= 24.4), 
4),
F7 = "QB", _xludf.IFS(
AND(H7 &gt;= 0, H7 &lt; 2.95), 1,
AND(H7 &gt;= 2.95, H7 &lt; 5.4), 2,
AND(H7 &gt;= 5.4, H7 &lt; 7.2), 3,
AND(H7 &gt;= 7.2, H7 &lt;= 12.3), 
4),
F7 = "TE", _xludf.IFS(
AND(H7 &gt;= 0, H7 &lt; 3), 1,
AND(H7 &gt;= 3, H7 &lt; 4.8), 2,
AND(H7 &gt;= 4.8, H7 &lt; 8.525), 3,
AND(H7 &gt;= 8.525, H7 &lt;= 24.6), 
4)
)</f>
        <v/>
      </c>
    </row>
    <row r="7" ht="15.75" customHeight="1" s="54">
      <c r="C7">
        <f>IF(COUNTIF(Keeper!B:B,D7)&gt;0,"x","")</f>
        <v/>
      </c>
      <c r="D7" s="40">
        <f>Fantasypro!C7</f>
        <v/>
      </c>
      <c r="E7" s="40">
        <f>Fantasypro!D7</f>
        <v/>
      </c>
      <c r="F7">
        <f>Fantasypro!K7</f>
        <v/>
      </c>
      <c r="G7" s="39">
        <f>Fantasypro!H7</f>
        <v/>
      </c>
      <c r="H7" s="39">
        <f>Fantasypro!I7</f>
        <v/>
      </c>
      <c r="I7" s="51">
        <f>_xludf.IFS(
F8 = "RB", _xludf.IFS(
AND(H8 &gt;= 0, H8 &lt; 2.55), 1,
AND(H8 &gt;= 2.55, H8 &lt; 4.7), 2,
AND(H8 &gt;= 4.7, H8 &lt; 8.4), 3,
AND(H8 &gt;= 8.4, H8 &lt;= 36), 
4),
F8 = "WR", _xludf.IFS(
AND(H8 &gt;= 0, H8 &lt; 2.55), 1,
AND(H8 &gt;= 2.55, H8 &lt; 4.2), 2,
AND(H8 &gt;= 4.2, H8 &lt; 8.55), 3,
AND(H8 &gt;= 8.55, H8 &lt;= 24.4), 
4),
F8 = "QB", _xludf.IFS(
AND(H8 &gt;= 0, H8 &lt; 2.95), 1,
AND(H8 &gt;= 2.95, H8 &lt; 5.4), 2,
AND(H8 &gt;= 5.4, H8 &lt; 7.2), 3,
AND(H8 &gt;= 7.2, H8 &lt;= 12.3), 
4),
F8 = "TE", _xludf.IFS(
AND(H8 &gt;= 0, H8 &lt; 3), 1,
AND(H8 &gt;= 3, H8 &lt; 4.8), 2,
AND(H8 &gt;= 4.8, H8 &lt; 8.525), 3,
AND(H8 &gt;= 8.525, H8 &lt;= 24.6), 
4)
)</f>
        <v/>
      </c>
    </row>
    <row r="8" ht="15.75" customHeight="1" s="54">
      <c r="C8">
        <f>IF(COUNTIF(Keeper!B:B,D8)&gt;0,"x","")</f>
        <v/>
      </c>
      <c r="D8" s="40">
        <f>Fantasypro!C8</f>
        <v/>
      </c>
      <c r="E8" s="40">
        <f>Fantasypro!D8</f>
        <v/>
      </c>
      <c r="F8">
        <f>Fantasypro!K8</f>
        <v/>
      </c>
      <c r="G8" s="39">
        <f>Fantasypro!H8</f>
        <v/>
      </c>
      <c r="H8" s="39">
        <f>Fantasypro!I8</f>
        <v/>
      </c>
      <c r="I8" s="51">
        <f>_xludf.IFS(
F9 = "RB", _xludf.IFS(
AND(H9 &gt;= 0, H9 &lt; 2.55), 1,
AND(H9 &gt;= 2.55, H9 &lt; 4.7), 2,
AND(H9 &gt;= 4.7, H9 &lt; 8.4), 3,
AND(H9 &gt;= 8.4, H9 &lt;= 36), 
4),
F9 = "WR", _xludf.IFS(
AND(H9 &gt;= 0, H9 &lt; 2.55), 1,
AND(H9 &gt;= 2.55, H9 &lt; 4.2), 2,
AND(H9 &gt;= 4.2, H9 &lt; 8.55), 3,
AND(H9 &gt;= 8.55, H9 &lt;= 24.4), 
4),
F9 = "QB", _xludf.IFS(
AND(H9 &gt;= 0, H9 &lt; 2.95), 1,
AND(H9 &gt;= 2.95, H9 &lt; 5.4), 2,
AND(H9 &gt;= 5.4, H9 &lt; 7.2), 3,
AND(H9 &gt;= 7.2, H9 &lt;= 12.3), 
4),
F9 = "TE", _xludf.IFS(
AND(H9 &gt;= 0, H9 &lt; 3), 1,
AND(H9 &gt;= 3, H9 &lt; 4.8), 2,
AND(H9 &gt;= 4.8, H9 &lt; 8.525), 3,
AND(H9 &gt;= 8.525, H9 &lt;= 24.6), 
4)
)</f>
        <v/>
      </c>
    </row>
    <row r="9" ht="15.75" customHeight="1" s="54">
      <c r="C9">
        <f>IF(COUNTIF(Keeper!B:B,D9)&gt;0,"x","")</f>
        <v/>
      </c>
      <c r="D9" s="40">
        <f>Fantasypro!C9</f>
        <v/>
      </c>
      <c r="E9" s="40">
        <f>Fantasypro!D9</f>
        <v/>
      </c>
      <c r="F9">
        <f>Fantasypro!K9</f>
        <v/>
      </c>
      <c r="G9" s="39">
        <f>Fantasypro!H9</f>
        <v/>
      </c>
      <c r="H9" s="39">
        <f>Fantasypro!I9</f>
        <v/>
      </c>
      <c r="I9" s="51">
        <f>_xludf.IFS(
F10 = "RB", _xludf.IFS(
AND(H10 &gt;= 0, H10 &lt; 2.55), 1,
AND(H10 &gt;= 2.55, H10 &lt; 4.7), 2,
AND(H10 &gt;= 4.7, H10 &lt; 8.4), 3,
AND(H10 &gt;= 8.4, H10 &lt;= 36), 
4),
F10 = "WR", _xludf.IFS(
AND(H10 &gt;= 0, H10 &lt; 2.55), 1,
AND(H10 &gt;= 2.55, H10 &lt; 4.2), 2,
AND(H10 &gt;= 4.2, H10 &lt; 8.55), 3,
AND(H10 &gt;= 8.55, H10 &lt;= 24.4), 
4),
F10 = "QB", _xludf.IFS(
AND(H10 &gt;= 0, H10 &lt; 2.95), 1,
AND(H10 &gt;= 2.95, H10 &lt; 5.4), 2,
AND(H10 &gt;= 5.4, H10 &lt; 7.2), 3,
AND(H10 &gt;= 7.2, H10 &lt;= 12.3), 
4),
F10 = "TE", _xludf.IFS(
AND(H10 &gt;= 0, H10 &lt; 3), 1,
AND(H10 &gt;= 3, H10 &lt; 4.8), 2,
AND(H10 &gt;= 4.8, H10 &lt; 8.525), 3,
AND(H10 &gt;= 8.525, H10 &lt;= 24.6), 
4)
)</f>
        <v/>
      </c>
    </row>
    <row r="10" ht="15.75" customHeight="1" s="54">
      <c r="C10">
        <f>IF(COUNTIF(Keeper!B:B,D10)&gt;0,"x","")</f>
        <v/>
      </c>
      <c r="D10" s="40">
        <f>Fantasypro!C10</f>
        <v/>
      </c>
      <c r="E10" s="40">
        <f>Fantasypro!D10</f>
        <v/>
      </c>
      <c r="F10">
        <f>Fantasypro!K10</f>
        <v/>
      </c>
      <c r="G10" s="39">
        <f>Fantasypro!H10</f>
        <v/>
      </c>
      <c r="H10" s="39">
        <f>Fantasypro!I10</f>
        <v/>
      </c>
      <c r="I10" s="51">
        <f>_xludf.IFS(
F11 = "RB", _xludf.IFS(
AND(H11 &gt;= 0, H11 &lt; 2.55), 1,
AND(H11 &gt;= 2.55, H11 &lt; 4.7), 2,
AND(H11 &gt;= 4.7, H11 &lt; 8.4), 3,
AND(H11 &gt;= 8.4, H11 &lt;= 36), 
4),
F11 = "WR", _xludf.IFS(
AND(H11 &gt;= 0, H11 &lt; 2.55), 1,
AND(H11 &gt;= 2.55, H11 &lt; 4.2), 2,
AND(H11 &gt;= 4.2, H11 &lt; 8.55), 3,
AND(H11 &gt;= 8.55, H11 &lt;= 24.4), 
4),
F11 = "QB", _xludf.IFS(
AND(H11 &gt;= 0, H11 &lt; 2.95), 1,
AND(H11 &gt;= 2.95, H11 &lt; 5.4), 2,
AND(H11 &gt;= 5.4, H11 &lt; 7.2), 3,
AND(H11 &gt;= 7.2, H11 &lt;= 12.3), 
4),
F11 = "TE", _xludf.IFS(
AND(H11 &gt;= 0, H11 &lt; 3), 1,
AND(H11 &gt;= 3, H11 &lt; 4.8), 2,
AND(H11 &gt;= 4.8, H11 &lt; 8.525), 3,
AND(H11 &gt;= 8.525, H11 &lt;= 24.6), 
4)
)</f>
        <v/>
      </c>
    </row>
    <row r="11" ht="15.75" customHeight="1" s="54">
      <c r="C11">
        <f>IF(COUNTIF(Keeper!B:B,D11)&gt;0,"x","")</f>
        <v/>
      </c>
      <c r="D11" s="40">
        <f>Fantasypro!C11</f>
        <v/>
      </c>
      <c r="E11" s="40">
        <f>Fantasypro!D11</f>
        <v/>
      </c>
      <c r="F11">
        <f>Fantasypro!K11</f>
        <v/>
      </c>
      <c r="G11" s="39">
        <f>Fantasypro!H11</f>
        <v/>
      </c>
      <c r="H11" s="39">
        <f>Fantasypro!I11</f>
        <v/>
      </c>
      <c r="I11" s="51">
        <f>_xludf.IFS(
F12 = "RB", _xludf.IFS(
AND(H12 &gt;= 0, H12 &lt; 2.55), 1,
AND(H12 &gt;= 2.55, H12 &lt; 4.7), 2,
AND(H12 &gt;= 4.7, H12 &lt; 8.4), 3,
AND(H12 &gt;= 8.4, H12 &lt;= 36), 
4),
F12 = "WR", _xludf.IFS(
AND(H12 &gt;= 0, H12 &lt; 2.55), 1,
AND(H12 &gt;= 2.55, H12 &lt; 4.2), 2,
AND(H12 &gt;= 4.2, H12 &lt; 8.55), 3,
AND(H12 &gt;= 8.55, H12 &lt;= 24.4), 
4),
F12 = "QB", _xludf.IFS(
AND(H12 &gt;= 0, H12 &lt; 2.95), 1,
AND(H12 &gt;= 2.95, H12 &lt; 5.4), 2,
AND(H12 &gt;= 5.4, H12 &lt; 7.2), 3,
AND(H12 &gt;= 7.2, H12 &lt;= 12.3), 
4),
F12 = "TE", _xludf.IFS(
AND(H12 &gt;= 0, H12 &lt; 3), 1,
AND(H12 &gt;= 3, H12 &lt; 4.8), 2,
AND(H12 &gt;= 4.8, H12 &lt; 8.525), 3,
AND(H12 &gt;= 8.525, H12 &lt;= 24.6), 
4)
)</f>
        <v/>
      </c>
    </row>
    <row r="12" ht="15.75" customHeight="1" s="54">
      <c r="C12">
        <f>IF(COUNTIF(Keeper!B:B,D12)&gt;0,"x","")</f>
        <v/>
      </c>
      <c r="D12" s="40">
        <f>Fantasypro!C12</f>
        <v/>
      </c>
      <c r="E12" s="40">
        <f>Fantasypro!D12</f>
        <v/>
      </c>
      <c r="F12">
        <f>Fantasypro!K12</f>
        <v/>
      </c>
      <c r="G12" s="39">
        <f>Fantasypro!H12</f>
        <v/>
      </c>
      <c r="H12" s="39">
        <f>Fantasypro!I12</f>
        <v/>
      </c>
      <c r="I12" s="51">
        <f>_xludf.IFS(
F13 = "RB", _xludf.IFS(
AND(H13 &gt;= 0, H13 &lt; 2.55), 1,
AND(H13 &gt;= 2.55, H13 &lt; 4.7), 2,
AND(H13 &gt;= 4.7, H13 &lt; 8.4), 3,
AND(H13 &gt;= 8.4, H13 &lt;= 36), 
4),
F13 = "WR", _xludf.IFS(
AND(H13 &gt;= 0, H13 &lt; 2.55), 1,
AND(H13 &gt;= 2.55, H13 &lt; 4.2), 2,
AND(H13 &gt;= 4.2, H13 &lt; 8.55), 3,
AND(H13 &gt;= 8.55, H13 &lt;= 24.4), 
4),
F13 = "QB", _xludf.IFS(
AND(H13 &gt;= 0, H13 &lt; 2.95), 1,
AND(H13 &gt;= 2.95, H13 &lt; 5.4), 2,
AND(H13 &gt;= 5.4, H13 &lt; 7.2), 3,
AND(H13 &gt;= 7.2, H13 &lt;= 12.3), 
4),
F13 = "TE", _xludf.IFS(
AND(H13 &gt;= 0, H13 &lt; 3), 1,
AND(H13 &gt;= 3, H13 &lt; 4.8), 2,
AND(H13 &gt;= 4.8, H13 &lt; 8.525), 3,
AND(H13 &gt;= 8.525, H13 &lt;= 24.6), 
4)
)</f>
        <v/>
      </c>
    </row>
    <row r="13" ht="15.75" customHeight="1" s="54">
      <c r="C13">
        <f>IF(COUNTIF(Keeper!B:B,D13)&gt;0,"x","")</f>
        <v/>
      </c>
      <c r="D13" s="40">
        <f>Fantasypro!C13</f>
        <v/>
      </c>
      <c r="E13" s="40">
        <f>Fantasypro!D13</f>
        <v/>
      </c>
      <c r="F13">
        <f>Fantasypro!K13</f>
        <v/>
      </c>
      <c r="G13" s="39">
        <f>Fantasypro!H13</f>
        <v/>
      </c>
      <c r="H13" s="39">
        <f>Fantasypro!I13</f>
        <v/>
      </c>
      <c r="I13" s="51">
        <f>_xludf.IFS(
F14 = "RB", _xludf.IFS(
AND(H14 &gt;= 0, H14 &lt; 2.55), 1,
AND(H14 &gt;= 2.55, H14 &lt; 4.7), 2,
AND(H14 &gt;= 4.7, H14 &lt; 8.4), 3,
AND(H14 &gt;= 8.4, H14 &lt;= 36), 
4),
F14 = "WR", _xludf.IFS(
AND(H14 &gt;= 0, H14 &lt; 2.55), 1,
AND(H14 &gt;= 2.55, H14 &lt; 4.2), 2,
AND(H14 &gt;= 4.2, H14 &lt; 8.55), 3,
AND(H14 &gt;= 8.55, H14 &lt;= 24.4), 
4),
F14 = "QB", _xludf.IFS(
AND(H14 &gt;= 0, H14 &lt; 2.95), 1,
AND(H14 &gt;= 2.95, H14 &lt; 5.4), 2,
AND(H14 &gt;= 5.4, H14 &lt; 7.2), 3,
AND(H14 &gt;= 7.2, H14 &lt;= 12.3), 
4),
F14 = "TE", _xludf.IFS(
AND(H14 &gt;= 0, H14 &lt; 3), 1,
AND(H14 &gt;= 3, H14 &lt; 4.8), 2,
AND(H14 &gt;= 4.8, H14 &lt; 8.525), 3,
AND(H14 &gt;= 8.525, H14 &lt;= 24.6), 
4)
)</f>
        <v/>
      </c>
    </row>
    <row r="14" ht="15.75" customHeight="1" s="54">
      <c r="C14">
        <f>IF(COUNTIF(Keeper!B:B,D14)&gt;0,"x","")</f>
        <v/>
      </c>
      <c r="D14" s="40">
        <f>Fantasypro!C14</f>
        <v/>
      </c>
      <c r="E14" s="40">
        <f>Fantasypro!D14</f>
        <v/>
      </c>
      <c r="F14">
        <f>Fantasypro!K14</f>
        <v/>
      </c>
      <c r="G14" s="39">
        <f>Fantasypro!H14</f>
        <v/>
      </c>
      <c r="H14" s="39">
        <f>Fantasypro!I14</f>
        <v/>
      </c>
      <c r="I14" s="51">
        <f>_xludf.IFS(
F15 = "RB", _xludf.IFS(
AND(H15 &gt;= 0, H15 &lt; 2.55), 1,
AND(H15 &gt;= 2.55, H15 &lt; 4.7), 2,
AND(H15 &gt;= 4.7, H15 &lt; 8.4), 3,
AND(H15 &gt;= 8.4, H15 &lt;= 36), 
4),
F15 = "WR", _xludf.IFS(
AND(H15 &gt;= 0, H15 &lt; 2.55), 1,
AND(H15 &gt;= 2.55, H15 &lt; 4.2), 2,
AND(H15 &gt;= 4.2, H15 &lt; 8.55), 3,
AND(H15 &gt;= 8.55, H15 &lt;= 24.4), 
4),
F15 = "QB", _xludf.IFS(
AND(H15 &gt;= 0, H15 &lt; 2.95), 1,
AND(H15 &gt;= 2.95, H15 &lt; 5.4), 2,
AND(H15 &gt;= 5.4, H15 &lt; 7.2), 3,
AND(H15 &gt;= 7.2, H15 &lt;= 12.3), 
4),
F15 = "TE", _xludf.IFS(
AND(H15 &gt;= 0, H15 &lt; 3), 1,
AND(H15 &gt;= 3, H15 &lt; 4.8), 2,
AND(H15 &gt;= 4.8, H15 &lt; 8.525), 3,
AND(H15 &gt;= 8.525, H15 &lt;= 24.6), 
4)
)</f>
        <v/>
      </c>
    </row>
    <row r="15" ht="15.75" customHeight="1" s="54">
      <c r="C15">
        <f>IF(COUNTIF(Keeper!B:B,D15)&gt;0,"x","")</f>
        <v/>
      </c>
      <c r="D15" s="40">
        <f>Fantasypro!C15</f>
        <v/>
      </c>
      <c r="E15" s="40">
        <f>Fantasypro!D15</f>
        <v/>
      </c>
      <c r="F15">
        <f>Fantasypro!K15</f>
        <v/>
      </c>
      <c r="G15" s="39">
        <f>Fantasypro!H15</f>
        <v/>
      </c>
      <c r="H15" s="39">
        <f>Fantasypro!I15</f>
        <v/>
      </c>
      <c r="I15" s="51">
        <f>_xludf.IFS(
F16 = "RB", _xludf.IFS(
AND(H16 &gt;= 0, H16 &lt; 2.55), 1,
AND(H16 &gt;= 2.55, H16 &lt; 4.7), 2,
AND(H16 &gt;= 4.7, H16 &lt; 8.4), 3,
AND(H16 &gt;= 8.4, H16 &lt;= 36), 
4),
F16 = "WR", _xludf.IFS(
AND(H16 &gt;= 0, H16 &lt; 2.55), 1,
AND(H16 &gt;= 2.55, H16 &lt; 4.2), 2,
AND(H16 &gt;= 4.2, H16 &lt; 8.55), 3,
AND(H16 &gt;= 8.55, H16 &lt;= 24.4), 
4),
F16 = "QB", _xludf.IFS(
AND(H16 &gt;= 0, H16 &lt; 2.95), 1,
AND(H16 &gt;= 2.95, H16 &lt; 5.4), 2,
AND(H16 &gt;= 5.4, H16 &lt; 7.2), 3,
AND(H16 &gt;= 7.2, H16 &lt;= 12.3), 
4),
F16 = "TE", _xludf.IFS(
AND(H16 &gt;= 0, H16 &lt; 3), 1,
AND(H16 &gt;= 3, H16 &lt; 4.8), 2,
AND(H16 &gt;= 4.8, H16 &lt; 8.525), 3,
AND(H16 &gt;= 8.525, H16 &lt;= 24.6), 
4)
)</f>
        <v/>
      </c>
    </row>
    <row r="16" ht="15.75" customHeight="1" s="54">
      <c r="C16">
        <f>IF(COUNTIF(Keeper!B:B,D16)&gt;0,"x","")</f>
        <v/>
      </c>
      <c r="D16" s="40">
        <f>Fantasypro!C16</f>
        <v/>
      </c>
      <c r="E16" s="40">
        <f>Fantasypro!D16</f>
        <v/>
      </c>
      <c r="F16">
        <f>Fantasypro!K16</f>
        <v/>
      </c>
      <c r="G16" s="39">
        <f>Fantasypro!H16</f>
        <v/>
      </c>
      <c r="H16" s="39">
        <f>Fantasypro!I16</f>
        <v/>
      </c>
      <c r="I16" s="51">
        <f>_xludf.IFS(
F17 = "RB", _xludf.IFS(
AND(H17 &gt;= 0, H17 &lt; 2.55), 1,
AND(H17 &gt;= 2.55, H17 &lt; 4.7), 2,
AND(H17 &gt;= 4.7, H17 &lt; 8.4), 3,
AND(H17 &gt;= 8.4, H17 &lt;= 36), 
4),
F17 = "WR", _xludf.IFS(
AND(H17 &gt;= 0, H17 &lt; 2.55), 1,
AND(H17 &gt;= 2.55, H17 &lt; 4.2), 2,
AND(H17 &gt;= 4.2, H17 &lt; 8.55), 3,
AND(H17 &gt;= 8.55, H17 &lt;= 24.4), 
4),
F17 = "QB", _xludf.IFS(
AND(H17 &gt;= 0, H17 &lt; 2.95), 1,
AND(H17 &gt;= 2.95, H17 &lt; 5.4), 2,
AND(H17 &gt;= 5.4, H17 &lt; 7.2), 3,
AND(H17 &gt;= 7.2, H17 &lt;= 12.3), 
4),
F17 = "TE", _xludf.IFS(
AND(H17 &gt;= 0, H17 &lt; 3), 1,
AND(H17 &gt;= 3, H17 &lt; 4.8), 2,
AND(H17 &gt;= 4.8, H17 &lt; 8.525), 3,
AND(H17 &gt;= 8.525, H17 &lt;= 24.6), 
4)
)</f>
        <v/>
      </c>
    </row>
    <row r="17" ht="15.75" customHeight="1" s="54">
      <c r="A17" s="26" t="n"/>
      <c r="C17">
        <f>IF(COUNTIF(Keeper!B:B,D17)&gt;0,"x","")</f>
        <v/>
      </c>
      <c r="D17" s="40">
        <f>Fantasypro!C17</f>
        <v/>
      </c>
      <c r="E17" s="40">
        <f>Fantasypro!D17</f>
        <v/>
      </c>
      <c r="F17">
        <f>Fantasypro!K17</f>
        <v/>
      </c>
      <c r="G17" s="39">
        <f>Fantasypro!H17</f>
        <v/>
      </c>
      <c r="H17" s="39">
        <f>Fantasypro!I17</f>
        <v/>
      </c>
      <c r="I17" s="51">
        <f>_xludf.IFS(
F18 = "RB", _xludf.IFS(
AND(H18 &gt;= 0, H18 &lt; 2.55), 1,
AND(H18 &gt;= 2.55, H18 &lt; 4.7), 2,
AND(H18 &gt;= 4.7, H18 &lt; 8.4), 3,
AND(H18 &gt;= 8.4, H18 &lt;= 36), 
4),
F18 = "WR", _xludf.IFS(
AND(H18 &gt;= 0, H18 &lt; 2.55), 1,
AND(H18 &gt;= 2.55, H18 &lt; 4.2), 2,
AND(H18 &gt;= 4.2, H18 &lt; 8.55), 3,
AND(H18 &gt;= 8.55, H18 &lt;= 24.4), 
4),
F18 = "QB", _xludf.IFS(
AND(H18 &gt;= 0, H18 &lt; 2.95), 1,
AND(H18 &gt;= 2.95, H18 &lt; 5.4), 2,
AND(H18 &gt;= 5.4, H18 &lt; 7.2), 3,
AND(H18 &gt;= 7.2, H18 &lt;= 12.3), 
4),
F18 = "TE", _xludf.IFS(
AND(H18 &gt;= 0, H18 &lt; 3), 1,
AND(H18 &gt;= 3, H18 &lt; 4.8), 2,
AND(H18 &gt;= 4.8, H18 &lt; 8.525), 3,
AND(H18 &gt;= 8.525, H18 &lt;= 24.6), 
4)
)</f>
        <v/>
      </c>
    </row>
    <row r="18" ht="15.75" customHeight="1" s="54">
      <c r="C18">
        <f>IF(COUNTIF(Keeper!B:B,D18)&gt;0,"x","")</f>
        <v/>
      </c>
      <c r="D18" s="40">
        <f>Fantasypro!C18</f>
        <v/>
      </c>
      <c r="E18" s="40">
        <f>Fantasypro!D18</f>
        <v/>
      </c>
      <c r="F18">
        <f>Fantasypro!K18</f>
        <v/>
      </c>
      <c r="G18" s="39">
        <f>Fantasypro!H18</f>
        <v/>
      </c>
      <c r="H18" s="39">
        <f>Fantasypro!I18</f>
        <v/>
      </c>
      <c r="I18" s="51">
        <f>_xludf.IFS(
F19 = "RB", _xludf.IFS(
AND(H19 &gt;= 0, H19 &lt; 2.55), 1,
AND(H19 &gt;= 2.55, H19 &lt; 4.7), 2,
AND(H19 &gt;= 4.7, H19 &lt; 8.4), 3,
AND(H19 &gt;= 8.4, H19 &lt;= 36), 
4),
F19 = "WR", _xludf.IFS(
AND(H19 &gt;= 0, H19 &lt; 2.55), 1,
AND(H19 &gt;= 2.55, H19 &lt; 4.2), 2,
AND(H19 &gt;= 4.2, H19 &lt; 8.55), 3,
AND(H19 &gt;= 8.55, H19 &lt;= 24.4), 
4),
F19 = "QB", _xludf.IFS(
AND(H19 &gt;= 0, H19 &lt; 2.95), 1,
AND(H19 &gt;= 2.95, H19 &lt; 5.4), 2,
AND(H19 &gt;= 5.4, H19 &lt; 7.2), 3,
AND(H19 &gt;= 7.2, H19 &lt;= 12.3), 
4),
F19 = "TE", _xludf.IFS(
AND(H19 &gt;= 0, H19 &lt; 3), 1,
AND(H19 &gt;= 3, H19 &lt; 4.8), 2,
AND(H19 &gt;= 4.8, H19 &lt; 8.525), 3,
AND(H19 &gt;= 8.525, H19 &lt;= 24.6), 
4)
)</f>
        <v/>
      </c>
    </row>
    <row r="19" ht="15.75" customHeight="1" s="54">
      <c r="C19">
        <f>IF(COUNTIF(Keeper!B:B,D19)&gt;0,"x","")</f>
        <v/>
      </c>
      <c r="D19" s="40">
        <f>Fantasypro!C19</f>
        <v/>
      </c>
      <c r="E19" s="40">
        <f>Fantasypro!D19</f>
        <v/>
      </c>
      <c r="F19">
        <f>Fantasypro!K19</f>
        <v/>
      </c>
      <c r="G19" s="39">
        <f>Fantasypro!H19</f>
        <v/>
      </c>
      <c r="H19" s="39">
        <f>Fantasypro!I19</f>
        <v/>
      </c>
      <c r="I19" s="51">
        <f>_xludf.IFS(
F20 = "RB", _xludf.IFS(
AND(H20 &gt;= 0, H20 &lt; 2.55), 1,
AND(H20 &gt;= 2.55, H20 &lt; 4.7), 2,
AND(H20 &gt;= 4.7, H20 &lt; 8.4), 3,
AND(H20 &gt;= 8.4, H20 &lt;= 36), 
4),
F20 = "WR", _xludf.IFS(
AND(H20 &gt;= 0, H20 &lt; 2.55), 1,
AND(H20 &gt;= 2.55, H20 &lt; 4.2), 2,
AND(H20 &gt;= 4.2, H20 &lt; 8.55), 3,
AND(H20 &gt;= 8.55, H20 &lt;= 24.4), 
4),
F20 = "QB", _xludf.IFS(
AND(H20 &gt;= 0, H20 &lt; 2.95), 1,
AND(H20 &gt;= 2.95, H20 &lt; 5.4), 2,
AND(H20 &gt;= 5.4, H20 &lt; 7.2), 3,
AND(H20 &gt;= 7.2, H20 &lt;= 12.3), 
4),
F20 = "TE", _xludf.IFS(
AND(H20 &gt;= 0, H20 &lt; 3), 1,
AND(H20 &gt;= 3, H20 &lt; 4.8), 2,
AND(H20 &gt;= 4.8, H20 &lt; 8.525), 3,
AND(H20 &gt;= 8.525, H20 &lt;= 24.6), 
4)
)</f>
        <v/>
      </c>
    </row>
    <row r="20" ht="15.75" customHeight="1" s="54">
      <c r="C20">
        <f>IF(COUNTIF(Keeper!B:B,D20)&gt;0,"x","")</f>
        <v/>
      </c>
      <c r="D20" s="40">
        <f>Fantasypro!C20</f>
        <v/>
      </c>
      <c r="E20" s="40">
        <f>Fantasypro!D20</f>
        <v/>
      </c>
      <c r="F20">
        <f>Fantasypro!K20</f>
        <v/>
      </c>
      <c r="G20" s="39">
        <f>Fantasypro!H20</f>
        <v/>
      </c>
      <c r="H20" s="39">
        <f>Fantasypro!I20</f>
        <v/>
      </c>
      <c r="I20" s="51">
        <f>_xludf.IFS(
F21 = "RB", _xludf.IFS(
AND(H21 &gt;= 0, H21 &lt; 2.55), 1,
AND(H21 &gt;= 2.55, H21 &lt; 4.7), 2,
AND(H21 &gt;= 4.7, H21 &lt; 8.4), 3,
AND(H21 &gt;= 8.4, H21 &lt;= 36), 
4),
F21 = "WR", _xludf.IFS(
AND(H21 &gt;= 0, H21 &lt; 2.55), 1,
AND(H21 &gt;= 2.55, H21 &lt; 4.2), 2,
AND(H21 &gt;= 4.2, H21 &lt; 8.55), 3,
AND(H21 &gt;= 8.55, H21 &lt;= 24.4), 
4),
F21 = "QB", _xludf.IFS(
AND(H21 &gt;= 0, H21 &lt; 2.95), 1,
AND(H21 &gt;= 2.95, H21 &lt; 5.4), 2,
AND(H21 &gt;= 5.4, H21 &lt; 7.2), 3,
AND(H21 &gt;= 7.2, H21 &lt;= 12.3), 
4),
F21 = "TE", _xludf.IFS(
AND(H21 &gt;= 0, H21 &lt; 3), 1,
AND(H21 &gt;= 3, H21 &lt; 4.8), 2,
AND(H21 &gt;= 4.8, H21 &lt; 8.525), 3,
AND(H21 &gt;= 8.525, H21 &lt;= 24.6), 
4)
)</f>
        <v/>
      </c>
    </row>
    <row r="21" ht="15.75" customHeight="1" s="54">
      <c r="C21">
        <f>IF(COUNTIF(Keeper!B:B,D21)&gt;0,"x","")</f>
        <v/>
      </c>
      <c r="D21" s="40">
        <f>Fantasypro!C21</f>
        <v/>
      </c>
      <c r="E21" s="40">
        <f>Fantasypro!D21</f>
        <v/>
      </c>
      <c r="F21">
        <f>Fantasypro!K21</f>
        <v/>
      </c>
      <c r="G21" s="39">
        <f>Fantasypro!H21</f>
        <v/>
      </c>
      <c r="H21" s="39">
        <f>Fantasypro!I21</f>
        <v/>
      </c>
      <c r="I21" s="51">
        <f>_xludf.IFS(
F22 = "RB", _xludf.IFS(
AND(H22 &gt;= 0, H22 &lt; 2.55), 1,
AND(H22 &gt;= 2.55, H22 &lt; 4.7), 2,
AND(H22 &gt;= 4.7, H22 &lt; 8.4), 3,
AND(H22 &gt;= 8.4, H22 &lt;= 36), 
4),
F22 = "WR", _xludf.IFS(
AND(H22 &gt;= 0, H22 &lt; 2.55), 1,
AND(H22 &gt;= 2.55, H22 &lt; 4.2), 2,
AND(H22 &gt;= 4.2, H22 &lt; 8.55), 3,
AND(H22 &gt;= 8.55, H22 &lt;= 24.4), 
4),
F22 = "QB", _xludf.IFS(
AND(H22 &gt;= 0, H22 &lt; 2.95), 1,
AND(H22 &gt;= 2.95, H22 &lt; 5.4), 2,
AND(H22 &gt;= 5.4, H22 &lt; 7.2), 3,
AND(H22 &gt;= 7.2, H22 &lt;= 12.3), 
4),
F22 = "TE", _xludf.IFS(
AND(H22 &gt;= 0, H22 &lt; 3), 1,
AND(H22 &gt;= 3, H22 &lt; 4.8), 2,
AND(H22 &gt;= 4.8, H22 &lt; 8.525), 3,
AND(H22 &gt;= 8.525, H22 &lt;= 24.6), 
4)
)</f>
        <v/>
      </c>
    </row>
    <row r="22" ht="15.75" customHeight="1" s="54">
      <c r="C22">
        <f>IF(COUNTIF(Keeper!B:B,D22)&gt;0,"x","")</f>
        <v/>
      </c>
      <c r="D22" s="40">
        <f>Fantasypro!C22</f>
        <v/>
      </c>
      <c r="E22" s="40">
        <f>Fantasypro!D22</f>
        <v/>
      </c>
      <c r="F22">
        <f>Fantasypro!K22</f>
        <v/>
      </c>
      <c r="G22" s="39">
        <f>Fantasypro!H22</f>
        <v/>
      </c>
      <c r="H22" s="39">
        <f>Fantasypro!I22</f>
        <v/>
      </c>
      <c r="I22" s="51">
        <f>_xludf.IFS(
F23 = "RB", _xludf.IFS(
AND(H23 &gt;= 0, H23 &lt; 2.55), 1,
AND(H23 &gt;= 2.55, H23 &lt; 4.7), 2,
AND(H23 &gt;= 4.7, H23 &lt; 8.4), 3,
AND(H23 &gt;= 8.4, H23 &lt;= 36), 
4),
F23 = "WR", _xludf.IFS(
AND(H23 &gt;= 0, H23 &lt; 2.55), 1,
AND(H23 &gt;= 2.55, H23 &lt; 4.2), 2,
AND(H23 &gt;= 4.2, H23 &lt; 8.55), 3,
AND(H23 &gt;= 8.55, H23 &lt;= 24.4), 
4),
F23 = "QB", _xludf.IFS(
AND(H23 &gt;= 0, H23 &lt; 2.95), 1,
AND(H23 &gt;= 2.95, H23 &lt; 5.4), 2,
AND(H23 &gt;= 5.4, H23 &lt; 7.2), 3,
AND(H23 &gt;= 7.2, H23 &lt;= 12.3), 
4),
F23 = "TE", _xludf.IFS(
AND(H23 &gt;= 0, H23 &lt; 3), 1,
AND(H23 &gt;= 3, H23 &lt; 4.8), 2,
AND(H23 &gt;= 4.8, H23 &lt; 8.525), 3,
AND(H23 &gt;= 8.525, H23 &lt;= 24.6), 
4)
)</f>
        <v/>
      </c>
    </row>
    <row r="23" ht="15.75" customHeight="1" s="54">
      <c r="C23">
        <f>IF(COUNTIF(Keeper!B:B,D23)&gt;0,"x","")</f>
        <v/>
      </c>
      <c r="D23" s="40">
        <f>Fantasypro!C23</f>
        <v/>
      </c>
      <c r="E23" s="40">
        <f>Fantasypro!D23</f>
        <v/>
      </c>
      <c r="F23">
        <f>Fantasypro!K23</f>
        <v/>
      </c>
      <c r="G23" s="39">
        <f>Fantasypro!H23</f>
        <v/>
      </c>
      <c r="H23" s="39">
        <f>Fantasypro!I23</f>
        <v/>
      </c>
      <c r="I23" s="51">
        <f>_xludf.IFS(
F24 = "RB", _xludf.IFS(
AND(H24 &gt;= 0, H24 &lt; 2.55), 1,
AND(H24 &gt;= 2.55, H24 &lt; 4.7), 2,
AND(H24 &gt;= 4.7, H24 &lt; 8.4), 3,
AND(H24 &gt;= 8.4, H24 &lt;= 36), 
4),
F24 = "WR", _xludf.IFS(
AND(H24 &gt;= 0, H24 &lt; 2.55), 1,
AND(H24 &gt;= 2.55, H24 &lt; 4.2), 2,
AND(H24 &gt;= 4.2, H24 &lt; 8.55), 3,
AND(H24 &gt;= 8.55, H24 &lt;= 24.4), 
4),
F24 = "QB", _xludf.IFS(
AND(H24 &gt;= 0, H24 &lt; 2.95), 1,
AND(H24 &gt;= 2.95, H24 &lt; 5.4), 2,
AND(H24 &gt;= 5.4, H24 &lt; 7.2), 3,
AND(H24 &gt;= 7.2, H24 &lt;= 12.3), 
4),
F24 = "TE", _xludf.IFS(
AND(H24 &gt;= 0, H24 &lt; 3), 1,
AND(H24 &gt;= 3, H24 &lt; 4.8), 2,
AND(H24 &gt;= 4.8, H24 &lt; 8.525), 3,
AND(H24 &gt;= 8.525, H24 &lt;= 24.6), 
4)
)</f>
        <v/>
      </c>
    </row>
    <row r="24" ht="15.75" customHeight="1" s="54">
      <c r="C24">
        <f>IF(COUNTIF(Keeper!B:B,D24)&gt;0,"x","")</f>
        <v/>
      </c>
      <c r="D24" s="40">
        <f>Fantasypro!C24</f>
        <v/>
      </c>
      <c r="E24" s="40">
        <f>Fantasypro!D24</f>
        <v/>
      </c>
      <c r="F24">
        <f>Fantasypro!K24</f>
        <v/>
      </c>
      <c r="G24" s="39">
        <f>Fantasypro!H24</f>
        <v/>
      </c>
      <c r="H24" s="39">
        <f>Fantasypro!I24</f>
        <v/>
      </c>
      <c r="I24" s="51">
        <f>_xludf.IFS(
F25 = "RB", _xludf.IFS(
AND(H25 &gt;= 0, H25 &lt; 2.55), 1,
AND(H25 &gt;= 2.55, H25 &lt; 4.7), 2,
AND(H25 &gt;= 4.7, H25 &lt; 8.4), 3,
AND(H25 &gt;= 8.4, H25 &lt;= 36), 
4),
F25 = "WR", _xludf.IFS(
AND(H25 &gt;= 0, H25 &lt; 2.55), 1,
AND(H25 &gt;= 2.55, H25 &lt; 4.2), 2,
AND(H25 &gt;= 4.2, H25 &lt; 8.55), 3,
AND(H25 &gt;= 8.55, H25 &lt;= 24.4), 
4),
F25 = "QB", _xludf.IFS(
AND(H25 &gt;= 0, H25 &lt; 2.95), 1,
AND(H25 &gt;= 2.95, H25 &lt; 5.4), 2,
AND(H25 &gt;= 5.4, H25 &lt; 7.2), 3,
AND(H25 &gt;= 7.2, H25 &lt;= 12.3), 
4),
F25 = "TE", _xludf.IFS(
AND(H25 &gt;= 0, H25 &lt; 3), 1,
AND(H25 &gt;= 3, H25 &lt; 4.8), 2,
AND(H25 &gt;= 4.8, H25 &lt; 8.525), 3,
AND(H25 &gt;= 8.525, H25 &lt;= 24.6), 
4)
)</f>
        <v/>
      </c>
    </row>
    <row r="25" ht="15.75" customHeight="1" s="54">
      <c r="C25">
        <f>IF(COUNTIF(Keeper!B:B,D25)&gt;0,"x","")</f>
        <v/>
      </c>
      <c r="D25" s="40">
        <f>Fantasypro!C25</f>
        <v/>
      </c>
      <c r="E25" s="40">
        <f>Fantasypro!D25</f>
        <v/>
      </c>
      <c r="F25">
        <f>Fantasypro!K25</f>
        <v/>
      </c>
      <c r="G25" s="39">
        <f>Fantasypro!H25</f>
        <v/>
      </c>
      <c r="H25" s="39">
        <f>Fantasypro!I25</f>
        <v/>
      </c>
      <c r="I25" s="51">
        <f>_xludf.IFS(
F26 = "RB", _xludf.IFS(
AND(H26 &gt;= 0, H26 &lt; 2.55), 1,
AND(H26 &gt;= 2.55, H26 &lt; 4.7), 2,
AND(H26 &gt;= 4.7, H26 &lt; 8.4), 3,
AND(H26 &gt;= 8.4, H26 &lt;= 36), 
4),
F26 = "WR", _xludf.IFS(
AND(H26 &gt;= 0, H26 &lt; 2.55), 1,
AND(H26 &gt;= 2.55, H26 &lt; 4.2), 2,
AND(H26 &gt;= 4.2, H26 &lt; 8.55), 3,
AND(H26 &gt;= 8.55, H26 &lt;= 24.4), 
4),
F26 = "QB", _xludf.IFS(
AND(H26 &gt;= 0, H26 &lt; 2.95), 1,
AND(H26 &gt;= 2.95, H26 &lt; 5.4), 2,
AND(H26 &gt;= 5.4, H26 &lt; 7.2), 3,
AND(H26 &gt;= 7.2, H26 &lt;= 12.3), 
4),
F26 = "TE", _xludf.IFS(
AND(H26 &gt;= 0, H26 &lt; 3), 1,
AND(H26 &gt;= 3, H26 &lt; 4.8), 2,
AND(H26 &gt;= 4.8, H26 &lt; 8.525), 3,
AND(H26 &gt;= 8.525, H26 &lt;= 24.6), 
4)
)</f>
        <v/>
      </c>
    </row>
    <row r="26" ht="15.75" customHeight="1" s="54">
      <c r="A26" s="26" t="n"/>
      <c r="C26" s="26" t="inlineStr">
        <is>
          <t>x</t>
        </is>
      </c>
      <c r="D26" s="40">
        <f>Fantasypro!C26</f>
        <v/>
      </c>
      <c r="E26" s="40">
        <f>Fantasypro!D26</f>
        <v/>
      </c>
      <c r="F26">
        <f>Fantasypro!K26</f>
        <v/>
      </c>
      <c r="G26" s="39">
        <f>Fantasypro!H26</f>
        <v/>
      </c>
      <c r="H26" s="39">
        <f>Fantasypro!I26</f>
        <v/>
      </c>
      <c r="I26" s="51">
        <f>_xludf.IFS(
F27 = "RB", _xludf.IFS(
AND(H27 &gt;= 0, H27 &lt; 2.55), 1,
AND(H27 &gt;= 2.55, H27 &lt; 4.7), 2,
AND(H27 &gt;= 4.7, H27 &lt; 8.4), 3,
AND(H27 &gt;= 8.4, H27 &lt;= 36), 
4),
F27 = "WR", _xludf.IFS(
AND(H27 &gt;= 0, H27 &lt; 2.55), 1,
AND(H27 &gt;= 2.55, H27 &lt; 4.2), 2,
AND(H27 &gt;= 4.2, H27 &lt; 8.55), 3,
AND(H27 &gt;= 8.55, H27 &lt;= 24.4), 
4),
F27 = "QB", _xludf.IFS(
AND(H27 &gt;= 0, H27 &lt; 2.95), 1,
AND(H27 &gt;= 2.95, H27 &lt; 5.4), 2,
AND(H27 &gt;= 5.4, H27 &lt; 7.2), 3,
AND(H27 &gt;= 7.2, H27 &lt;= 12.3), 
4),
F27 = "TE", _xludf.IFS(
AND(H27 &gt;= 0, H27 &lt; 3), 1,
AND(H27 &gt;= 3, H27 &lt; 4.8), 2,
AND(H27 &gt;= 4.8, H27 &lt; 8.525), 3,
AND(H27 &gt;= 8.525, H27 &lt;= 24.6), 
4)
)</f>
        <v/>
      </c>
    </row>
    <row r="27" ht="15.75" customHeight="1" s="54">
      <c r="C27">
        <f>IF(COUNTIF(Keeper!B:B,D27)&gt;0,"x","")</f>
        <v/>
      </c>
      <c r="D27" s="40">
        <f>Fantasypro!C27</f>
        <v/>
      </c>
      <c r="E27" s="40">
        <f>Fantasypro!D27</f>
        <v/>
      </c>
      <c r="F27">
        <f>Fantasypro!K27</f>
        <v/>
      </c>
      <c r="G27" s="39">
        <f>Fantasypro!H27</f>
        <v/>
      </c>
      <c r="H27" s="39">
        <f>Fantasypro!I27</f>
        <v/>
      </c>
      <c r="I27" s="51" t="n">
        <v>2</v>
      </c>
    </row>
    <row r="28" ht="13" customHeight="1" s="54">
      <c r="C28">
        <f>IF(COUNTIF(Keeper!B:B,D28)&gt;0,"x","")</f>
        <v/>
      </c>
      <c r="D28" s="40">
        <f>#REF!</f>
        <v/>
      </c>
      <c r="E28" s="40">
        <f>#REF!</f>
        <v/>
      </c>
      <c r="F28">
        <f>#REF!</f>
        <v/>
      </c>
      <c r="G28" s="39">
        <f>#REF!</f>
        <v/>
      </c>
      <c r="H28" s="39">
        <f>#REF!</f>
        <v/>
      </c>
      <c r="I28" s="51">
        <f>_xludf.IFS(
  F29 = "RB", _xludf.IFS(
    AND(H29 &gt;= 0, H29 &lt; 2.55), 1,
    AND(H29 &gt;= 2.55, H29 &lt; 4.7), 2,
    AND(H29 &gt;= 4.7, H29 &lt; 8.4), 3,
    AND(H29 &gt;= 8.4, H29 &lt;= 36), 4
  ),
  F29 = "WR", _xludf.IFS(
    AND(H29 &gt;= 0, H29 &lt; 2.55), 1,
    AND(H29 &gt;= 2.55, H29 &lt; 4.2), 2,
    AND(H29 &gt;= 4.2, H29 &lt; 8.55), 3,
    AND(H29 &gt;= 8.55, H29 &lt;= 24.4), 4
  ),
  F29 = "QB", _xludf.IFS(
    AND(H29 &gt;= 0, H29 &lt; 2.95), 1,
    AND(H29 &gt;= 2.95, H29 &lt; 5.4), 2,
    AND(H29 &gt;= 5.4, H29 &lt; 7.2), 3,
    AND(H29 &gt;= 7.2, H29 &lt;= 12.3), 4
  ),
  F29 = "TE", _xludf.IFS(
    AND(H29 &gt;= 0, H29 &lt; 3), 1,
    AND(H29 &gt;= 3, H29 &lt; 4.8), 2,
    AND(H29 &gt;= 4.8, H29 &lt; 8.525), 3,
    AND(H29 &gt;= 8.525, H29 &lt;= 24.6), 4
  )
)</f>
        <v/>
      </c>
    </row>
    <row r="29" ht="13" customHeight="1" s="54">
      <c r="C29">
        <f>IF(COUNTIF(Keeper!B:B,D29)&gt;0,"x","")</f>
        <v/>
      </c>
      <c r="D29" s="40">
        <f>#REF!</f>
        <v/>
      </c>
      <c r="E29" s="40">
        <f>#REF!</f>
        <v/>
      </c>
      <c r="F29">
        <f>#REF!</f>
        <v/>
      </c>
      <c r="G29" s="39">
        <f>#REF!</f>
        <v/>
      </c>
      <c r="H29" s="39">
        <f>#REF!</f>
        <v/>
      </c>
      <c r="I29" s="51">
        <f>_xludf.IFS(
F30 = "RB", _xludf.IFS(
AND(H30 &gt;= 0, H30 &lt; 2.55), 1,
AND(H30 &gt;= 2.55, H30 &lt; 4.7), 2,
AND(H30 &gt;= 4.7, H30 &lt; 8.4), 3,
AND(H30 &gt;= 8.4, H30 &lt;= 36), 
4),
F30 = "WR", _xludf.IFS(
AND(H30 &gt;= 0, H30 &lt; 2.55), 1,
AND(H30 &gt;= 2.55, H30 &lt; 4.2), 2,
AND(H30 &gt;= 4.2, H30 &lt; 8.55), 3,
AND(H30 &gt;= 8.55, H30 &lt;= 24.4), 
4),
F30 = "QB", _xludf.IFS(
AND(H30 &gt;= 0, H30 &lt; 2.95), 1,
AND(H30 &gt;= 2.95, H30 &lt; 5.4), 2,
AND(H30 &gt;= 5.4, H30 &lt; 7.2), 3,
AND(H30 &gt;= 7.2, H30 &lt;= 12.3), 
4),
F30 = "TE", _xludf.IFS(
AND(H30 &gt;= 0, H30 &lt; 3), 1,
AND(H30 &gt;= 3, H30 &lt; 4.8), 2,
AND(H30 &gt;= 4.8, H30 &lt; 8.525), 3,
AND(H30 &gt;= 8.525, H30 &lt;= 24.6), 
4)
)</f>
        <v/>
      </c>
    </row>
    <row r="30" ht="13" customHeight="1" s="54">
      <c r="A30" s="26" t="n"/>
      <c r="C30">
        <f>IF(COUNTIF(Keeper!B:B,D30)&gt;0,"x","")</f>
        <v/>
      </c>
      <c r="D30" s="40">
        <f>#REF!</f>
        <v/>
      </c>
      <c r="E30" s="40">
        <f>#REF!</f>
        <v/>
      </c>
      <c r="F30">
        <f>#REF!</f>
        <v/>
      </c>
      <c r="G30" s="39">
        <f>#REF!</f>
        <v/>
      </c>
      <c r="H30" s="39">
        <f>#REF!</f>
        <v/>
      </c>
      <c r="I30" s="51">
        <f>_xludf.IFS(
F31 = "RB", _xludf.IFS(
AND(H31 &gt;= 0, H31 &lt; 2.55), 1,
AND(H31 &gt;= 2.55, H31 &lt; 4.7), 2,
AND(H31 &gt;= 4.7, H31 &lt; 8.4), 3,
AND(H31 &gt;= 8.4, H31 &lt;= 36), 
4),
F31 = "WR", _xludf.IFS(
AND(H31 &gt;= 0, H31 &lt; 2.55), 1,
AND(H31 &gt;= 2.55, H31 &lt; 4.2), 2,
AND(H31 &gt;= 4.2, H31 &lt; 8.55), 3,
AND(H31 &gt;= 8.55, H31 &lt;= 24.4), 
4),
F31 = "QB", _xludf.IFS(
AND(H31 &gt;= 0, H31 &lt; 2.95), 1,
AND(H31 &gt;= 2.95, H31 &lt; 5.4), 2,
AND(H31 &gt;= 5.4, H31 &lt; 7.2), 3,
AND(H31 &gt;= 7.2, H31 &lt;= 12.3), 
4),
F31 = "TE", _xludf.IFS(
AND(H31 &gt;= 0, H31 &lt; 3), 1,
AND(H31 &gt;= 3, H31 &lt; 4.8), 2,
AND(H31 &gt;= 4.8, H31 &lt; 8.525), 3,
AND(H31 &gt;= 8.525, H31 &lt;= 24.6), 
4)
)</f>
        <v/>
      </c>
    </row>
    <row r="31" ht="13" customHeight="1" s="54">
      <c r="C31">
        <f>IF(COUNTIF(Keeper!B:B,D31)&gt;0,"x","")</f>
        <v/>
      </c>
      <c r="D31" s="40">
        <f>Fantasypro!C28</f>
        <v/>
      </c>
      <c r="E31" s="40">
        <f>Fantasypro!D28</f>
        <v/>
      </c>
      <c r="F31">
        <f>Fantasypro!K28</f>
        <v/>
      </c>
      <c r="G31" s="39">
        <f>Fantasypro!H28</f>
        <v/>
      </c>
      <c r="H31" s="39">
        <f>Fantasypro!I28</f>
        <v/>
      </c>
      <c r="I31" s="51">
        <f>_xludf.IFS(
F32 = "RB", _xludf.IFS(
AND(H32 &gt;= 0, H32 &lt; 2.55), 1,
AND(H32 &gt;= 2.55, H32 &lt; 4.7), 2,
AND(H32 &gt;= 4.7, H32 &lt; 8.4), 3,
AND(H32 &gt;= 8.4, H32 &lt;= 36), 
4),
F32 = "WR", _xludf.IFS(
AND(H32 &gt;= 0, H32 &lt; 2.55), 1,
AND(H32 &gt;= 2.55, H32 &lt; 4.2), 2,
AND(H32 &gt;= 4.2, H32 &lt; 8.55), 3,
AND(H32 &gt;= 8.55, H32 &lt;= 24.4), 
4),
F32 = "QB", _xludf.IFS(
AND(H32 &gt;= 0, H32 &lt; 2.95), 1,
AND(H32 &gt;= 2.95, H32 &lt; 5.4), 2,
AND(H32 &gt;= 5.4, H32 &lt; 7.2), 3,
AND(H32 &gt;= 7.2, H32 &lt;= 12.3), 
4),
F32 = "TE", _xludf.IFS(
AND(H32 &gt;= 0, H32 &lt; 3), 1,
AND(H32 &gt;= 3, H32 &lt; 4.8), 2,
AND(H32 &gt;= 4.8, H32 &lt; 8.525), 3,
AND(H32 &gt;= 8.525, H32 &lt;= 24.6), 
4)
)</f>
        <v/>
      </c>
    </row>
    <row r="32" ht="13" customHeight="1" s="54">
      <c r="C32">
        <f>IF(COUNTIF(Keeper!B:B,D32)&gt;0,"x","")</f>
        <v/>
      </c>
      <c r="D32" s="40">
        <f>Fantasypro!C29</f>
        <v/>
      </c>
      <c r="E32" s="40">
        <f>Fantasypro!D29</f>
        <v/>
      </c>
      <c r="F32">
        <f>Fantasypro!K29</f>
        <v/>
      </c>
      <c r="G32" s="39">
        <f>Fantasypro!H29</f>
        <v/>
      </c>
      <c r="H32" s="39">
        <f>Fantasypro!I29</f>
        <v/>
      </c>
      <c r="I32" s="51">
        <f>_xludf.IFS(
F33 = "RB", _xludf.IFS(
AND(H33 &gt;= 0, H33 &lt; 2.55), 1,
AND(H33 &gt;= 2.55, H33 &lt; 4.7), 2,
AND(H33 &gt;= 4.7, H33 &lt; 8.4), 3,
AND(H33 &gt;= 8.4, H33 &lt;= 36), 
4),
F33 = "WR", _xludf.IFS(
AND(H33 &gt;= 0, H33 &lt; 2.55), 1,
AND(H33 &gt;= 2.55, H33 &lt; 4.2), 2,
AND(H33 &gt;= 4.2, H33 &lt; 8.55), 3,
AND(H33 &gt;= 8.55, H33 &lt;= 24.4), 
4),
F33 = "QB", _xludf.IFS(
AND(H33 &gt;= 0, H33 &lt; 2.95), 1,
AND(H33 &gt;= 2.95, H33 &lt; 5.4), 2,
AND(H33 &gt;= 5.4, H33 &lt; 7.2), 3,
AND(H33 &gt;= 7.2, H33 &lt;= 12.3), 
4),
F33 = "TE", _xludf.IFS(
AND(H33 &gt;= 0, H33 &lt; 3), 1,
AND(H33 &gt;= 3, H33 &lt; 4.8), 2,
AND(H33 &gt;= 4.8, H33 &lt; 8.525), 3,
AND(H33 &gt;= 8.525, H33 &lt;= 24.6), 
4)
)</f>
        <v/>
      </c>
    </row>
    <row r="33" ht="13" customHeight="1" s="54">
      <c r="C33">
        <f>IF(COUNTIF(Keeper!B:B,D33)&gt;0,"x","")</f>
        <v/>
      </c>
      <c r="D33" s="40">
        <f>Fantasypro!C30</f>
        <v/>
      </c>
      <c r="E33" s="40">
        <f>Fantasypro!D30</f>
        <v/>
      </c>
      <c r="F33">
        <f>Fantasypro!K30</f>
        <v/>
      </c>
      <c r="G33" s="39">
        <f>Fantasypro!H30</f>
        <v/>
      </c>
      <c r="H33" s="39">
        <f>Fantasypro!I30</f>
        <v/>
      </c>
      <c r="I33" s="51">
        <f>_xludf.IFS(
F34 = "RB", _xludf.IFS(
AND(H34 &gt;= 0, H34 &lt; 2.55), 1,
AND(H34 &gt;= 2.55, H34 &lt; 4.7), 2,
AND(H34 &gt;= 4.7, H34 &lt; 8.4), 3,
AND(H34 &gt;= 8.4, H34 &lt;= 36), 
4),
F34 = "WR", _xludf.IFS(
AND(H34 &gt;= 0, H34 &lt; 2.55), 1,
AND(H34 &gt;= 2.55, H34 &lt; 4.2), 2,
AND(H34 &gt;= 4.2, H34 &lt; 8.55), 3,
AND(H34 &gt;= 8.55, H34 &lt;= 24.4), 
4),
F34 = "QB", _xludf.IFS(
AND(H34 &gt;= 0, H34 &lt; 2.95), 1,
AND(H34 &gt;= 2.95, H34 &lt; 5.4), 2,
AND(H34 &gt;= 5.4, H34 &lt; 7.2), 3,
AND(H34 &gt;= 7.2, H34 &lt;= 12.3), 
4),
F34 = "TE", _xludf.IFS(
AND(H34 &gt;= 0, H34 &lt; 3), 1,
AND(H34 &gt;= 3, H34 &lt; 4.8), 2,
AND(H34 &gt;= 4.8, H34 &lt; 8.525), 3,
AND(H34 &gt;= 8.525, H34 &lt;= 24.6), 
4)
)</f>
        <v/>
      </c>
    </row>
    <row r="34" ht="13" customHeight="1" s="54">
      <c r="C34">
        <f>IF(COUNTIF(Keeper!B:B,D34)&gt;0,"x","")</f>
        <v/>
      </c>
      <c r="D34" s="40">
        <f>Fantasypro!C31</f>
        <v/>
      </c>
      <c r="E34" s="40">
        <f>Fantasypro!D31</f>
        <v/>
      </c>
      <c r="F34">
        <f>Fantasypro!K31</f>
        <v/>
      </c>
      <c r="G34" s="39">
        <f>Fantasypro!H31</f>
        <v/>
      </c>
      <c r="H34" s="39">
        <f>Fantasypro!I31</f>
        <v/>
      </c>
      <c r="I34" s="51">
        <f>_xludf.IFS(
F35 = "RB", _xludf.IFS(
AND(H35 &gt;= 0, H35 &lt; 2.55), 1,
AND(H35 &gt;= 2.55, H35 &lt; 4.7), 2,
AND(H35 &gt;= 4.7, H35 &lt; 8.4), 3,
AND(H35 &gt;= 8.4, H35 &lt;= 36), 
4),
F35 = "WR", _xludf.IFS(
AND(H35 &gt;= 0, H35 &lt; 2.55), 1,
AND(H35 &gt;= 2.55, H35 &lt; 4.2), 2,
AND(H35 &gt;= 4.2, H35 &lt; 8.55), 3,
AND(H35 &gt;= 8.55, H35 &lt;= 24.4), 
4),
F35 = "QB", _xludf.IFS(
AND(H35 &gt;= 0, H35 &lt; 2.95), 1,
AND(H35 &gt;= 2.95, H35 &lt; 5.4), 2,
AND(H35 &gt;= 5.4, H35 &lt; 7.2), 3,
AND(H35 &gt;= 7.2, H35 &lt;= 12.3), 
4),
F35 = "TE", _xludf.IFS(
AND(H35 &gt;= 0, H35 &lt; 3), 1,
AND(H35 &gt;= 3, H35 &lt; 4.8), 2,
AND(H35 &gt;= 4.8, H35 &lt; 8.525), 3,
AND(H35 &gt;= 8.525, H35 &lt;= 24.6), 
4)
)</f>
        <v/>
      </c>
    </row>
    <row r="35" ht="13" customHeight="1" s="54">
      <c r="C35">
        <f>IF(COUNTIF(Keeper!B:B,D35)&gt;0,"x","")</f>
        <v/>
      </c>
      <c r="D35" s="40">
        <f>Fantasypro!C32</f>
        <v/>
      </c>
      <c r="E35" s="40">
        <f>Fantasypro!D32</f>
        <v/>
      </c>
      <c r="F35">
        <f>Fantasypro!K32</f>
        <v/>
      </c>
      <c r="G35" s="39">
        <f>Fantasypro!H32</f>
        <v/>
      </c>
      <c r="H35" s="39">
        <f>Fantasypro!I32</f>
        <v/>
      </c>
      <c r="I35" s="51">
        <f>_xludf.IFS(
F36 = "RB", _xludf.IFS(
AND(H36 &gt;= 0, H36 &lt; 2.55), 1,
AND(H36 &gt;= 2.55, H36 &lt; 4.7), 2,
AND(H36 &gt;= 4.7, H36 &lt; 8.4), 3,
AND(H36 &gt;= 8.4, H36 &lt;= 36), 
4),
F36 = "WR", _xludf.IFS(
AND(H36 &gt;= 0, H36 &lt; 2.55), 1,
AND(H36 &gt;= 2.55, H36 &lt; 4.2), 2,
AND(H36 &gt;= 4.2, H36 &lt; 8.55), 3,
AND(H36 &gt;= 8.55, H36 &lt;= 24.4), 
4),
F36 = "QB", _xludf.IFS(
AND(H36 &gt;= 0, H36 &lt; 2.95), 1,
AND(H36 &gt;= 2.95, H36 &lt; 5.4), 2,
AND(H36 &gt;= 5.4, H36 &lt; 7.2), 3,
AND(H36 &gt;= 7.2, H36 &lt;= 12.3), 
4),
F36 = "TE", _xludf.IFS(
AND(H36 &gt;= 0, H36 &lt; 3), 1,
AND(H36 &gt;= 3, H36 &lt; 4.8), 2,
AND(H36 &gt;= 4.8, H36 &lt; 8.525), 3,
AND(H36 &gt;= 8.525, H36 &lt;= 24.6), 
4)
)</f>
        <v/>
      </c>
    </row>
    <row r="36" ht="13" customHeight="1" s="54">
      <c r="D36" s="40">
        <f>Fantasypro!C33</f>
        <v/>
      </c>
      <c r="E36" s="40">
        <f>Fantasypro!D33</f>
        <v/>
      </c>
      <c r="F36">
        <f>Fantasypro!K33</f>
        <v/>
      </c>
      <c r="G36" s="39">
        <f>Fantasypro!H33</f>
        <v/>
      </c>
      <c r="H36" s="39">
        <f>Fantasypro!I33</f>
        <v/>
      </c>
      <c r="I36" s="51">
        <f>_xludf.IFS(
F37 = "RB", _xludf.IFS(
AND(H37 &gt;= 0, H37 &lt; 2.55), 1,
AND(H37 &gt;= 2.55, H37 &lt; 4.7), 2,
AND(H37 &gt;= 4.7, H37 &lt; 8.4), 3,
AND(H37 &gt;= 8.4, H37 &lt;= 36), 
4),
F37 = "WR", _xludf.IFS(
AND(H37 &gt;= 0, H37 &lt; 2.55), 1,
AND(H37 &gt;= 2.55, H37 &lt; 4.2), 2,
AND(H37 &gt;= 4.2, H37 &lt; 8.55), 3,
AND(H37 &gt;= 8.55, H37 &lt;= 24.4), 
4),
F37 = "QB", _xludf.IFS(
AND(H37 &gt;= 0, H37 &lt; 2.95), 1,
AND(H37 &gt;= 2.95, H37 &lt; 5.4), 2,
AND(H37 &gt;= 5.4, H37 &lt; 7.2), 3,
AND(H37 &gt;= 7.2, H37 &lt;= 12.3), 
4),
F37 = "TE", _xludf.IFS(
AND(H37 &gt;= 0, H37 &lt; 3), 1,
AND(H37 &gt;= 3, H37 &lt; 4.8), 2,
AND(H37 &gt;= 4.8, H37 &lt; 8.525), 3,
AND(H37 &gt;= 8.525, H37 &lt;= 24.6), 
4)
)</f>
        <v/>
      </c>
    </row>
    <row r="37" ht="13" customHeight="1" s="54">
      <c r="C37">
        <f>IF(COUNTIF(Keeper!B:B,D37)&gt;0,"x","")</f>
        <v/>
      </c>
      <c r="D37" s="40">
        <f>Fantasypro!C34</f>
        <v/>
      </c>
      <c r="E37" s="40">
        <f>Fantasypro!D34</f>
        <v/>
      </c>
      <c r="F37">
        <f>Fantasypro!K34</f>
        <v/>
      </c>
      <c r="G37" s="39">
        <f>Fantasypro!H34</f>
        <v/>
      </c>
      <c r="H37" s="39">
        <f>Fantasypro!I34</f>
        <v/>
      </c>
      <c r="I37" s="51">
        <f>_xludf.IFS(
F38 = "RB", _xludf.IFS(
AND(H38 &gt;= 0, H38 &lt; 2.55), 1,
AND(H38 &gt;= 2.55, H38 &lt; 4.7), 2,
AND(H38 &gt;= 4.7, H38 &lt; 8.4), 3,
AND(H38 &gt;= 8.4, H38 &lt;= 36), 
4),
F38 = "WR", _xludf.IFS(
AND(H38 &gt;= 0, H38 &lt; 2.55), 1,
AND(H38 &gt;= 2.55, H38 &lt; 4.2), 2,
AND(H38 &gt;= 4.2, H38 &lt; 8.55), 3,
AND(H38 &gt;= 8.55, H38 &lt;= 24.4), 
4),
F38 = "QB", _xludf.IFS(
AND(H38 &gt;= 0, H38 &lt; 2.95), 1,
AND(H38 &gt;= 2.95, H38 &lt; 5.4), 2,
AND(H38 &gt;= 5.4, H38 &lt; 7.2), 3,
AND(H38 &gt;= 7.2, H38 &lt;= 12.3), 
4),
F38 = "TE", _xludf.IFS(
AND(H38 &gt;= 0, H38 &lt; 3), 1,
AND(H38 &gt;= 3, H38 &lt; 4.8), 2,
AND(H38 &gt;= 4.8, H38 &lt; 8.525), 3,
AND(H38 &gt;= 8.525, H38 &lt;= 24.6), 
4)
)</f>
        <v/>
      </c>
    </row>
    <row r="38" ht="13" customHeight="1" s="54">
      <c r="C38">
        <f>IF(COUNTIF(Keeper!B:B,D38)&gt;0,"x","")</f>
        <v/>
      </c>
      <c r="D38" s="40">
        <f>Fantasypro!C35</f>
        <v/>
      </c>
      <c r="E38" s="40">
        <f>Fantasypro!D35</f>
        <v/>
      </c>
      <c r="F38">
        <f>Fantasypro!K35</f>
        <v/>
      </c>
      <c r="G38" s="39">
        <f>Fantasypro!H35</f>
        <v/>
      </c>
      <c r="H38" s="39">
        <f>Fantasypro!I35</f>
        <v/>
      </c>
      <c r="I38" s="51">
        <f>_xludf.IFS(
F39 = "RB", _xludf.IFS(
AND(H39 &gt;= 0, H39 &lt; 2.55), 1,
AND(H39 &gt;= 2.55, H39 &lt; 4.7), 2,
AND(H39 &gt;= 4.7, H39 &lt; 8.4), 3,
AND(H39 &gt;= 8.4, H39 &lt;= 36), 
4),
F39 = "WR", _xludf.IFS(
AND(H39 &gt;= 0, H39 &lt; 2.55), 1,
AND(H39 &gt;= 2.55, H39 &lt; 4.2), 2,
AND(H39 &gt;= 4.2, H39 &lt; 8.55), 3,
AND(H39 &gt;= 8.55, H39 &lt;= 24.4), 
4),
F39 = "QB", _xludf.IFS(
AND(H39 &gt;= 0, H39 &lt; 2.95), 1,
AND(H39 &gt;= 2.95, H39 &lt; 5.4), 2,
AND(H39 &gt;= 5.4, H39 &lt; 7.2), 3,
AND(H39 &gt;= 7.2, H39 &lt;= 12.3), 
4),
F39 = "TE", _xludf.IFS(
AND(H39 &gt;= 0, H39 &lt; 3), 1,
AND(H39 &gt;= 3, H39 &lt; 4.8), 2,
AND(H39 &gt;= 4.8, H39 &lt; 8.525), 3,
AND(H39 &gt;= 8.525, H39 &lt;= 24.6), 
4)
)</f>
        <v/>
      </c>
    </row>
    <row r="39" ht="13" customHeight="1" s="54">
      <c r="C39">
        <f>IF(COUNTIF(Keeper!B:B,D39)&gt;0,"x","")</f>
        <v/>
      </c>
      <c r="D39" s="40">
        <f>Fantasypro!C36</f>
        <v/>
      </c>
      <c r="E39" s="40">
        <f>Fantasypro!D36</f>
        <v/>
      </c>
      <c r="F39">
        <f>Fantasypro!K36</f>
        <v/>
      </c>
      <c r="G39" s="39">
        <f>Fantasypro!H36</f>
        <v/>
      </c>
      <c r="H39" s="39">
        <f>Fantasypro!I36</f>
        <v/>
      </c>
      <c r="I39" s="51">
        <f>_xludf.IFS(
F40 = "RB", _xludf.IFS(
AND(H40 &gt;= 0, H40 &lt; 2.55), 1,
AND(H40 &gt;= 2.55, H40 &lt; 4.7), 2,
AND(H40 &gt;= 4.7, H40 &lt; 8.4), 3,
AND(H40 &gt;= 8.4, H40 &lt;= 36), 
4),
F40 = "WR", _xludf.IFS(
AND(H40 &gt;= 0, H40 &lt; 2.55), 1,
AND(H40 &gt;= 2.55, H40 &lt; 4.2), 2,
AND(H40 &gt;= 4.2, H40 &lt; 8.55), 3,
AND(H40 &gt;= 8.55, H40 &lt;= 24.4), 
4),
F40 = "QB", _xludf.IFS(
AND(H40 &gt;= 0, H40 &lt; 2.95), 1,
AND(H40 &gt;= 2.95, H40 &lt; 5.4), 2,
AND(H40 &gt;= 5.4, H40 &lt; 7.2), 3,
AND(H40 &gt;= 7.2, H40 &lt;= 12.3), 
4),
F40 = "TE", _xludf.IFS(
AND(H40 &gt;= 0, H40 &lt; 3), 1,
AND(H40 &gt;= 3, H40 &lt; 4.8), 2,
AND(H40 &gt;= 4.8, H40 &lt; 8.525), 3,
AND(H40 &gt;= 8.525, H40 &lt;= 24.6), 
4)
)</f>
        <v/>
      </c>
    </row>
    <row r="40" ht="13" customHeight="1" s="54">
      <c r="C40">
        <f>IF(COUNTIF(Keeper!B:B,D40)&gt;0,"x","")</f>
        <v/>
      </c>
      <c r="D40" s="40">
        <f>Fantasypro!C37</f>
        <v/>
      </c>
      <c r="E40" s="40">
        <f>Fantasypro!D37</f>
        <v/>
      </c>
      <c r="F40">
        <f>Fantasypro!K37</f>
        <v/>
      </c>
      <c r="G40" s="39">
        <f>Fantasypro!H37</f>
        <v/>
      </c>
      <c r="H40" s="39">
        <f>Fantasypro!I37</f>
        <v/>
      </c>
      <c r="I40" s="51">
        <f>_xludf.IFS(
F41 = "RB", _xludf.IFS(
AND(H41 &gt;= 0, H41 &lt; 2.55), 1,
AND(H41 &gt;= 2.55, H41 &lt; 4.7), 2,
AND(H41 &gt;= 4.7, H41 &lt; 8.4), 3,
AND(H41 &gt;= 8.4, H41 &lt;= 36), 
4),
F41 = "WR", _xludf.IFS(
AND(H41 &gt;= 0, H41 &lt; 2.55), 1,
AND(H41 &gt;= 2.55, H41 &lt; 4.2), 2,
AND(H41 &gt;= 4.2, H41 &lt; 8.55), 3,
AND(H41 &gt;= 8.55, H41 &lt;= 24.4), 
4),
F41 = "QB", _xludf.IFS(
AND(H41 &gt;= 0, H41 &lt; 2.95), 1,
AND(H41 &gt;= 2.95, H41 &lt; 5.4), 2,
AND(H41 &gt;= 5.4, H41 &lt; 7.2), 3,
AND(H41 &gt;= 7.2, H41 &lt;= 12.3), 
4),
F41 = "TE", _xludf.IFS(
AND(H41 &gt;= 0, H41 &lt; 3), 1,
AND(H41 &gt;= 3, H41 &lt; 4.8), 2,
AND(H41 &gt;= 4.8, H41 &lt; 8.525), 3,
AND(H41 &gt;= 8.525, H41 &lt;= 24.6), 
4)
)</f>
        <v/>
      </c>
    </row>
    <row r="41" ht="13" customHeight="1" s="54">
      <c r="D41" s="40">
        <f>Fantasypro!C38</f>
        <v/>
      </c>
      <c r="E41" s="40">
        <f>Fantasypro!D38</f>
        <v/>
      </c>
      <c r="F41">
        <f>Fantasypro!K38</f>
        <v/>
      </c>
      <c r="G41" s="39">
        <f>Fantasypro!H38</f>
        <v/>
      </c>
      <c r="H41" s="39">
        <f>Fantasypro!I38</f>
        <v/>
      </c>
      <c r="I41" s="51">
        <f>_xludf.IFS(
F42 = "RB", _xludf.IFS(
AND(H42 &gt;= 0, H42 &lt; 2.55), 1,
AND(H42 &gt;= 2.55, H42 &lt; 4.7), 2,
AND(H42 &gt;= 4.7, H42 &lt; 8.4), 3,
AND(H42 &gt;= 8.4, H42 &lt;= 36), 
4),
F42 = "WR", _xludf.IFS(
AND(H42 &gt;= 0, H42 &lt; 2.55), 1,
AND(H42 &gt;= 2.55, H42 &lt; 4.2), 2,
AND(H42 &gt;= 4.2, H42 &lt; 8.55), 3,
AND(H42 &gt;= 8.55, H42 &lt;= 24.4), 
4),
F42 = "QB", _xludf.IFS(
AND(H42 &gt;= 0, H42 &lt; 2.95), 1,
AND(H42 &gt;= 2.95, H42 &lt; 5.4), 2,
AND(H42 &gt;= 5.4, H42 &lt; 7.2), 3,
AND(H42 &gt;= 7.2, H42 &lt;= 12.3), 
4),
F42 = "TE", _xludf.IFS(
AND(H42 &gt;= 0, H42 &lt; 3), 1,
AND(H42 &gt;= 3, H42 &lt; 4.8), 2,
AND(H42 &gt;= 4.8, H42 &lt; 8.525), 3,
AND(H42 &gt;= 8.525, H42 &lt;= 24.6), 
4)
)</f>
        <v/>
      </c>
    </row>
    <row r="42" ht="13" customHeight="1" s="54">
      <c r="C42">
        <f>IF(COUNTIF(Keeper!B:B,D42)&gt;0,"x","")</f>
        <v/>
      </c>
      <c r="D42" s="40">
        <f>Fantasypro!C39</f>
        <v/>
      </c>
      <c r="E42" s="40">
        <f>Fantasypro!D39</f>
        <v/>
      </c>
      <c r="F42">
        <f>Fantasypro!K39</f>
        <v/>
      </c>
      <c r="G42" s="39">
        <f>Fantasypro!H39</f>
        <v/>
      </c>
      <c r="H42" s="39">
        <f>Fantasypro!I39</f>
        <v/>
      </c>
      <c r="I42" s="51">
        <f>_xludf.IFS(
F43 = "RB", _xludf.IFS(
AND(H43 &gt;= 0, H43 &lt; 2.55), 1,
AND(H43 &gt;= 2.55, H43 &lt; 4.7), 2,
AND(H43 &gt;= 4.7, H43 &lt; 8.4), 3,
AND(H43 &gt;= 8.4, H43 &lt;= 36), 
4),
F43 = "WR", _xludf.IFS(
AND(H43 &gt;= 0, H43 &lt; 2.55), 1,
AND(H43 &gt;= 2.55, H43 &lt; 4.2), 2,
AND(H43 &gt;= 4.2, H43 &lt; 8.55), 3,
AND(H43 &gt;= 8.55, H43 &lt;= 24.4), 
4),
F43 = "QB", _xludf.IFS(
AND(H43 &gt;= 0, H43 &lt; 2.95), 1,
AND(H43 &gt;= 2.95, H43 &lt; 5.4), 2,
AND(H43 &gt;= 5.4, H43 &lt; 7.2), 3,
AND(H43 &gt;= 7.2, H43 &lt;= 12.3), 
4),
F43 = "TE", _xludf.IFS(
AND(H43 &gt;= 0, H43 &lt; 3), 1,
AND(H43 &gt;= 3, H43 &lt; 4.8), 2,
AND(H43 &gt;= 4.8, H43 &lt; 8.525), 3,
AND(H43 &gt;= 8.525, H43 &lt;= 24.6), 
4)
)</f>
        <v/>
      </c>
    </row>
    <row r="43" ht="13" customHeight="1" s="54">
      <c r="C43">
        <f>IF(COUNTIF(Keeper!B:B,D43)&gt;0,"x","")</f>
        <v/>
      </c>
      <c r="D43" s="40">
        <f>Fantasypro!C40</f>
        <v/>
      </c>
      <c r="E43" s="40">
        <f>Fantasypro!D40</f>
        <v/>
      </c>
      <c r="F43">
        <f>Fantasypro!K40</f>
        <v/>
      </c>
      <c r="G43" s="39">
        <f>Fantasypro!H40</f>
        <v/>
      </c>
      <c r="H43" s="39">
        <f>Fantasypro!I40</f>
        <v/>
      </c>
      <c r="I43" s="51">
        <f>_xludf.IFS(
F44 = "RB", _xludf.IFS(
AND(H44 &gt;= 0, H44 &lt; 2.55), 1,
AND(H44 &gt;= 2.55, H44 &lt; 4.7), 2,
AND(H44 &gt;= 4.7, H44 &lt; 8.4), 3,
AND(H44 &gt;= 8.4, H44 &lt;= 36), 
4),
F44 = "WR", _xludf.IFS(
AND(H44 &gt;= 0, H44 &lt; 2.55), 1,
AND(H44 &gt;= 2.55, H44 &lt; 4.2), 2,
AND(H44 &gt;= 4.2, H44 &lt; 8.55), 3,
AND(H44 &gt;= 8.55, H44 &lt;= 24.4), 
4),
F44 = "QB", _xludf.IFS(
AND(H44 &gt;= 0, H44 &lt; 2.95), 1,
AND(H44 &gt;= 2.95, H44 &lt; 5.4), 2,
AND(H44 &gt;= 5.4, H44 &lt; 7.2), 3,
AND(H44 &gt;= 7.2, H44 &lt;= 12.3), 
4),
F44 = "TE", _xludf.IFS(
AND(H44 &gt;= 0, H44 &lt; 3), 1,
AND(H44 &gt;= 3, H44 &lt; 4.8), 2,
AND(H44 &gt;= 4.8, H44 &lt; 8.525), 3,
AND(H44 &gt;= 8.525, H44 &lt;= 24.6), 
4)
)</f>
        <v/>
      </c>
    </row>
    <row r="44" ht="13" customHeight="1" s="54">
      <c r="C44">
        <f>IF(COUNTIF(Keeper!B:B,D44)&gt;0,"x","")</f>
        <v/>
      </c>
      <c r="D44" s="40">
        <f>Fantasypro!C41</f>
        <v/>
      </c>
      <c r="E44" s="40">
        <f>Fantasypro!D41</f>
        <v/>
      </c>
      <c r="F44">
        <f>Fantasypro!K41</f>
        <v/>
      </c>
      <c r="G44" s="39">
        <f>Fantasypro!H41</f>
        <v/>
      </c>
      <c r="H44" s="39">
        <f>Fantasypro!I41</f>
        <v/>
      </c>
      <c r="I44" s="51">
        <f>_xludf.IFS(
F45 = "RB", _xludf.IFS(
AND(H45 &gt;= 0, H45 &lt; 2.55), 1,
AND(H45 &gt;= 2.55, H45 &lt; 4.7), 2,
AND(H45 &gt;= 4.7, H45 &lt; 8.4), 3,
AND(H45 &gt;= 8.4, H45 &lt;= 36), 
4),
F45 = "WR", _xludf.IFS(
AND(H45 &gt;= 0, H45 &lt; 2.55), 1,
AND(H45 &gt;= 2.55, H45 &lt; 4.2), 2,
AND(H45 &gt;= 4.2, H45 &lt; 8.55), 3,
AND(H45 &gt;= 8.55, H45 &lt;= 24.4), 
4),
F45 = "QB", _xludf.IFS(
AND(H45 &gt;= 0, H45 &lt; 2.95), 1,
AND(H45 &gt;= 2.95, H45 &lt; 5.4), 2,
AND(H45 &gt;= 5.4, H45 &lt; 7.2), 3,
AND(H45 &gt;= 7.2, H45 &lt;= 12.3), 
4),
F45 = "TE", _xludf.IFS(
AND(H45 &gt;= 0, H45 &lt; 3), 1,
AND(H45 &gt;= 3, H45 &lt; 4.8), 2,
AND(H45 &gt;= 4.8, H45 &lt; 8.525), 3,
AND(H45 &gt;= 8.525, H45 &lt;= 24.6), 
4)
)</f>
        <v/>
      </c>
    </row>
    <row r="45" ht="13" customHeight="1" s="54">
      <c r="C45">
        <f>IF(COUNTIF(Keeper!B:B,D45)&gt;0,"x","")</f>
        <v/>
      </c>
      <c r="D45" s="40">
        <f>Fantasypro!C42</f>
        <v/>
      </c>
      <c r="E45" s="40">
        <f>Fantasypro!D42</f>
        <v/>
      </c>
      <c r="F45">
        <f>Fantasypro!K42</f>
        <v/>
      </c>
      <c r="G45" s="39">
        <f>Fantasypro!H42</f>
        <v/>
      </c>
      <c r="H45" s="39">
        <f>Fantasypro!I42</f>
        <v/>
      </c>
      <c r="I45" s="51">
        <f>_xludf.IFS(
F46 = "RB", _xludf.IFS(
AND(H46 &gt;= 0, H46 &lt; 2.55), 1,
AND(H46 &gt;= 2.55, H46 &lt; 4.7), 2,
AND(H46 &gt;= 4.7, H46 &lt; 8.4), 3,
AND(H46 &gt;= 8.4, H46 &lt;= 36), 
4),
F46 = "WR", _xludf.IFS(
AND(H46 &gt;= 0, H46 &lt; 2.55), 1,
AND(H46 &gt;= 2.55, H46 &lt; 4.2), 2,
AND(H46 &gt;= 4.2, H46 &lt; 8.55), 3,
AND(H46 &gt;= 8.55, H46 &lt;= 24.4), 
4),
F46 = "QB", _xludf.IFS(
AND(H46 &gt;= 0, H46 &lt; 2.95), 1,
AND(H46 &gt;= 2.95, H46 &lt; 5.4), 2,
AND(H46 &gt;= 5.4, H46 &lt; 7.2), 3,
AND(H46 &gt;= 7.2, H46 &lt;= 12.3), 
4),
F46 = "TE", _xludf.IFS(
AND(H46 &gt;= 0, H46 &lt; 3), 1,
AND(H46 &gt;= 3, H46 &lt; 4.8), 2,
AND(H46 &gt;= 4.8, H46 &lt; 8.525), 3,
AND(H46 &gt;= 8.525, H46 &lt;= 24.6), 
4)
)</f>
        <v/>
      </c>
    </row>
    <row r="46" ht="13" customHeight="1" s="54">
      <c r="C46">
        <f>IF(COUNTIF(Keeper!B:B,D46)&gt;0,"x","")</f>
        <v/>
      </c>
      <c r="D46" s="40">
        <f>Fantasypro!C43</f>
        <v/>
      </c>
      <c r="E46" s="40">
        <f>Fantasypro!D43</f>
        <v/>
      </c>
      <c r="F46">
        <f>Fantasypro!K43</f>
        <v/>
      </c>
      <c r="G46" s="39">
        <f>Fantasypro!H43</f>
        <v/>
      </c>
      <c r="H46" s="39">
        <f>Fantasypro!I43</f>
        <v/>
      </c>
      <c r="I46" s="51">
        <f>_xludf.IFS(
F47 = "RB", _xludf.IFS(
AND(H47 &gt;= 0, H47 &lt; 2.55), 1,
AND(H47 &gt;= 2.55, H47 &lt; 4.7), 2,
AND(H47 &gt;= 4.7, H47 &lt; 8.4), 3,
AND(H47 &gt;= 8.4, H47 &lt;= 36), 
4),
F47 = "WR", _xludf.IFS(
AND(H47 &gt;= 0, H47 &lt; 2.55), 1,
AND(H47 &gt;= 2.55, H47 &lt; 4.2), 2,
AND(H47 &gt;= 4.2, H47 &lt; 8.55), 3,
AND(H47 &gt;= 8.55, H47 &lt;= 24.4), 
4),
F47 = "QB", _xludf.IFS(
AND(H47 &gt;= 0, H47 &lt; 2.95), 1,
AND(H47 &gt;= 2.95, H47 &lt; 5.4), 2,
AND(H47 &gt;= 5.4, H47 &lt; 7.2), 3,
AND(H47 &gt;= 7.2, H47 &lt;= 12.3), 
4),
F47 = "TE", _xludf.IFS(
AND(H47 &gt;= 0, H47 &lt; 3), 1,
AND(H47 &gt;= 3, H47 &lt; 4.8), 2,
AND(H47 &gt;= 4.8, H47 &lt; 8.525), 3,
AND(H47 &gt;= 8.525, H47 &lt;= 24.6), 
4)
)</f>
        <v/>
      </c>
    </row>
    <row r="47" ht="13" customHeight="1" s="54">
      <c r="C47">
        <f>IF(COUNTIF(Keeper!B:B,D47)&gt;0,"x","")</f>
        <v/>
      </c>
      <c r="D47" s="40">
        <f>Fantasypro!C44</f>
        <v/>
      </c>
      <c r="E47" s="40">
        <f>Fantasypro!D44</f>
        <v/>
      </c>
      <c r="F47">
        <f>Fantasypro!K44</f>
        <v/>
      </c>
      <c r="G47" s="39">
        <f>Fantasypro!H44</f>
        <v/>
      </c>
      <c r="H47" s="39">
        <f>Fantasypro!I44</f>
        <v/>
      </c>
      <c r="I47" s="51">
        <f>_xludf.IFS(
F48 = "RB", _xludf.IFS(
AND(H48 &gt;= 0, H48 &lt; 2.55), 1,
AND(H48 &gt;= 2.55, H48 &lt; 4.7), 2,
AND(H48 &gt;= 4.7, H48 &lt; 8.4), 3,
AND(H48 &gt;= 8.4, H48 &lt;= 36), 
4),
F48 = "WR", _xludf.IFS(
AND(H48 &gt;= 0, H48 &lt; 2.55), 1,
AND(H48 &gt;= 2.55, H48 &lt; 4.2), 2,
AND(H48 &gt;= 4.2, H48 &lt; 8.55), 3,
AND(H48 &gt;= 8.55, H48 &lt;= 24.4), 
4),
F48 = "QB", _xludf.IFS(
AND(H48 &gt;= 0, H48 &lt; 2.95), 1,
AND(H48 &gt;= 2.95, H48 &lt; 5.4), 2,
AND(H48 &gt;= 5.4, H48 &lt; 7.2), 3,
AND(H48 &gt;= 7.2, H48 &lt;= 12.3), 
4),
F48 = "TE", _xludf.IFS(
AND(H48 &gt;= 0, H48 &lt; 3), 1,
AND(H48 &gt;= 3, H48 &lt; 4.8), 2,
AND(H48 &gt;= 4.8, H48 &lt; 8.525), 3,
AND(H48 &gt;= 8.525, H48 &lt;= 24.6), 
4)
)</f>
        <v/>
      </c>
    </row>
    <row r="48" ht="13" customHeight="1" s="54">
      <c r="C48">
        <f>IF(COUNTIF(Keeper!B:B,D48)&gt;0,"x","")</f>
        <v/>
      </c>
      <c r="D48" s="40">
        <f>Fantasypro!C45</f>
        <v/>
      </c>
      <c r="E48" s="40">
        <f>Fantasypro!D45</f>
        <v/>
      </c>
      <c r="F48">
        <f>Fantasypro!K45</f>
        <v/>
      </c>
      <c r="G48" s="39">
        <f>Fantasypro!H45</f>
        <v/>
      </c>
      <c r="H48" s="39">
        <f>Fantasypro!I45</f>
        <v/>
      </c>
      <c r="I48" s="51">
        <f>_xludf.IFS(
F49 = "RB", _xludf.IFS(
AND(H49 &gt;= 0, H49 &lt; 2.55), 1,
AND(H49 &gt;= 2.55, H49 &lt; 4.7), 2,
AND(H49 &gt;= 4.7, H49 &lt; 8.4), 3,
AND(H49 &gt;= 8.4, H49 &lt;= 36), 
4),
F49 = "WR", _xludf.IFS(
AND(H49 &gt;= 0, H49 &lt; 2.55), 1,
AND(H49 &gt;= 2.55, H49 &lt; 4.2), 2,
AND(H49 &gt;= 4.2, H49 &lt; 8.55), 3,
AND(H49 &gt;= 8.55, H49 &lt;= 24.4), 
4),
F49 = "QB", _xludf.IFS(
AND(H49 &gt;= 0, H49 &lt; 2.95), 1,
AND(H49 &gt;= 2.95, H49 &lt; 5.4), 2,
AND(H49 &gt;= 5.4, H49 &lt; 7.2), 3,
AND(H49 &gt;= 7.2, H49 &lt;= 12.3), 
4),
F49 = "TE", _xludf.IFS(
AND(H49 &gt;= 0, H49 &lt; 3), 1,
AND(H49 &gt;= 3, H49 &lt; 4.8), 2,
AND(H49 &gt;= 4.8, H49 &lt; 8.525), 3,
AND(H49 &gt;= 8.525, H49 &lt;= 24.6), 
4)
)</f>
        <v/>
      </c>
    </row>
    <row r="49" ht="13" customHeight="1" s="54">
      <c r="C49">
        <f>IF(COUNTIF(Keeper!B:B,D49)&gt;0,"x","")</f>
        <v/>
      </c>
      <c r="D49" s="40">
        <f>Fantasypro!C46</f>
        <v/>
      </c>
      <c r="E49" s="40">
        <f>Fantasypro!D46</f>
        <v/>
      </c>
      <c r="F49">
        <f>Fantasypro!K46</f>
        <v/>
      </c>
      <c r="G49" s="39">
        <f>Fantasypro!H46</f>
        <v/>
      </c>
      <c r="H49" s="39">
        <f>Fantasypro!I46</f>
        <v/>
      </c>
      <c r="I49" s="51">
        <f>_xludf.IFS(
F50 = "RB", _xludf.IFS(
AND(H50 &gt;= 0, H50 &lt; 2.55), 1,
AND(H50 &gt;= 2.55, H50 &lt; 4.7), 2,
AND(H50 &gt;= 4.7, H50 &lt; 8.4), 3,
AND(H50 &gt;= 8.4, H50 &lt;= 36), 
4),
F50 = "WR", _xludf.IFS(
AND(H50 &gt;= 0, H50 &lt; 2.55), 1,
AND(H50 &gt;= 2.55, H50 &lt; 4.2), 2,
AND(H50 &gt;= 4.2, H50 &lt; 8.55), 3,
AND(H50 &gt;= 8.55, H50 &lt;= 24.4), 
4),
F50 = "QB", _xludf.IFS(
AND(H50 &gt;= 0, H50 &lt; 2.95), 1,
AND(H50 &gt;= 2.95, H50 &lt; 5.4), 2,
AND(H50 &gt;= 5.4, H50 &lt; 7.2), 3,
AND(H50 &gt;= 7.2, H50 &lt;= 12.3), 
4),
F50 = "TE", _xludf.IFS(
AND(H50 &gt;= 0, H50 &lt; 3), 1,
AND(H50 &gt;= 3, H50 &lt; 4.8), 2,
AND(H50 &gt;= 4.8, H50 &lt; 8.525), 3,
AND(H50 &gt;= 8.525, H50 &lt;= 24.6), 
4)
)</f>
        <v/>
      </c>
    </row>
    <row r="50" ht="13" customHeight="1" s="54">
      <c r="C50">
        <f>IF(COUNTIF(Keeper!B:B,D50)&gt;0,"x","")</f>
        <v/>
      </c>
      <c r="D50" s="40">
        <f>Fantasypro!C47</f>
        <v/>
      </c>
      <c r="E50" s="40">
        <f>Fantasypro!D47</f>
        <v/>
      </c>
      <c r="F50">
        <f>Fantasypro!K47</f>
        <v/>
      </c>
      <c r="G50" s="39">
        <f>Fantasypro!H47</f>
        <v/>
      </c>
      <c r="H50" s="39">
        <f>Fantasypro!I47</f>
        <v/>
      </c>
      <c r="I50" s="51">
        <f>_xludf.IFS(
F51 = "RB", _xludf.IFS(
AND(H51 &gt;= 0, H51 &lt; 2.55), 1,
AND(H51 &gt;= 2.55, H51 &lt; 4.7), 2,
AND(H51 &gt;= 4.7, H51 &lt; 8.4), 3,
AND(H51 &gt;= 8.4, H51 &lt;= 36), 
4),
F51 = "WR", _xludf.IFS(
AND(H51 &gt;= 0, H51 &lt; 2.55), 1,
AND(H51 &gt;= 2.55, H51 &lt; 4.2), 2,
AND(H51 &gt;= 4.2, H51 &lt; 8.55), 3,
AND(H51 &gt;= 8.55, H51 &lt;= 24.4), 
4),
F51 = "QB", _xludf.IFS(
AND(H51 &gt;= 0, H51 &lt; 2.95), 1,
AND(H51 &gt;= 2.95, H51 &lt; 5.4), 2,
AND(H51 &gt;= 5.4, H51 &lt; 7.2), 3,
AND(H51 &gt;= 7.2, H51 &lt;= 12.3), 
4),
F51 = "TE", _xludf.IFS(
AND(H51 &gt;= 0, H51 &lt; 3), 1,
AND(H51 &gt;= 3, H51 &lt; 4.8), 2,
AND(H51 &gt;= 4.8, H51 &lt; 8.525), 3,
AND(H51 &gt;= 8.525, H51 &lt;= 24.6), 
4)
)</f>
        <v/>
      </c>
    </row>
    <row r="51" ht="13" customHeight="1" s="54">
      <c r="C51">
        <f>IF(COUNTIF(Keeper!B:B,D51)&gt;0,"x","")</f>
        <v/>
      </c>
      <c r="D51" s="40">
        <f>Fantasypro!C48</f>
        <v/>
      </c>
      <c r="E51" s="40">
        <f>Fantasypro!D48</f>
        <v/>
      </c>
      <c r="F51">
        <f>Fantasypro!K48</f>
        <v/>
      </c>
      <c r="G51" s="39">
        <f>Fantasypro!H48</f>
        <v/>
      </c>
      <c r="H51" s="39">
        <f>Fantasypro!I48</f>
        <v/>
      </c>
      <c r="I51" s="51">
        <f>_xludf.IFS(
F52 = "RB", _xludf.IFS(
AND(H52 &gt;= 0, H52 &lt; 2.55), 1,
AND(H52 &gt;= 2.55, H52 &lt; 4.7), 2,
AND(H52 &gt;= 4.7, H52 &lt; 8.4), 3,
AND(H52 &gt;= 8.4, H52 &lt;= 36), 
4),
F52 = "WR", _xludf.IFS(
AND(H52 &gt;= 0, H52 &lt; 2.55), 1,
AND(H52 &gt;= 2.55, H52 &lt; 4.2), 2,
AND(H52 &gt;= 4.2, H52 &lt; 8.55), 3,
AND(H52 &gt;= 8.55, H52 &lt;= 24.4), 
4),
F52 = "QB", _xludf.IFS(
AND(H52 &gt;= 0, H52 &lt; 2.95), 1,
AND(H52 &gt;= 2.95, H52 &lt; 5.4), 2,
AND(H52 &gt;= 5.4, H52 &lt; 7.2), 3,
AND(H52 &gt;= 7.2, H52 &lt;= 12.3), 
4),
F52 = "TE", _xludf.IFS(
AND(H52 &gt;= 0, H52 &lt; 3), 1,
AND(H52 &gt;= 3, H52 &lt; 4.8), 2,
AND(H52 &gt;= 4.8, H52 &lt; 8.525), 3,
AND(H52 &gt;= 8.525, H52 &lt;= 24.6), 
4)
)</f>
        <v/>
      </c>
    </row>
    <row r="52" ht="13" customHeight="1" s="54">
      <c r="C52">
        <f>IF(COUNTIF(Keeper!B:B,D52)&gt;0,"x","")</f>
        <v/>
      </c>
      <c r="D52" s="40">
        <f>Fantasypro!C49</f>
        <v/>
      </c>
      <c r="E52" s="40">
        <f>Fantasypro!D49</f>
        <v/>
      </c>
      <c r="F52">
        <f>Fantasypro!K49</f>
        <v/>
      </c>
      <c r="G52" s="39">
        <f>Fantasypro!H49</f>
        <v/>
      </c>
      <c r="H52" s="39">
        <f>Fantasypro!I49</f>
        <v/>
      </c>
      <c r="I52" s="51">
        <f>_xludf.IFS(
F53 = "RB", _xludf.IFS(
AND(H53 &gt;= 0, H53 &lt; 2.55), 1,
AND(H53 &gt;= 2.55, H53 &lt; 4.7), 2,
AND(H53 &gt;= 4.7, H53 &lt; 8.4), 3,
AND(H53 &gt;= 8.4, H53 &lt;= 36), 
4),
F53 = "WR", _xludf.IFS(
AND(H53 &gt;= 0, H53 &lt; 2.55), 1,
AND(H53 &gt;= 2.55, H53 &lt; 4.2), 2,
AND(H53 &gt;= 4.2, H53 &lt; 8.55), 3,
AND(H53 &gt;= 8.55, H53 &lt;= 24.4), 
4),
F53 = "QB", _xludf.IFS(
AND(H53 &gt;= 0, H53 &lt; 2.95), 1,
AND(H53 &gt;= 2.95, H53 &lt; 5.4), 2,
AND(H53 &gt;= 5.4, H53 &lt; 7.2), 3,
AND(H53 &gt;= 7.2, H53 &lt;= 12.3), 
4),
F53 = "TE", _xludf.IFS(
AND(H53 &gt;= 0, H53 &lt; 3), 1,
AND(H53 &gt;= 3, H53 &lt; 4.8), 2,
AND(H53 &gt;= 4.8, H53 &lt; 8.525), 3,
AND(H53 &gt;= 8.525, H53 &lt;= 24.6), 
4)
)</f>
        <v/>
      </c>
    </row>
    <row r="53" ht="13" customHeight="1" s="54">
      <c r="C53">
        <f>IF(COUNTIF(Keeper!B:B,D53)&gt;0,"x","")</f>
        <v/>
      </c>
      <c r="D53" s="40">
        <f>Fantasypro!C50</f>
        <v/>
      </c>
      <c r="E53" s="40">
        <f>Fantasypro!D50</f>
        <v/>
      </c>
      <c r="F53">
        <f>Fantasypro!K50</f>
        <v/>
      </c>
      <c r="G53" s="39">
        <f>Fantasypro!H50</f>
        <v/>
      </c>
      <c r="H53" s="39">
        <f>Fantasypro!I50</f>
        <v/>
      </c>
      <c r="I53" s="51">
        <f>_xludf.IFS(
F54 = "RB", _xludf.IFS(
AND(H54 &gt;= 0, H54 &lt; 2.55), 1,
AND(H54 &gt;= 2.55, H54 &lt; 4.7), 2,
AND(H54 &gt;= 4.7, H54 &lt; 8.4), 3,
AND(H54 &gt;= 8.4, H54 &lt;= 36), 
4),
F54 = "WR", _xludf.IFS(
AND(H54 &gt;= 0, H54 &lt; 2.55), 1,
AND(H54 &gt;= 2.55, H54 &lt; 4.2), 2,
AND(H54 &gt;= 4.2, H54 &lt; 8.55), 3,
AND(H54 &gt;= 8.55, H54 &lt;= 24.4), 
4),
F54 = "QB", _xludf.IFS(
AND(H54 &gt;= 0, H54 &lt; 2.95), 1,
AND(H54 &gt;= 2.95, H54 &lt; 5.4), 2,
AND(H54 &gt;= 5.4, H54 &lt; 7.2), 3,
AND(H54 &gt;= 7.2, H54 &lt;= 12.3), 
4),
F54 = "TE", _xludf.IFS(
AND(H54 &gt;= 0, H54 &lt; 3), 1,
AND(H54 &gt;= 3, H54 &lt; 4.8), 2,
AND(H54 &gt;= 4.8, H54 &lt; 8.525), 3,
AND(H54 &gt;= 8.525, H54 &lt;= 24.6), 
4)
)</f>
        <v/>
      </c>
    </row>
    <row r="54" ht="13" customHeight="1" s="54">
      <c r="A54" s="26" t="inlineStr">
        <is>
          <t>Trey Benson</t>
        </is>
      </c>
      <c r="C54">
        <f>IF(COUNTIF(Keeper!B:B,D54)&gt;0,"x","")</f>
        <v/>
      </c>
      <c r="D54" s="40">
        <f>Fantasypro!C51</f>
        <v/>
      </c>
      <c r="E54" s="40">
        <f>Fantasypro!D51</f>
        <v/>
      </c>
      <c r="F54">
        <f>Fantasypro!K51</f>
        <v/>
      </c>
      <c r="G54" s="39">
        <f>Fantasypro!H51</f>
        <v/>
      </c>
      <c r="H54" s="39">
        <f>Fantasypro!I51</f>
        <v/>
      </c>
      <c r="I54" s="51">
        <f>_xludf.IFS(
F55 = "RB", _xludf.IFS(
AND(H55 &gt;= 0, H55 &lt; 2.55), 1,
AND(H55 &gt;= 2.55, H55 &lt; 4.7), 2,
AND(H55 &gt;= 4.7, H55 &lt; 8.4), 3,
AND(H55 &gt;= 8.4, H55 &lt;= 36), 
4),
F55 = "WR", _xludf.IFS(
AND(H55 &gt;= 0, H55 &lt; 2.55), 1,
AND(H55 &gt;= 2.55, H55 &lt; 4.2), 2,
AND(H55 &gt;= 4.2, H55 &lt; 8.55), 3,
AND(H55 &gt;= 8.55, H55 &lt;= 24.4), 
4),
F55 = "QB", _xludf.IFS(
AND(H55 &gt;= 0, H55 &lt; 2.95), 1,
AND(H55 &gt;= 2.95, H55 &lt; 5.4), 2,
AND(H55 &gt;= 5.4, H55 &lt; 7.2), 3,
AND(H55 &gt;= 7.2, H55 &lt;= 12.3), 
4),
F55 = "TE", _xludf.IFS(
AND(H55 &gt;= 0, H55 &lt; 3), 1,
AND(H55 &gt;= 3, H55 &lt; 4.8), 2,
AND(H55 &gt;= 4.8, H55 &lt; 8.525), 3,
AND(H55 &gt;= 8.525, H55 &lt;= 24.6), 
4)
)</f>
        <v/>
      </c>
    </row>
    <row r="55" ht="13" customHeight="1" s="54">
      <c r="C55">
        <f>IF(COUNTIF(Keeper!B:B,D55)&gt;0,"x","")</f>
        <v/>
      </c>
      <c r="D55" s="40">
        <f>Fantasypro!C52</f>
        <v/>
      </c>
      <c r="E55" s="40">
        <f>Fantasypro!D52</f>
        <v/>
      </c>
      <c r="F55">
        <f>Fantasypro!K52</f>
        <v/>
      </c>
      <c r="G55" s="39">
        <f>Fantasypro!H52</f>
        <v/>
      </c>
      <c r="H55" s="39">
        <f>Fantasypro!I52</f>
        <v/>
      </c>
      <c r="I55" s="51">
        <f>_xludf.IFS(
F56 = "RB", _xludf.IFS(
AND(H56 &gt;= 0, H56 &lt; 2.55), 1,
AND(H56 &gt;= 2.55, H56 &lt; 4.7), 2,
AND(H56 &gt;= 4.7, H56 &lt; 8.4), 3,
AND(H56 &gt;= 8.4, H56 &lt;= 36), 
4),
F56 = "WR", _xludf.IFS(
AND(H56 &gt;= 0, H56 &lt; 2.55), 1,
AND(H56 &gt;= 2.55, H56 &lt; 4.2), 2,
AND(H56 &gt;= 4.2, H56 &lt; 8.55), 3,
AND(H56 &gt;= 8.55, H56 &lt;= 24.4), 
4),
F56 = "QB", _xludf.IFS(
AND(H56 &gt;= 0, H56 &lt; 2.95), 1,
AND(H56 &gt;= 2.95, H56 &lt; 5.4), 2,
AND(H56 &gt;= 5.4, H56 &lt; 7.2), 3,
AND(H56 &gt;= 7.2, H56 &lt;= 12.3), 
4),
F56 = "TE", _xludf.IFS(
AND(H56 &gt;= 0, H56 &lt; 3), 1,
AND(H56 &gt;= 3, H56 &lt; 4.8), 2,
AND(H56 &gt;= 4.8, H56 &lt; 8.525), 3,
AND(H56 &gt;= 8.525, H56 &lt;= 24.6), 
4)
)</f>
        <v/>
      </c>
    </row>
    <row r="56" ht="13" customHeight="1" s="54">
      <c r="C56">
        <f>IF(COUNTIF(Keeper!B:B,D56)&gt;0,"x","")</f>
        <v/>
      </c>
      <c r="D56" s="40">
        <f>Fantasypro!C53</f>
        <v/>
      </c>
      <c r="E56" s="40">
        <f>Fantasypro!D53</f>
        <v/>
      </c>
      <c r="F56">
        <f>Fantasypro!K53</f>
        <v/>
      </c>
      <c r="G56" s="39">
        <f>Fantasypro!H53</f>
        <v/>
      </c>
      <c r="H56" s="39">
        <f>Fantasypro!I53</f>
        <v/>
      </c>
      <c r="I56" s="51">
        <f>_xludf.IFS(
F57 = "RB", _xludf.IFS(
AND(H57 &gt;= 0, H57 &lt; 2.55), 1,
AND(H57 &gt;= 2.55, H57 &lt; 4.7), 2,
AND(H57 &gt;= 4.7, H57 &lt; 8.4), 3,
AND(H57 &gt;= 8.4, H57 &lt;= 36), 
4),
F57 = "WR", _xludf.IFS(
AND(H57 &gt;= 0, H57 &lt; 2.55), 1,
AND(H57 &gt;= 2.55, H57 &lt; 4.2), 2,
AND(H57 &gt;= 4.2, H57 &lt; 8.55), 3,
AND(H57 &gt;= 8.55, H57 &lt;= 24.4), 
4),
F57 = "QB", _xludf.IFS(
AND(H57 &gt;= 0, H57 &lt; 2.95), 1,
AND(H57 &gt;= 2.95, H57 &lt; 5.4), 2,
AND(H57 &gt;= 5.4, H57 &lt; 7.2), 3,
AND(H57 &gt;= 7.2, H57 &lt;= 12.3), 
4),
F57 = "TE", _xludf.IFS(
AND(H57 &gt;= 0, H57 &lt; 3), 1,
AND(H57 &gt;= 3, H57 &lt; 4.8), 2,
AND(H57 &gt;= 4.8, H57 &lt; 8.525), 3,
AND(H57 &gt;= 8.525, H57 &lt;= 24.6), 
4)
)</f>
        <v/>
      </c>
    </row>
    <row r="57" ht="13" customHeight="1" s="54">
      <c r="A57" s="26" t="n"/>
      <c r="C57">
        <f>IF(COUNTIF(Keeper!B:B,D57)&gt;0,"x","")</f>
        <v/>
      </c>
      <c r="D57" s="40">
        <f>Fantasypro!C54</f>
        <v/>
      </c>
      <c r="E57" s="40">
        <f>Fantasypro!D54</f>
        <v/>
      </c>
      <c r="F57">
        <f>Fantasypro!K54</f>
        <v/>
      </c>
      <c r="G57" s="39">
        <f>Fantasypro!H54</f>
        <v/>
      </c>
      <c r="H57" s="39">
        <f>Fantasypro!I54</f>
        <v/>
      </c>
      <c r="I57" s="51">
        <f>_xludf.IFS(
F58 = "RB", _xludf.IFS(
AND(H58 &gt;= 0, H58 &lt; 2.55), 1,
AND(H58 &gt;= 2.55, H58 &lt; 4.7), 2,
AND(H58 &gt;= 4.7, H58 &lt; 8.4), 3,
AND(H58 &gt;= 8.4, H58 &lt;= 36), 
4),
F58 = "WR", _xludf.IFS(
AND(H58 &gt;= 0, H58 &lt; 2.55), 1,
AND(H58 &gt;= 2.55, H58 &lt; 4.2), 2,
AND(H58 &gt;= 4.2, H58 &lt; 8.55), 3,
AND(H58 &gt;= 8.55, H58 &lt;= 24.4), 
4),
F58 = "QB", _xludf.IFS(
AND(H58 &gt;= 0, H58 &lt; 2.95), 1,
AND(H58 &gt;= 2.95, H58 &lt; 5.4), 2,
AND(H58 &gt;= 5.4, H58 &lt; 7.2), 3,
AND(H58 &gt;= 7.2, H58 &lt;= 12.3), 
4),
F58 = "TE", _xludf.IFS(
AND(H58 &gt;= 0, H58 &lt; 3), 1,
AND(H58 &gt;= 3, H58 &lt; 4.8), 2,
AND(H58 &gt;= 4.8, H58 &lt; 8.525), 3,
AND(H58 &gt;= 8.525, H58 &lt;= 24.6), 
4)
)</f>
        <v/>
      </c>
    </row>
    <row r="58" ht="13" customHeight="1" s="54">
      <c r="C58">
        <f>IF(COUNTIF(Keeper!B:B,D58)&gt;0,"x","")</f>
        <v/>
      </c>
      <c r="D58" s="40">
        <f>Fantasypro!C55</f>
        <v/>
      </c>
      <c r="E58" s="40">
        <f>Fantasypro!D55</f>
        <v/>
      </c>
      <c r="F58">
        <f>Fantasypro!K55</f>
        <v/>
      </c>
      <c r="G58" s="39">
        <f>Fantasypro!H55</f>
        <v/>
      </c>
      <c r="H58" s="39">
        <f>Fantasypro!I55</f>
        <v/>
      </c>
      <c r="I58" s="51">
        <f>_xludf.IFS(
F59 = "RB", _xludf.IFS(
AND(H59 &gt;= 0, H59 &lt; 2.55), 1,
AND(H59 &gt;= 2.55, H59 &lt; 4.7), 2,
AND(H59 &gt;= 4.7, H59 &lt; 8.4), 3,
AND(H59 &gt;= 8.4, H59 &lt;= 36), 
4),
F59 = "WR", _xludf.IFS(
AND(H59 &gt;= 0, H59 &lt; 2.55), 1,
AND(H59 &gt;= 2.55, H59 &lt; 4.2), 2,
AND(H59 &gt;= 4.2, H59 &lt; 8.55), 3,
AND(H59 &gt;= 8.55, H59 &lt;= 24.4), 
4),
F59 = "QB", _xludf.IFS(
AND(H59 &gt;= 0, H59 &lt; 2.95), 1,
AND(H59 &gt;= 2.95, H59 &lt; 5.4), 2,
AND(H59 &gt;= 5.4, H59 &lt; 7.2), 3,
AND(H59 &gt;= 7.2, H59 &lt;= 12.3), 
4),
F59 = "TE", _xludf.IFS(
AND(H59 &gt;= 0, H59 &lt; 3), 1,
AND(H59 &gt;= 3, H59 &lt; 4.8), 2,
AND(H59 &gt;= 4.8, H59 &lt; 8.525), 3,
AND(H59 &gt;= 8.525, H59 &lt;= 24.6), 
4)
)</f>
        <v/>
      </c>
    </row>
    <row r="59" ht="13" customHeight="1" s="54">
      <c r="C59">
        <f>IF(COUNTIF(Keeper!B:B,D59)&gt;0,"x","")</f>
        <v/>
      </c>
      <c r="D59" s="40">
        <f>Fantasypro!C56</f>
        <v/>
      </c>
      <c r="E59" s="40">
        <f>Fantasypro!D56</f>
        <v/>
      </c>
      <c r="F59">
        <f>Fantasypro!K56</f>
        <v/>
      </c>
      <c r="G59" s="39">
        <f>Fantasypro!H56</f>
        <v/>
      </c>
      <c r="H59" s="39">
        <f>Fantasypro!I56</f>
        <v/>
      </c>
      <c r="I59" s="51">
        <f>_xludf.IFS(
F60 = "RB", _xludf.IFS(
AND(H60 &gt;= 0, H60 &lt; 2.55), 1,
AND(H60 &gt;= 2.55, H60 &lt; 4.7), 2,
AND(H60 &gt;= 4.7, H60 &lt; 8.4), 3,
AND(H60 &gt;= 8.4, H60 &lt;= 36), 
4),
F60 = "WR", _xludf.IFS(
AND(H60 &gt;= 0, H60 &lt; 2.55), 1,
AND(H60 &gt;= 2.55, H60 &lt; 4.2), 2,
AND(H60 &gt;= 4.2, H60 &lt; 8.55), 3,
AND(H60 &gt;= 8.55, H60 &lt;= 24.4), 
4),
F60 = "QB", _xludf.IFS(
AND(H60 &gt;= 0, H60 &lt; 2.95), 1,
AND(H60 &gt;= 2.95, H60 &lt; 5.4), 2,
AND(H60 &gt;= 5.4, H60 &lt; 7.2), 3,
AND(H60 &gt;= 7.2, H60 &lt;= 12.3), 
4),
F60 = "TE", _xludf.IFS(
AND(H60 &gt;= 0, H60 &lt; 3), 1,
AND(H60 &gt;= 3, H60 &lt; 4.8), 2,
AND(H60 &gt;= 4.8, H60 &lt; 8.525), 3,
AND(H60 &gt;= 8.525, H60 &lt;= 24.6), 
4)
)</f>
        <v/>
      </c>
    </row>
    <row r="60" ht="13" customHeight="1" s="54">
      <c r="C60">
        <f>IF(COUNTIF(Keeper!B:B,D60)&gt;0,"x","")</f>
        <v/>
      </c>
      <c r="D60" s="40">
        <f>Fantasypro!C57</f>
        <v/>
      </c>
      <c r="E60" s="40">
        <f>Fantasypro!D57</f>
        <v/>
      </c>
      <c r="F60">
        <f>Fantasypro!K57</f>
        <v/>
      </c>
      <c r="G60" s="39">
        <f>Fantasypro!H57</f>
        <v/>
      </c>
      <c r="H60" s="39">
        <f>Fantasypro!I57</f>
        <v/>
      </c>
      <c r="I60" s="51">
        <f>_xludf.IFS(
F61 = "RB", _xludf.IFS(
AND(H61 &gt;= 0, H61 &lt; 2.55), 1,
AND(H61 &gt;= 2.55, H61 &lt; 4.7), 2,
AND(H61 &gt;= 4.7, H61 &lt; 8.4), 3,
AND(H61 &gt;= 8.4, H61 &lt;= 36), 
4),
F61 = "WR", _xludf.IFS(
AND(H61 &gt;= 0, H61 &lt; 2.55), 1,
AND(H61 &gt;= 2.55, H61 &lt; 4.2), 2,
AND(H61 &gt;= 4.2, H61 &lt; 8.55), 3,
AND(H61 &gt;= 8.55, H61 &lt;= 24.4), 
4),
F61 = "QB", _xludf.IFS(
AND(H61 &gt;= 0, H61 &lt; 2.95), 1,
AND(H61 &gt;= 2.95, H61 &lt; 5.4), 2,
AND(H61 &gt;= 5.4, H61 &lt; 7.2), 3,
AND(H61 &gt;= 7.2, H61 &lt;= 12.3), 
4),
F61 = "TE", _xludf.IFS(
AND(H61 &gt;= 0, H61 &lt; 3), 1,
AND(H61 &gt;= 3, H61 &lt; 4.8), 2,
AND(H61 &gt;= 4.8, H61 &lt; 8.525), 3,
AND(H61 &gt;= 8.525, H61 &lt;= 24.6), 
4)
)</f>
        <v/>
      </c>
    </row>
    <row r="61" ht="13" customHeight="1" s="54">
      <c r="A61" s="26" t="inlineStr">
        <is>
          <t>J.K. Dobbins</t>
        </is>
      </c>
      <c r="C61">
        <f>IF(COUNTIF(Keeper!B:B,D61)&gt;0,"x","")</f>
        <v/>
      </c>
      <c r="D61" s="40">
        <f>Fantasypro!C58</f>
        <v/>
      </c>
      <c r="E61" s="40">
        <f>Fantasypro!D58</f>
        <v/>
      </c>
      <c r="F61">
        <f>Fantasypro!K58</f>
        <v/>
      </c>
      <c r="G61" s="39">
        <f>Fantasypro!H58</f>
        <v/>
      </c>
      <c r="H61" s="39">
        <f>Fantasypro!I58</f>
        <v/>
      </c>
      <c r="I61" s="51">
        <f>_xludf.IFS(
F62 = "RB", _xludf.IFS(
AND(H62 &gt;= 0, H62 &lt; 2.55), 1,
AND(H62 &gt;= 2.55, H62 &lt; 4.7), 2,
AND(H62 &gt;= 4.7, H62 &lt; 8.4), 3,
AND(H62 &gt;= 8.4, H62 &lt;= 36), 
4),
F62 = "WR", _xludf.IFS(
AND(H62 &gt;= 0, H62 &lt; 2.55), 1,
AND(H62 &gt;= 2.55, H62 &lt; 4.2), 2,
AND(H62 &gt;= 4.2, H62 &lt; 8.55), 3,
AND(H62 &gt;= 8.55, H62 &lt;= 24.4), 
4),
F62 = "QB", _xludf.IFS(
AND(H62 &gt;= 0, H62 &lt; 2.95), 1,
AND(H62 &gt;= 2.95, H62 &lt; 5.4), 2,
AND(H62 &gt;= 5.4, H62 &lt; 7.2), 3,
AND(H62 &gt;= 7.2, H62 &lt;= 12.3), 
4),
F62 = "TE", _xludf.IFS(
AND(H62 &gt;= 0, H62 &lt; 3), 1,
AND(H62 &gt;= 3, H62 &lt; 4.8), 2,
AND(H62 &gt;= 4.8, H62 &lt; 8.525), 3,
AND(H62 &gt;= 8.525, H62 &lt;= 24.6), 
4)
)</f>
        <v/>
      </c>
    </row>
    <row r="62" ht="13" customHeight="1" s="54">
      <c r="C62">
        <f>IF(COUNTIF(Keeper!B:B,D62)&gt;0,"x","")</f>
        <v/>
      </c>
      <c r="D62" s="40">
        <f>Fantasypro!C59</f>
        <v/>
      </c>
      <c r="E62" s="40">
        <f>Fantasypro!D59</f>
        <v/>
      </c>
      <c r="F62">
        <f>Fantasypro!K59</f>
        <v/>
      </c>
      <c r="G62" s="39">
        <f>Fantasypro!H59</f>
        <v/>
      </c>
      <c r="H62" s="39">
        <f>Fantasypro!I59</f>
        <v/>
      </c>
      <c r="I62" s="51">
        <f>_xludf.IFS(
F63 = "RB", _xludf.IFS(
AND(H63 &gt;= 0, H63 &lt; 2.55), 1,
AND(H63 &gt;= 2.55, H63 &lt; 4.7), 2,
AND(H63 &gt;= 4.7, H63 &lt; 8.4), 3,
AND(H63 &gt;= 8.4, H63 &lt;= 36), 
4),
F63 = "WR", _xludf.IFS(
AND(H63 &gt;= 0, H63 &lt; 2.55), 1,
AND(H63 &gt;= 2.55, H63 &lt; 4.2), 2,
AND(H63 &gt;= 4.2, H63 &lt; 8.55), 3,
AND(H63 &gt;= 8.55, H63 &lt;= 24.4), 
4),
F63 = "QB", _xludf.IFS(
AND(H63 &gt;= 0, H63 &lt; 2.95), 1,
AND(H63 &gt;= 2.95, H63 &lt; 5.4), 2,
AND(H63 &gt;= 5.4, H63 &lt; 7.2), 3,
AND(H63 &gt;= 7.2, H63 &lt;= 12.3), 
4),
F63 = "TE", _xludf.IFS(
AND(H63 &gt;= 0, H63 &lt; 3), 1,
AND(H63 &gt;= 3, H63 &lt; 4.8), 2,
AND(H63 &gt;= 4.8, H63 &lt; 8.525), 3,
AND(H63 &gt;= 8.525, H63 &lt;= 24.6), 
4)
)</f>
        <v/>
      </c>
    </row>
    <row r="63" ht="13" customHeight="1" s="54">
      <c r="C63">
        <f>IF(COUNTIF(Keeper!B:B,D63)&gt;0,"x","")</f>
        <v/>
      </c>
      <c r="D63" s="40">
        <f>Fantasypro!C60</f>
        <v/>
      </c>
      <c r="E63" s="40">
        <f>Fantasypro!D60</f>
        <v/>
      </c>
      <c r="F63">
        <f>Fantasypro!K60</f>
        <v/>
      </c>
      <c r="G63" s="39">
        <f>Fantasypro!H60</f>
        <v/>
      </c>
      <c r="H63" s="39">
        <f>Fantasypro!I60</f>
        <v/>
      </c>
      <c r="I63" s="51">
        <f>_xludf.IFS(
F64 = "RB", _xludf.IFS(
AND(H64 &gt;= 0, H64 &lt; 2.55), 1,
AND(H64 &gt;= 2.55, H64 &lt; 4.7), 2,
AND(H64 &gt;= 4.7, H64 &lt; 8.4), 3,
AND(H64 &gt;= 8.4, H64 &lt;= 36), 
4),
F64 = "WR", _xludf.IFS(
AND(H64 &gt;= 0, H64 &lt; 2.55), 1,
AND(H64 &gt;= 2.55, H64 &lt; 4.2), 2,
AND(H64 &gt;= 4.2, H64 &lt; 8.55), 3,
AND(H64 &gt;= 8.55, H64 &lt;= 24.4), 
4),
F64 = "QB", _xludf.IFS(
AND(H64 &gt;= 0, H64 &lt; 2.95), 1,
AND(H64 &gt;= 2.95, H64 &lt; 5.4), 2,
AND(H64 &gt;= 5.4, H64 &lt; 7.2), 3,
AND(H64 &gt;= 7.2, H64 &lt;= 12.3), 
4),
F64 = "TE", _xludf.IFS(
AND(H64 &gt;= 0, H64 &lt; 3), 1,
AND(H64 &gt;= 3, H64 &lt; 4.8), 2,
AND(H64 &gt;= 4.8, H64 &lt; 8.525), 3,
AND(H64 &gt;= 8.525, H64 &lt;= 24.6), 
4)
)</f>
        <v/>
      </c>
    </row>
    <row r="64" ht="13" customHeight="1" s="54">
      <c r="C64">
        <f>IF(COUNTIF(Keeper!B:B,D64)&gt;0,"x","")</f>
        <v/>
      </c>
      <c r="D64" s="40">
        <f>Fantasypro!C61</f>
        <v/>
      </c>
      <c r="E64" s="40">
        <f>Fantasypro!D61</f>
        <v/>
      </c>
      <c r="F64">
        <f>Fantasypro!K61</f>
        <v/>
      </c>
      <c r="G64" s="39">
        <f>Fantasypro!H61</f>
        <v/>
      </c>
      <c r="H64" s="39">
        <f>Fantasypro!I61</f>
        <v/>
      </c>
      <c r="I64" s="51">
        <f>_xludf.IFS(
F65 = "RB", _xludf.IFS(
AND(H65 &gt;= 0, H65 &lt; 2.55), 1,
AND(H65 &gt;= 2.55, H65 &lt; 4.7), 2,
AND(H65 &gt;= 4.7, H65 &lt; 8.4), 3,
AND(H65 &gt;= 8.4, H65 &lt;= 36), 
4),
F65 = "WR", _xludf.IFS(
AND(H65 &gt;= 0, H65 &lt; 2.55), 1,
AND(H65 &gt;= 2.55, H65 &lt; 4.2), 2,
AND(H65 &gt;= 4.2, H65 &lt; 8.55), 3,
AND(H65 &gt;= 8.55, H65 &lt;= 24.4), 
4),
F65 = "QB", _xludf.IFS(
AND(H65 &gt;= 0, H65 &lt; 2.95), 1,
AND(H65 &gt;= 2.95, H65 &lt; 5.4), 2,
AND(H65 &gt;= 5.4, H65 &lt; 7.2), 3,
AND(H65 &gt;= 7.2, H65 &lt;= 12.3), 
4),
F65 = "TE", _xludf.IFS(
AND(H65 &gt;= 0, H65 &lt; 3), 1,
AND(H65 &gt;= 3, H65 &lt; 4.8), 2,
AND(H65 &gt;= 4.8, H65 &lt; 8.525), 3,
AND(H65 &gt;= 8.525, H65 &lt;= 24.6), 
4)
)</f>
        <v/>
      </c>
    </row>
    <row r="65" ht="13" customHeight="1" s="54">
      <c r="A65" s="26" t="n"/>
      <c r="C65">
        <f>IF(COUNTIF(Keeper!B:B,D65)&gt;0,"x","")</f>
        <v/>
      </c>
      <c r="D65" s="40">
        <f>Fantasypro!C62</f>
        <v/>
      </c>
      <c r="E65" s="40">
        <f>Fantasypro!D62</f>
        <v/>
      </c>
      <c r="F65">
        <f>Fantasypro!K62</f>
        <v/>
      </c>
      <c r="G65" s="39">
        <f>Fantasypro!H62</f>
        <v/>
      </c>
      <c r="H65" s="39">
        <f>Fantasypro!I62</f>
        <v/>
      </c>
      <c r="I65" s="51">
        <f>_xludf.IFS(
F66 = "RB", _xludf.IFS(
AND(H66 &gt;= 0, H66 &lt; 2.55), 1,
AND(H66 &gt;= 2.55, H66 &lt; 4.7), 2,
AND(H66 &gt;= 4.7, H66 &lt; 8.4), 3,
AND(H66 &gt;= 8.4, H66 &lt;= 36), 
4),
F66 = "WR", _xludf.IFS(
AND(H66 &gt;= 0, H66 &lt; 2.55), 1,
AND(H66 &gt;= 2.55, H66 &lt; 4.2), 2,
AND(H66 &gt;= 4.2, H66 &lt; 8.55), 3,
AND(H66 &gt;= 8.55, H66 &lt;= 24.4), 
4),
F66 = "QB", _xludf.IFS(
AND(H66 &gt;= 0, H66 &lt; 2.95), 1,
AND(H66 &gt;= 2.95, H66 &lt; 5.4), 2,
AND(H66 &gt;= 5.4, H66 &lt; 7.2), 3,
AND(H66 &gt;= 7.2, H66 &lt;= 12.3), 
4),
F66 = "TE", _xludf.IFS(
AND(H66 &gt;= 0, H66 &lt; 3), 1,
AND(H66 &gt;= 3, H66 &lt; 4.8), 2,
AND(H66 &gt;= 4.8, H66 &lt; 8.525), 3,
AND(H66 &gt;= 8.525, H66 &lt;= 24.6), 
4)
)</f>
        <v/>
      </c>
    </row>
    <row r="66" ht="13" customHeight="1" s="54">
      <c r="C66">
        <f>IF(COUNTIF(Keeper!B:B,D66)&gt;0,"x","")</f>
        <v/>
      </c>
      <c r="D66" s="40">
        <f>Fantasypro!C63</f>
        <v/>
      </c>
      <c r="E66" s="40">
        <f>Fantasypro!D63</f>
        <v/>
      </c>
      <c r="F66">
        <f>Fantasypro!K63</f>
        <v/>
      </c>
      <c r="G66" s="39">
        <f>Fantasypro!H63</f>
        <v/>
      </c>
      <c r="H66" s="39">
        <f>Fantasypro!I63</f>
        <v/>
      </c>
      <c r="I66" s="51">
        <f>_xludf.IFS(
F67 = "RB", _xludf.IFS(
AND(H67 &gt;= 0, H67 &lt; 2.55), 1,
AND(H67 &gt;= 2.55, H67 &lt; 4.7), 2,
AND(H67 &gt;= 4.7, H67 &lt; 8.4), 3,
AND(H67 &gt;= 8.4, H67 &lt;= 36), 
4),
F67 = "WR", _xludf.IFS(
AND(H67 &gt;= 0, H67 &lt; 2.55), 1,
AND(H67 &gt;= 2.55, H67 &lt; 4.2), 2,
AND(H67 &gt;= 4.2, H67 &lt; 8.55), 3,
AND(H67 &gt;= 8.55, H67 &lt;= 24.4), 
4),
F67 = "QB", _xludf.IFS(
AND(H67 &gt;= 0, H67 &lt; 2.95), 1,
AND(H67 &gt;= 2.95, H67 &lt; 5.4), 2,
AND(H67 &gt;= 5.4, H67 &lt; 7.2), 3,
AND(H67 &gt;= 7.2, H67 &lt;= 12.3), 
4),
F67 = "TE", _xludf.IFS(
AND(H67 &gt;= 0, H67 &lt; 3), 1,
AND(H67 &gt;= 3, H67 &lt; 4.8), 2,
AND(H67 &gt;= 4.8, H67 &lt; 8.525), 3,
AND(H67 &gt;= 8.525, H67 &lt;= 24.6), 
4)
)</f>
        <v/>
      </c>
    </row>
    <row r="67" ht="13" customHeight="1" s="54">
      <c r="C67">
        <f>IF(COUNTIF(Keeper!B:B,D67)&gt;0,"x","")</f>
        <v/>
      </c>
      <c r="D67" s="40">
        <f>Fantasypro!C64</f>
        <v/>
      </c>
      <c r="E67" s="40">
        <f>Fantasypro!D64</f>
        <v/>
      </c>
      <c r="F67">
        <f>Fantasypro!K64</f>
        <v/>
      </c>
      <c r="G67" s="39">
        <f>Fantasypro!H64</f>
        <v/>
      </c>
      <c r="H67" s="39">
        <f>Fantasypro!I64</f>
        <v/>
      </c>
      <c r="I67" s="51">
        <f>_xludf.IFS(
F68 = "RB", _xludf.IFS(
AND(H68 &gt;= 0, H68 &lt; 2.55), 1,
AND(H68 &gt;= 2.55, H68 &lt; 4.7), 2,
AND(H68 &gt;= 4.7, H68 &lt; 8.4), 3,
AND(H68 &gt;= 8.4, H68 &lt;= 36), 
4),
F68 = "WR", _xludf.IFS(
AND(H68 &gt;= 0, H68 &lt; 2.55), 1,
AND(H68 &gt;= 2.55, H68 &lt; 4.2), 2,
AND(H68 &gt;= 4.2, H68 &lt; 8.55), 3,
AND(H68 &gt;= 8.55, H68 &lt;= 24.4), 
4),
F68 = "QB", _xludf.IFS(
AND(H68 &gt;= 0, H68 &lt; 2.95), 1,
AND(H68 &gt;= 2.95, H68 &lt; 5.4), 2,
AND(H68 &gt;= 5.4, H68 &lt; 7.2), 3,
AND(H68 &gt;= 7.2, H68 &lt;= 12.3), 
4),
F68 = "TE", _xludf.IFS(
AND(H68 &gt;= 0, H68 &lt; 3), 1,
AND(H68 &gt;= 3, H68 &lt; 4.8), 2,
AND(H68 &gt;= 4.8, H68 &lt; 8.525), 3,
AND(H68 &gt;= 8.525, H68 &lt;= 24.6), 
4)
)</f>
        <v/>
      </c>
    </row>
    <row r="68" ht="13" customHeight="1" s="54">
      <c r="C68">
        <f>IF(COUNTIF(Keeper!B:B,D68)&gt;0,"x","")</f>
        <v/>
      </c>
      <c r="D68" s="40">
        <f>Fantasypro!C65</f>
        <v/>
      </c>
      <c r="E68" s="40">
        <f>Fantasypro!D65</f>
        <v/>
      </c>
      <c r="F68">
        <f>Fantasypro!K65</f>
        <v/>
      </c>
      <c r="G68" s="39">
        <f>Fantasypro!H65</f>
        <v/>
      </c>
      <c r="H68" s="39">
        <f>Fantasypro!I65</f>
        <v/>
      </c>
      <c r="I68" s="51">
        <f>_xludf.IFS(
F69 = "RB", _xludf.IFS(
AND(H69 &gt;= 0, H69 &lt; 2.55), 1,
AND(H69 &gt;= 2.55, H69 &lt; 4.7), 2,
AND(H69 &gt;= 4.7, H69 &lt; 8.4), 3,
AND(H69 &gt;= 8.4, H69 &lt;= 36), 
4),
F69 = "WR", _xludf.IFS(
AND(H69 &gt;= 0, H69 &lt; 2.55), 1,
AND(H69 &gt;= 2.55, H69 &lt; 4.2), 2,
AND(H69 &gt;= 4.2, H69 &lt; 8.55), 3,
AND(H69 &gt;= 8.55, H69 &lt;= 24.4), 
4),
F69 = "QB", _xludf.IFS(
AND(H69 &gt;= 0, H69 &lt; 2.95), 1,
AND(H69 &gt;= 2.95, H69 &lt; 5.4), 2,
AND(H69 &gt;= 5.4, H69 &lt; 7.2), 3,
AND(H69 &gt;= 7.2, H69 &lt;= 12.3), 
4),
F69 = "TE", _xludf.IFS(
AND(H69 &gt;= 0, H69 &lt; 3), 1,
AND(H69 &gt;= 3, H69 &lt; 4.8), 2,
AND(H69 &gt;= 4.8, H69 &lt; 8.525), 3,
AND(H69 &gt;= 8.525, H69 &lt;= 24.6), 
4)
)</f>
        <v/>
      </c>
    </row>
    <row r="69" ht="13" customHeight="1" s="54">
      <c r="C69">
        <f>IF(COUNTIF(Keeper!B:B,D69)&gt;0,"x","")</f>
        <v/>
      </c>
      <c r="D69" s="40">
        <f>Fantasypro!C66</f>
        <v/>
      </c>
      <c r="E69" s="40">
        <f>Fantasypro!D66</f>
        <v/>
      </c>
      <c r="F69">
        <f>Fantasypro!K66</f>
        <v/>
      </c>
      <c r="G69" s="39">
        <f>Fantasypro!H66</f>
        <v/>
      </c>
      <c r="H69" s="39">
        <f>Fantasypro!I66</f>
        <v/>
      </c>
      <c r="I69" s="51">
        <f>_xludf.IFS(
F70 = "RB", _xludf.IFS(
AND(H70 &gt;= 0, H70 &lt; 2.55), 1,
AND(H70 &gt;= 2.55, H70 &lt; 4.7), 2,
AND(H70 &gt;= 4.7, H70 &lt; 8.4), 3,
AND(H70 &gt;= 8.4, H70 &lt;= 36), 
4),
F70 = "WR", _xludf.IFS(
AND(H70 &gt;= 0, H70 &lt; 2.55), 1,
AND(H70 &gt;= 2.55, H70 &lt; 4.2), 2,
AND(H70 &gt;= 4.2, H70 &lt; 8.55), 3,
AND(H70 &gt;= 8.55, H70 &lt;= 24.4), 
4),
F70 = "QB", _xludf.IFS(
AND(H70 &gt;= 0, H70 &lt; 2.95), 1,
AND(H70 &gt;= 2.95, H70 &lt; 5.4), 2,
AND(H70 &gt;= 5.4, H70 &lt; 7.2), 3,
AND(H70 &gt;= 7.2, H70 &lt;= 12.3), 
4),
F70 = "TE", _xludf.IFS(
AND(H70 &gt;= 0, H70 &lt; 3), 1,
AND(H70 &gt;= 3, H70 &lt; 4.8), 2,
AND(H70 &gt;= 4.8, H70 &lt; 8.525), 3,
AND(H70 &gt;= 8.525, H70 &lt;= 24.6), 
4)
)</f>
        <v/>
      </c>
    </row>
    <row r="70" ht="13" customHeight="1" s="54">
      <c r="A70" s="26" t="inlineStr">
        <is>
          <t>Jordan Mason</t>
        </is>
      </c>
      <c r="C70">
        <f>IF(COUNTIF(Keeper!B:B,D70)&gt;0,"x","")</f>
        <v/>
      </c>
      <c r="D70" s="40">
        <f>Fantasypro!C67</f>
        <v/>
      </c>
      <c r="E70" s="40">
        <f>Fantasypro!D67</f>
        <v/>
      </c>
      <c r="F70">
        <f>Fantasypro!K67</f>
        <v/>
      </c>
      <c r="G70" s="39">
        <f>Fantasypro!H67</f>
        <v/>
      </c>
      <c r="H70" s="39">
        <f>Fantasypro!I67</f>
        <v/>
      </c>
      <c r="I70" s="51">
        <f>_xludf.IFS(
F71 = "RB", _xludf.IFS(
AND(H71 &gt;= 0, H71 &lt; 2.55), 1,
AND(H71 &gt;= 2.55, H71 &lt; 4.7), 2,
AND(H71 &gt;= 4.7, H71 &lt; 8.4), 3,
AND(H71 &gt;= 8.4, H71 &lt;= 36), 
4),
F71 = "WR", _xludf.IFS(
AND(H71 &gt;= 0, H71 &lt; 2.55), 1,
AND(H71 &gt;= 2.55, H71 &lt; 4.2), 2,
AND(H71 &gt;= 4.2, H71 &lt; 8.55), 3,
AND(H71 &gt;= 8.55, H71 &lt;= 24.4), 
4),
F71 = "QB", _xludf.IFS(
AND(H71 &gt;= 0, H71 &lt; 2.95), 1,
AND(H71 &gt;= 2.95, H71 &lt; 5.4), 2,
AND(H71 &gt;= 5.4, H71 &lt; 7.2), 3,
AND(H71 &gt;= 7.2, H71 &lt;= 12.3), 
4),
F71 = "TE", _xludf.IFS(
AND(H71 &gt;= 0, H71 &lt; 3), 1,
AND(H71 &gt;= 3, H71 &lt; 4.8), 2,
AND(H71 &gt;= 4.8, H71 &lt; 8.525), 3,
AND(H71 &gt;= 8.525, H71 &lt;= 24.6), 
4)
)</f>
        <v/>
      </c>
    </row>
    <row r="71" ht="13" customHeight="1" s="54">
      <c r="C71">
        <f>IF(COUNTIF(Keeper!B:B,D71)&gt;0,"x","")</f>
        <v/>
      </c>
      <c r="D71" s="40">
        <f>Fantasypro!C68</f>
        <v/>
      </c>
      <c r="E71" s="40">
        <f>Fantasypro!D68</f>
        <v/>
      </c>
      <c r="F71">
        <f>Fantasypro!K68</f>
        <v/>
      </c>
      <c r="G71" s="39">
        <f>Fantasypro!H68</f>
        <v/>
      </c>
      <c r="H71" s="39">
        <f>Fantasypro!I68</f>
        <v/>
      </c>
      <c r="I71" s="51">
        <f>_xludf.IFS(
F72 = "RB", _xludf.IFS(
AND(H72 &gt;= 0, H72 &lt; 2.55), 1,
AND(H72 &gt;= 2.55, H72 &lt; 4.7), 2,
AND(H72 &gt;= 4.7, H72 &lt; 8.4), 3,
AND(H72 &gt;= 8.4, H72 &lt;= 36), 
4),
F72 = "WR", _xludf.IFS(
AND(H72 &gt;= 0, H72 &lt; 2.55), 1,
AND(H72 &gt;= 2.55, H72 &lt; 4.2), 2,
AND(H72 &gt;= 4.2, H72 &lt; 8.55), 3,
AND(H72 &gt;= 8.55, H72 &lt;= 24.4), 
4),
F72 = "QB", _xludf.IFS(
AND(H72 &gt;= 0, H72 &lt; 2.95), 1,
AND(H72 &gt;= 2.95, H72 &lt; 5.4), 2,
AND(H72 &gt;= 5.4, H72 &lt; 7.2), 3,
AND(H72 &gt;= 7.2, H72 &lt;= 12.3), 
4),
F72 = "TE", _xludf.IFS(
AND(H72 &gt;= 0, H72 &lt; 3), 1,
AND(H72 &gt;= 3, H72 &lt; 4.8), 2,
AND(H72 &gt;= 4.8, H72 &lt; 8.525), 3,
AND(H72 &gt;= 8.525, H72 &lt;= 24.6), 
4)
)</f>
        <v/>
      </c>
    </row>
    <row r="72" ht="13" customHeight="1" s="54">
      <c r="C72">
        <f>IF(COUNTIF(Keeper!B:B,D72)&gt;0,"x","")</f>
        <v/>
      </c>
      <c r="D72" s="40">
        <f>Fantasypro!C69</f>
        <v/>
      </c>
      <c r="E72" s="40">
        <f>Fantasypro!D69</f>
        <v/>
      </c>
      <c r="F72">
        <f>Fantasypro!K69</f>
        <v/>
      </c>
      <c r="G72" s="39">
        <f>Fantasypro!H69</f>
        <v/>
      </c>
      <c r="H72" s="39">
        <f>Fantasypro!I69</f>
        <v/>
      </c>
      <c r="I72" s="51">
        <f>_xludf.IFS(
F73 = "RB", _xludf.IFS(
AND(H73 &gt;= 0, H73 &lt; 2.55), 1,
AND(H73 &gt;= 2.55, H73 &lt; 4.7), 2,
AND(H73 &gt;= 4.7, H73 &lt; 8.4), 3,
AND(H73 &gt;= 8.4, H73 &lt;= 36), 
4),
F73 = "WR", _xludf.IFS(
AND(H73 &gt;= 0, H73 &lt; 2.55), 1,
AND(H73 &gt;= 2.55, H73 &lt; 4.2), 2,
AND(H73 &gt;= 4.2, H73 &lt; 8.55), 3,
AND(H73 &gt;= 8.55, H73 &lt;= 24.4), 
4),
F73 = "QB", _xludf.IFS(
AND(H73 &gt;= 0, H73 &lt; 2.95), 1,
AND(H73 &gt;= 2.95, H73 &lt; 5.4), 2,
AND(H73 &gt;= 5.4, H73 &lt; 7.2), 3,
AND(H73 &gt;= 7.2, H73 &lt;= 12.3), 
4),
F73 = "TE", _xludf.IFS(
AND(H73 &gt;= 0, H73 &lt; 3), 1,
AND(H73 &gt;= 3, H73 &lt; 4.8), 2,
AND(H73 &gt;= 4.8, H73 &lt; 8.525), 3,
AND(H73 &gt;= 8.525, H73 &lt;= 24.6), 
4)
)</f>
        <v/>
      </c>
    </row>
    <row r="73" ht="13" customHeight="1" s="54">
      <c r="A73" s="26" t="inlineStr">
        <is>
          <t>Rhamondre Stevenson</t>
        </is>
      </c>
      <c r="C73">
        <f>IF(COUNTIF(Keeper!B:B,D73)&gt;0,"x","")</f>
        <v/>
      </c>
      <c r="D73" s="40">
        <f>Fantasypro!C70</f>
        <v/>
      </c>
      <c r="E73" s="40">
        <f>Fantasypro!D70</f>
        <v/>
      </c>
      <c r="F73">
        <f>Fantasypro!K70</f>
        <v/>
      </c>
      <c r="G73" s="39">
        <f>Fantasypro!H70</f>
        <v/>
      </c>
      <c r="H73" s="39">
        <f>Fantasypro!I70</f>
        <v/>
      </c>
      <c r="I73" s="51">
        <f>_xludf.IFS(
F74 = "RB", _xludf.IFS(
AND(H74 &gt;= 0, H74 &lt; 2.55), 1,
AND(H74 &gt;= 2.55, H74 &lt; 4.7), 2,
AND(H74 &gt;= 4.7, H74 &lt; 8.4), 3,
AND(H74 &gt;= 8.4, H74 &lt;= 36), 
4),
F74 = "WR", _xludf.IFS(
AND(H74 &gt;= 0, H74 &lt; 2.55), 1,
AND(H74 &gt;= 2.55, H74 &lt; 4.2), 2,
AND(H74 &gt;= 4.2, H74 &lt; 8.55), 3,
AND(H74 &gt;= 8.55, H74 &lt;= 24.4), 
4),
F74 = "QB", _xludf.IFS(
AND(H74 &gt;= 0, H74 &lt; 2.95), 1,
AND(H74 &gt;= 2.95, H74 &lt; 5.4), 2,
AND(H74 &gt;= 5.4, H74 &lt; 7.2), 3,
AND(H74 &gt;= 7.2, H74 &lt;= 12.3), 
4),
F74 = "TE", _xludf.IFS(
AND(H74 &gt;= 0, H74 &lt; 3), 1,
AND(H74 &gt;= 3, H74 &lt; 4.8), 2,
AND(H74 &gt;= 4.8, H74 &lt; 8.525), 3,
AND(H74 &gt;= 8.525, H74 &lt;= 24.6), 
4)
)</f>
        <v/>
      </c>
    </row>
    <row r="74" ht="13" customHeight="1" s="54">
      <c r="C74">
        <f>IF(COUNTIF(Keeper!B:B,D74)&gt;0,"x","")</f>
        <v/>
      </c>
      <c r="D74" s="40">
        <f>Fantasypro!C71</f>
        <v/>
      </c>
      <c r="E74" s="40">
        <f>Fantasypro!D71</f>
        <v/>
      </c>
      <c r="F74">
        <f>Fantasypro!K71</f>
        <v/>
      </c>
      <c r="G74" s="39">
        <f>Fantasypro!H71</f>
        <v/>
      </c>
      <c r="H74" s="39">
        <f>Fantasypro!I71</f>
        <v/>
      </c>
      <c r="I74" s="51">
        <f>_xludf.IFS(
F75 = "RB", _xludf.IFS(
AND(H75 &gt;= 0, H75 &lt; 2.55), 1,
AND(H75 &gt;= 2.55, H75 &lt; 4.7), 2,
AND(H75 &gt;= 4.7, H75 &lt; 8.4), 3,
AND(H75 &gt;= 8.4, H75 &lt;= 36), 
4),
F75 = "WR", _xludf.IFS(
AND(H75 &gt;= 0, H75 &lt; 2.55), 1,
AND(H75 &gt;= 2.55, H75 &lt; 4.2), 2,
AND(H75 &gt;= 4.2, H75 &lt; 8.55), 3,
AND(H75 &gt;= 8.55, H75 &lt;= 24.4), 
4),
F75 = "QB", _xludf.IFS(
AND(H75 &gt;= 0, H75 &lt; 2.95), 1,
AND(H75 &gt;= 2.95, H75 &lt; 5.4), 2,
AND(H75 &gt;= 5.4, H75 &lt; 7.2), 3,
AND(H75 &gt;= 7.2, H75 &lt;= 12.3), 
4),
F75 = "TE", _xludf.IFS(
AND(H75 &gt;= 0, H75 &lt; 3), 1,
AND(H75 &gt;= 3, H75 &lt; 4.8), 2,
AND(H75 &gt;= 4.8, H75 &lt; 8.525), 3,
AND(H75 &gt;= 8.525, H75 &lt;= 24.6), 
4)
)</f>
        <v/>
      </c>
    </row>
    <row r="75" ht="13" customHeight="1" s="54">
      <c r="A75" s="26" t="inlineStr">
        <is>
          <t>Tyjae Spears</t>
        </is>
      </c>
      <c r="C75">
        <f>IF(COUNTIF(Keeper!B:B,D75)&gt;0,"x","")</f>
        <v/>
      </c>
      <c r="D75" s="40">
        <f>Fantasypro!C72</f>
        <v/>
      </c>
      <c r="E75" s="40">
        <f>Fantasypro!D72</f>
        <v/>
      </c>
      <c r="F75">
        <f>Fantasypro!K72</f>
        <v/>
      </c>
      <c r="G75" s="39">
        <f>Fantasypro!H72</f>
        <v/>
      </c>
      <c r="H75" s="39">
        <f>Fantasypro!I72</f>
        <v/>
      </c>
      <c r="I75" s="51">
        <f>_xludf.IFS(
F76 = "RB", _xludf.IFS(
AND(H76 &gt;= 0, H76 &lt; 2.55), 1,
AND(H76 &gt;= 2.55, H76 &lt; 4.7), 2,
AND(H76 &gt;= 4.7, H76 &lt; 8.4), 3,
AND(H76 &gt;= 8.4, H76 &lt;= 36), 
4),
F76 = "WR", _xludf.IFS(
AND(H76 &gt;= 0, H76 &lt; 2.55), 1,
AND(H76 &gt;= 2.55, H76 &lt; 4.2), 2,
AND(H76 &gt;= 4.2, H76 &lt; 8.55), 3,
AND(H76 &gt;= 8.55, H76 &lt;= 24.4), 
4),
F76 = "QB", _xludf.IFS(
AND(H76 &gt;= 0, H76 &lt; 2.95), 1,
AND(H76 &gt;= 2.95, H76 &lt; 5.4), 2,
AND(H76 &gt;= 5.4, H76 &lt; 7.2), 3,
AND(H76 &gt;= 7.2, H76 &lt;= 12.3), 
4),
F76 = "TE", _xludf.IFS(
AND(H76 &gt;= 0, H76 &lt; 3), 1,
AND(H76 &gt;= 3, H76 &lt; 4.8), 2,
AND(H76 &gt;= 4.8, H76 &lt; 8.525), 3,
AND(H76 &gt;= 8.525, H76 &lt;= 24.6), 
4)
)</f>
        <v/>
      </c>
    </row>
    <row r="76" ht="13" customHeight="1" s="54">
      <c r="C76">
        <f>IF(COUNTIF(Keeper!B:B,D76)&gt;0,"x","")</f>
        <v/>
      </c>
      <c r="D76" s="40">
        <f>Fantasypro!C73</f>
        <v/>
      </c>
      <c r="E76" s="40">
        <f>Fantasypro!D73</f>
        <v/>
      </c>
      <c r="F76">
        <f>Fantasypro!K73</f>
        <v/>
      </c>
      <c r="G76" s="39">
        <f>Fantasypro!H73</f>
        <v/>
      </c>
      <c r="H76" s="39">
        <f>Fantasypro!I73</f>
        <v/>
      </c>
      <c r="I76" s="51">
        <f>_xludf.IFS(
F77 = "RB", _xludf.IFS(
AND(H77 &gt;= 0, H77 &lt; 2.55), 1,
AND(H77 &gt;= 2.55, H77 &lt; 4.7), 2,
AND(H77 &gt;= 4.7, H77 &lt; 8.4), 3,
AND(H77 &gt;= 8.4, H77 &lt;= 36), 
4),
F77 = "WR", _xludf.IFS(
AND(H77 &gt;= 0, H77 &lt; 2.55), 1,
AND(H77 &gt;= 2.55, H77 &lt; 4.2), 2,
AND(H77 &gt;= 4.2, H77 &lt; 8.55), 3,
AND(H77 &gt;= 8.55, H77 &lt;= 24.4), 
4),
F77 = "QB", _xludf.IFS(
AND(H77 &gt;= 0, H77 &lt; 2.95), 1,
AND(H77 &gt;= 2.95, H77 &lt; 5.4), 2,
AND(H77 &gt;= 5.4, H77 &lt; 7.2), 3,
AND(H77 &gt;= 7.2, H77 &lt;= 12.3), 
4),
F77 = "TE", _xludf.IFS(
AND(H77 &gt;= 0, H77 &lt; 3), 1,
AND(H77 &gt;= 3, H77 &lt; 4.8), 2,
AND(H77 &gt;= 4.8, H77 &lt; 8.525), 3,
AND(H77 &gt;= 8.525, H77 &lt;= 24.6), 
4)
)</f>
        <v/>
      </c>
    </row>
    <row r="77" ht="13" customHeight="1" s="54">
      <c r="C77">
        <f>IF(COUNTIF(Keeper!B:B,D77)&gt;0,"x","")</f>
        <v/>
      </c>
      <c r="D77" s="40">
        <f>Fantasypro!C74</f>
        <v/>
      </c>
      <c r="E77" s="40">
        <f>Fantasypro!D74</f>
        <v/>
      </c>
      <c r="F77">
        <f>Fantasypro!K74</f>
        <v/>
      </c>
      <c r="G77" s="39">
        <f>Fantasypro!H74</f>
        <v/>
      </c>
      <c r="H77" s="39">
        <f>Fantasypro!I74</f>
        <v/>
      </c>
      <c r="I77" s="51">
        <f>_xludf.IFS(
F78 = "RB", _xludf.IFS(
AND(H78 &gt;= 0, H78 &lt; 2.55), 1,
AND(H78 &gt;= 2.55, H78 &lt; 4.7), 2,
AND(H78 &gt;= 4.7, H78 &lt; 8.4), 3,
AND(H78 &gt;= 8.4, H78 &lt;= 36), 
4),
F78 = "WR", _xludf.IFS(
AND(H78 &gt;= 0, H78 &lt; 2.55), 1,
AND(H78 &gt;= 2.55, H78 &lt; 4.2), 2,
AND(H78 &gt;= 4.2, H78 &lt; 8.55), 3,
AND(H78 &gt;= 8.55, H78 &lt;= 24.4), 
4),
F78 = "QB", _xludf.IFS(
AND(H78 &gt;= 0, H78 &lt; 2.95), 1,
AND(H78 &gt;= 2.95, H78 &lt; 5.4), 2,
AND(H78 &gt;= 5.4, H78 &lt; 7.2), 3,
AND(H78 &gt;= 7.2, H78 &lt;= 12.3), 
4),
F78 = "TE", _xludf.IFS(
AND(H78 &gt;= 0, H78 &lt; 3), 1,
AND(H78 &gt;= 3, H78 &lt; 4.8), 2,
AND(H78 &gt;= 4.8, H78 &lt; 8.525), 3,
AND(H78 &gt;= 8.525, H78 &lt;= 24.6), 
4)
)</f>
        <v/>
      </c>
    </row>
    <row r="78" ht="13" customHeight="1" s="54">
      <c r="C78">
        <f>IF(COUNTIF(Keeper!B:B,D78)&gt;0,"x","")</f>
        <v/>
      </c>
      <c r="D78" s="40">
        <f>Fantasypro!C75</f>
        <v/>
      </c>
      <c r="E78" s="40">
        <f>Fantasypro!D75</f>
        <v/>
      </c>
      <c r="F78">
        <f>Fantasypro!K75</f>
        <v/>
      </c>
      <c r="G78" s="39">
        <f>Fantasypro!H75</f>
        <v/>
      </c>
      <c r="H78" s="39">
        <f>Fantasypro!I75</f>
        <v/>
      </c>
      <c r="I78" s="51">
        <f>_xludf.IFS(
F79 = "RB", _xludf.IFS(
AND(H79 &gt;= 0, H79 &lt; 2.55), 1,
AND(H79 &gt;= 2.55, H79 &lt; 4.7), 2,
AND(H79 &gt;= 4.7, H79 &lt; 8.4), 3,
AND(H79 &gt;= 8.4, H79 &lt;= 36), 
4),
F79 = "WR", _xludf.IFS(
AND(H79 &gt;= 0, H79 &lt; 2.55), 1,
AND(H79 &gt;= 2.55, H79 &lt; 4.2), 2,
AND(H79 &gt;= 4.2, H79 &lt; 8.55), 3,
AND(H79 &gt;= 8.55, H79 &lt;= 24.4), 
4),
F79 = "QB", _xludf.IFS(
AND(H79 &gt;= 0, H79 &lt; 2.95), 1,
AND(H79 &gt;= 2.95, H79 &lt; 5.4), 2,
AND(H79 &gt;= 5.4, H79 &lt; 7.2), 3,
AND(H79 &gt;= 7.2, H79 &lt;= 12.3), 
4),
F79 = "TE", _xludf.IFS(
AND(H79 &gt;= 0, H79 &lt; 3), 1,
AND(H79 &gt;= 3, H79 &lt; 4.8), 2,
AND(H79 &gt;= 4.8, H79 &lt; 8.525), 3,
AND(H79 &gt;= 8.525, H79 &lt;= 24.6), 
4)
)</f>
        <v/>
      </c>
    </row>
    <row r="79" ht="13" customHeight="1" s="54">
      <c r="A79" s="26" t="inlineStr">
        <is>
          <t>Roschon Johnson</t>
        </is>
      </c>
      <c r="C79">
        <f>IF(COUNTIF(Keeper!B:B,D79)&gt;0,"x","")</f>
        <v/>
      </c>
      <c r="D79" s="40">
        <f>Fantasypro!C76</f>
        <v/>
      </c>
      <c r="E79" s="40">
        <f>Fantasypro!D76</f>
        <v/>
      </c>
      <c r="F79">
        <f>Fantasypro!K76</f>
        <v/>
      </c>
      <c r="G79" s="39">
        <f>Fantasypro!H76</f>
        <v/>
      </c>
      <c r="H79" s="39">
        <f>Fantasypro!I76</f>
        <v/>
      </c>
      <c r="I79" s="51">
        <f>_xludf.IFS(
F80 = "RB", _xludf.IFS(
AND(H80 &gt;= 0, H80 &lt; 2.55), 1,
AND(H80 &gt;= 2.55, H80 &lt; 4.7), 2,
AND(H80 &gt;= 4.7, H80 &lt; 8.4), 3,
AND(H80 &gt;= 8.4, H80 &lt;= 36), 
4),
F80 = "WR", _xludf.IFS(
AND(H80 &gt;= 0, H80 &lt; 2.55), 1,
AND(H80 &gt;= 2.55, H80 &lt; 4.2), 2,
AND(H80 &gt;= 4.2, H80 &lt; 8.55), 3,
AND(H80 &gt;= 8.55, H80 &lt;= 24.4), 
4),
F80 = "QB", _xludf.IFS(
AND(H80 &gt;= 0, H80 &lt; 2.95), 1,
AND(H80 &gt;= 2.95, H80 &lt; 5.4), 2,
AND(H80 &gt;= 5.4, H80 &lt; 7.2), 3,
AND(H80 &gt;= 7.2, H80 &lt;= 12.3), 
4),
F80 = "TE", _xludf.IFS(
AND(H80 &gt;= 0, H80 &lt; 3), 1,
AND(H80 &gt;= 3, H80 &lt; 4.8), 2,
AND(H80 &gt;= 4.8, H80 &lt; 8.525), 3,
AND(H80 &gt;= 8.525, H80 &lt;= 24.6), 
4)
)</f>
        <v/>
      </c>
    </row>
    <row r="80" ht="13" customHeight="1" s="54">
      <c r="C80">
        <f>IF(COUNTIF(Keeper!B:B,D80)&gt;0,"x","")</f>
        <v/>
      </c>
      <c r="D80" s="40">
        <f>Fantasypro!C77</f>
        <v/>
      </c>
      <c r="E80" s="40">
        <f>Fantasypro!D77</f>
        <v/>
      </c>
      <c r="F80">
        <f>Fantasypro!K77</f>
        <v/>
      </c>
      <c r="G80" s="39">
        <f>Fantasypro!H77</f>
        <v/>
      </c>
      <c r="H80" s="39">
        <f>Fantasypro!I77</f>
        <v/>
      </c>
      <c r="I80" s="51">
        <f>_xludf.IFS(
F81 = "RB", _xludf.IFS(
AND(H81 &gt;= 0, H81 &lt; 2.55), 1,
AND(H81 &gt;= 2.55, H81 &lt; 4.7), 2,
AND(H81 &gt;= 4.7, H81 &lt; 8.4), 3,
AND(H81 &gt;= 8.4, H81 &lt;= 36), 
4),
F81 = "WR", _xludf.IFS(
AND(H81 &gt;= 0, H81 &lt; 2.55), 1,
AND(H81 &gt;= 2.55, H81 &lt; 4.2), 2,
AND(H81 &gt;= 4.2, H81 &lt; 8.55), 3,
AND(H81 &gt;= 8.55, H81 &lt;= 24.4), 
4),
F81 = "QB", _xludf.IFS(
AND(H81 &gt;= 0, H81 &lt; 2.95), 1,
AND(H81 &gt;= 2.95, H81 &lt; 5.4), 2,
AND(H81 &gt;= 5.4, H81 &lt; 7.2), 3,
AND(H81 &gt;= 7.2, H81 &lt;= 12.3), 
4),
F81 = "TE", _xludf.IFS(
AND(H81 &gt;= 0, H81 &lt; 3), 1,
AND(H81 &gt;= 3, H81 &lt; 4.8), 2,
AND(H81 &gt;= 4.8, H81 &lt; 8.525), 3,
AND(H81 &gt;= 8.525, H81 &lt;= 24.6), 
4)
)</f>
        <v/>
      </c>
    </row>
    <row r="81" ht="13" customHeight="1" s="54">
      <c r="C81">
        <f>IF(COUNTIF(Keeper!B:B,D81)&gt;0,"x","")</f>
        <v/>
      </c>
      <c r="D81" s="40">
        <f>Fantasypro!C78</f>
        <v/>
      </c>
      <c r="E81" s="40">
        <f>Fantasypro!D78</f>
        <v/>
      </c>
      <c r="F81">
        <f>Fantasypro!K78</f>
        <v/>
      </c>
      <c r="G81" s="39">
        <f>Fantasypro!H78</f>
        <v/>
      </c>
      <c r="H81" s="39">
        <f>Fantasypro!I78</f>
        <v/>
      </c>
      <c r="I81" s="51">
        <f>_xludf.IFS(
F82 = "RB", _xludf.IFS(
AND(H82 &gt;= 0, H82 &lt; 2.55), 1,
AND(H82 &gt;= 2.55, H82 &lt; 4.7), 2,
AND(H82 &gt;= 4.7, H82 &lt; 8.4), 3,
AND(H82 &gt;= 8.4, H82 &lt;= 36), 
4),
F82 = "WR", _xludf.IFS(
AND(H82 &gt;= 0, H82 &lt; 2.55), 1,
AND(H82 &gt;= 2.55, H82 &lt; 4.2), 2,
AND(H82 &gt;= 4.2, H82 &lt; 8.55), 3,
AND(H82 &gt;= 8.55, H82 &lt;= 24.4), 
4),
F82 = "QB", _xludf.IFS(
AND(H82 &gt;= 0, H82 &lt; 2.95), 1,
AND(H82 &gt;= 2.95, H82 &lt; 5.4), 2,
AND(H82 &gt;= 5.4, H82 &lt; 7.2), 3,
AND(H82 &gt;= 7.2, H82 &lt;= 12.3), 
4),
F82 = "TE", _xludf.IFS(
AND(H82 &gt;= 0, H82 &lt; 3), 1,
AND(H82 &gt;= 3, H82 &lt; 4.8), 2,
AND(H82 &gt;= 4.8, H82 &lt; 8.525), 3,
AND(H82 &gt;= 8.525, H82 &lt;= 24.6), 
4)
)</f>
        <v/>
      </c>
    </row>
    <row r="82" ht="13" customHeight="1" s="54">
      <c r="C82">
        <f>IF(COUNTIF(Keeper!B:B,D82)&gt;0,"x","")</f>
        <v/>
      </c>
      <c r="D82" s="40">
        <f>Fantasypro!C79</f>
        <v/>
      </c>
      <c r="E82" s="40">
        <f>Fantasypro!D79</f>
        <v/>
      </c>
      <c r="F82">
        <f>Fantasypro!K79</f>
        <v/>
      </c>
      <c r="G82" s="39">
        <f>Fantasypro!H79</f>
        <v/>
      </c>
      <c r="H82" s="39">
        <f>Fantasypro!I79</f>
        <v/>
      </c>
      <c r="I82" s="51">
        <f>_xludf.IFS(
F83 = "RB", _xludf.IFS(
AND(H83 &gt;= 0, H83 &lt; 2.55), 1,
AND(H83 &gt;= 2.55, H83 &lt; 4.7), 2,
AND(H83 &gt;= 4.7, H83 &lt; 8.4), 3,
AND(H83 &gt;= 8.4, H83 &lt;= 36), 
4),
F83 = "WR", _xludf.IFS(
AND(H83 &gt;= 0, H83 &lt; 2.55), 1,
AND(H83 &gt;= 2.55, H83 &lt; 4.2), 2,
AND(H83 &gt;= 4.2, H83 &lt; 8.55), 3,
AND(H83 &gt;= 8.55, H83 &lt;= 24.4), 
4),
F83 = "QB", _xludf.IFS(
AND(H83 &gt;= 0, H83 &lt; 2.95), 1,
AND(H83 &gt;= 2.95, H83 &lt; 5.4), 2,
AND(H83 &gt;= 5.4, H83 &lt; 7.2), 3,
AND(H83 &gt;= 7.2, H83 &lt;= 12.3), 
4),
F83 = "TE", _xludf.IFS(
AND(H83 &gt;= 0, H83 &lt; 3), 1,
AND(H83 &gt;= 3, H83 &lt; 4.8), 2,
AND(H83 &gt;= 4.8, H83 &lt; 8.525), 3,
AND(H83 &gt;= 8.525, H83 &lt;= 24.6), 
4)
)</f>
        <v/>
      </c>
    </row>
    <row r="83" ht="13" customHeight="1" s="54">
      <c r="C83">
        <f>IF(COUNTIF(Keeper!B:B,D83)&gt;0,"x","")</f>
        <v/>
      </c>
      <c r="D83" s="40">
        <f>Fantasypro!C80</f>
        <v/>
      </c>
      <c r="E83" s="40">
        <f>Fantasypro!D80</f>
        <v/>
      </c>
      <c r="F83">
        <f>Fantasypro!K80</f>
        <v/>
      </c>
      <c r="G83" s="39">
        <f>Fantasypro!H80</f>
        <v/>
      </c>
      <c r="H83" s="39">
        <f>Fantasypro!I80</f>
        <v/>
      </c>
      <c r="I83" s="51">
        <f>_xludf.IFS(
F84 = "RB", _xludf.IFS(
AND(H84 &gt;= 0, H84 &lt; 2.55), 1,
AND(H84 &gt;= 2.55, H84 &lt; 4.7), 2,
AND(H84 &gt;= 4.7, H84 &lt; 8.4), 3,
AND(H84 &gt;= 8.4, H84 &lt;= 36), 
4),
F84 = "WR", _xludf.IFS(
AND(H84 &gt;= 0, H84 &lt; 2.55), 1,
AND(H84 &gt;= 2.55, H84 &lt; 4.2), 2,
AND(H84 &gt;= 4.2, H84 &lt; 8.55), 3,
AND(H84 &gt;= 8.55, H84 &lt;= 24.4), 
4),
F84 = "QB", _xludf.IFS(
AND(H84 &gt;= 0, H84 &lt; 2.95), 1,
AND(H84 &gt;= 2.95, H84 &lt; 5.4), 2,
AND(H84 &gt;= 5.4, H84 &lt; 7.2), 3,
AND(H84 &gt;= 7.2, H84 &lt;= 12.3), 
4),
F84 = "TE", _xludf.IFS(
AND(H84 &gt;= 0, H84 &lt; 3), 1,
AND(H84 &gt;= 3, H84 &lt; 4.8), 2,
AND(H84 &gt;= 4.8, H84 &lt; 8.525), 3,
AND(H84 &gt;= 8.525, H84 &lt;= 24.6), 
4)
)</f>
        <v/>
      </c>
    </row>
    <row r="84" ht="13" customHeight="1" s="54">
      <c r="C84">
        <f>IF(COUNTIF(Keeper!B:B,D84)&gt;0,"x","")</f>
        <v/>
      </c>
      <c r="D84" s="40">
        <f>Fantasypro!C81</f>
        <v/>
      </c>
      <c r="E84" s="40">
        <f>Fantasypro!D81</f>
        <v/>
      </c>
      <c r="F84">
        <f>Fantasypro!K81</f>
        <v/>
      </c>
      <c r="G84" s="39">
        <f>Fantasypro!H81</f>
        <v/>
      </c>
      <c r="H84" s="39">
        <f>Fantasypro!I81</f>
        <v/>
      </c>
      <c r="I84" s="51">
        <f>_xludf.IFS(
F85 = "RB", _xludf.IFS(
AND(H85 &gt;= 0, H85 &lt; 2.55), 1,
AND(H85 &gt;= 2.55, H85 &lt; 4.7), 2,
AND(H85 &gt;= 4.7, H85 &lt; 8.4), 3,
AND(H85 &gt;= 8.4, H85 &lt;= 36), 
4),
F85 = "WR", _xludf.IFS(
AND(H85 &gt;= 0, H85 &lt; 2.55), 1,
AND(H85 &gt;= 2.55, H85 &lt; 4.2), 2,
AND(H85 &gt;= 4.2, H85 &lt; 8.55), 3,
AND(H85 &gt;= 8.55, H85 &lt;= 24.4), 
4),
F85 = "QB", _xludf.IFS(
AND(H85 &gt;= 0, H85 &lt; 2.95), 1,
AND(H85 &gt;= 2.95, H85 &lt; 5.4), 2,
AND(H85 &gt;= 5.4, H85 &lt; 7.2), 3,
AND(H85 &gt;= 7.2, H85 &lt;= 12.3), 
4),
F85 = "TE", _xludf.IFS(
AND(H85 &gt;= 0, H85 &lt; 3), 1,
AND(H85 &gt;= 3, H85 &lt; 4.8), 2,
AND(H85 &gt;= 4.8, H85 &lt; 8.525), 3,
AND(H85 &gt;= 8.525, H85 &lt;= 24.6), 
4)
)</f>
        <v/>
      </c>
    </row>
    <row r="85" ht="13" customHeight="1" s="54">
      <c r="A85" s="26" t="inlineStr">
        <is>
          <t>Austin Ekeler</t>
        </is>
      </c>
      <c r="C85">
        <f>IF(COUNTIF(Keeper!B:B,D85)&gt;0,"x","")</f>
        <v/>
      </c>
      <c r="D85" s="40">
        <f>Fantasypro!C82</f>
        <v/>
      </c>
      <c r="E85" s="40">
        <f>Fantasypro!D82</f>
        <v/>
      </c>
      <c r="F85">
        <f>Fantasypro!K82</f>
        <v/>
      </c>
      <c r="G85" s="39">
        <f>Fantasypro!H82</f>
        <v/>
      </c>
      <c r="H85" s="39">
        <f>Fantasypro!I82</f>
        <v/>
      </c>
      <c r="I85" s="51">
        <f>_xludf.IFS(
F86 = "RB", _xludf.IFS(
AND(H86 &gt;= 0, H86 &lt; 2.55), 1,
AND(H86 &gt;= 2.55, H86 &lt; 4.7), 2,
AND(H86 &gt;= 4.7, H86 &lt; 8.4), 3,
AND(H86 &gt;= 8.4, H86 &lt;= 36), 
4),
F86 = "WR", _xludf.IFS(
AND(H86 &gt;= 0, H86 &lt; 2.55), 1,
AND(H86 &gt;= 2.55, H86 &lt; 4.2), 2,
AND(H86 &gt;= 4.2, H86 &lt; 8.55), 3,
AND(H86 &gt;= 8.55, H86 &lt;= 24.4), 
4),
F86 = "QB", _xludf.IFS(
AND(H86 &gt;= 0, H86 &lt; 2.95), 1,
AND(H86 &gt;= 2.95, H86 &lt; 5.4), 2,
AND(H86 &gt;= 5.4, H86 &lt; 7.2), 3,
AND(H86 &gt;= 7.2, H86 &lt;= 12.3), 
4),
F86 = "TE", _xludf.IFS(
AND(H86 &gt;= 0, H86 &lt; 3), 1,
AND(H86 &gt;= 3, H86 &lt; 4.8), 2,
AND(H86 &gt;= 4.8, H86 &lt; 8.525), 3,
AND(H86 &gt;= 8.525, H86 &lt;= 24.6), 
4)
)</f>
        <v/>
      </c>
    </row>
    <row r="86" ht="13" customHeight="1" s="54">
      <c r="A86" s="26" t="inlineStr">
        <is>
          <t>Jaylen Warren</t>
        </is>
      </c>
      <c r="C86">
        <f>IF(COUNTIF(Keeper!B:B,D86)&gt;0,"x","")</f>
        <v/>
      </c>
      <c r="D86" s="40">
        <f>Fantasypro!C83</f>
        <v/>
      </c>
      <c r="E86" s="40">
        <f>Fantasypro!D83</f>
        <v/>
      </c>
      <c r="F86">
        <f>Fantasypro!K83</f>
        <v/>
      </c>
      <c r="G86" s="39">
        <f>Fantasypro!H83</f>
        <v/>
      </c>
      <c r="H86" s="39">
        <f>Fantasypro!I83</f>
        <v/>
      </c>
      <c r="I86" s="51">
        <f>_xludf.IFS(
F87 = "RB", _xludf.IFS(
AND(H87 &gt;= 0, H87 &lt; 2.55), 1,
AND(H87 &gt;= 2.55, H87 &lt; 4.7), 2,
AND(H87 &gt;= 4.7, H87 &lt; 8.4), 3,
AND(H87 &gt;= 8.4, H87 &lt;= 36), 
4),
F87 = "WR", _xludf.IFS(
AND(H87 &gt;= 0, H87 &lt; 2.55), 1,
AND(H87 &gt;= 2.55, H87 &lt; 4.2), 2,
AND(H87 &gt;= 4.2, H87 &lt; 8.55), 3,
AND(H87 &gt;= 8.55, H87 &lt;= 24.4), 
4),
F87 = "QB", _xludf.IFS(
AND(H87 &gt;= 0, H87 &lt; 2.95), 1,
AND(H87 &gt;= 2.95, H87 &lt; 5.4), 2,
AND(H87 &gt;= 5.4, H87 &lt; 7.2), 3,
AND(H87 &gt;= 7.2, H87 &lt;= 12.3), 
4),
F87 = "TE", _xludf.IFS(
AND(H87 &gt;= 0, H87 &lt; 3), 1,
AND(H87 &gt;= 3, H87 &lt; 4.8), 2,
AND(H87 &gt;= 4.8, H87 &lt; 8.525), 3,
AND(H87 &gt;= 8.525, H87 &lt;= 24.6), 
4)
)</f>
        <v/>
      </c>
    </row>
    <row r="87" ht="13" customHeight="1" s="54">
      <c r="C87">
        <f>IF(COUNTIF(Keeper!B:B,D87)&gt;0,"x","")</f>
        <v/>
      </c>
      <c r="D87" s="40">
        <f>Fantasypro!C84</f>
        <v/>
      </c>
      <c r="E87" s="40">
        <f>Fantasypro!D84</f>
        <v/>
      </c>
      <c r="F87">
        <f>Fantasypro!K84</f>
        <v/>
      </c>
      <c r="G87" s="39">
        <f>Fantasypro!H84</f>
        <v/>
      </c>
      <c r="H87" s="39">
        <f>Fantasypro!I84</f>
        <v/>
      </c>
      <c r="I87" s="51">
        <f>_xludf.IFS(
F88 = "RB", _xludf.IFS(
AND(H88 &gt;= 0, H88 &lt; 2.55), 1,
AND(H88 &gt;= 2.55, H88 &lt; 4.7), 2,
AND(H88 &gt;= 4.7, H88 &lt; 8.4), 3,
AND(H88 &gt;= 8.4, H88 &lt;= 36), 
4),
F88 = "WR", _xludf.IFS(
AND(H88 &gt;= 0, H88 &lt; 2.55), 1,
AND(H88 &gt;= 2.55, H88 &lt; 4.2), 2,
AND(H88 &gt;= 4.2, H88 &lt; 8.55), 3,
AND(H88 &gt;= 8.55, H88 &lt;= 24.4), 
4),
F88 = "QB", _xludf.IFS(
AND(H88 &gt;= 0, H88 &lt; 2.95), 1,
AND(H88 &gt;= 2.95, H88 &lt; 5.4), 2,
AND(H88 &gt;= 5.4, H88 &lt; 7.2), 3,
AND(H88 &gt;= 7.2, H88 &lt;= 12.3), 
4),
F88 = "TE", _xludf.IFS(
AND(H88 &gt;= 0, H88 &lt; 3), 1,
AND(H88 &gt;= 3, H88 &lt; 4.8), 2,
AND(H88 &gt;= 4.8, H88 &lt; 8.525), 3,
AND(H88 &gt;= 8.525, H88 &lt;= 24.6), 
4)
)</f>
        <v/>
      </c>
    </row>
    <row r="88" ht="13" customHeight="1" s="54">
      <c r="C88">
        <f>IF(COUNTIF(Keeper!B:B,D88)&gt;0,"x","")</f>
        <v/>
      </c>
      <c r="D88" s="40">
        <f>Fantasypro!C85</f>
        <v/>
      </c>
      <c r="E88" s="40">
        <f>Fantasypro!D85</f>
        <v/>
      </c>
      <c r="F88">
        <f>Fantasypro!K85</f>
        <v/>
      </c>
      <c r="G88" s="39">
        <f>Fantasypro!H85</f>
        <v/>
      </c>
      <c r="H88" s="39">
        <f>Fantasypro!I85</f>
        <v/>
      </c>
      <c r="I88" s="51">
        <f>_xludf.IFS(
F89 = "RB", _xludf.IFS(
AND(H89 &gt;= 0, H89 &lt; 2.55), 1,
AND(H89 &gt;= 2.55, H89 &lt; 4.7), 2,
AND(H89 &gt;= 4.7, H89 &lt; 8.4), 3,
AND(H89 &gt;= 8.4, H89 &lt;= 36), 
4),
F89 = "WR", _xludf.IFS(
AND(H89 &gt;= 0, H89 &lt; 2.55), 1,
AND(H89 &gt;= 2.55, H89 &lt; 4.2), 2,
AND(H89 &gt;= 4.2, H89 &lt; 8.55), 3,
AND(H89 &gt;= 8.55, H89 &lt;= 24.4), 
4),
F89 = "QB", _xludf.IFS(
AND(H89 &gt;= 0, H89 &lt; 2.95), 1,
AND(H89 &gt;= 2.95, H89 &lt; 5.4), 2,
AND(H89 &gt;= 5.4, H89 &lt; 7.2), 3,
AND(H89 &gt;= 7.2, H89 &lt;= 12.3), 
4),
F89 = "TE", _xludf.IFS(
AND(H89 &gt;= 0, H89 &lt; 3), 1,
AND(H89 &gt;= 3, H89 &lt; 4.8), 2,
AND(H89 &gt;= 4.8, H89 &lt; 8.525), 3,
AND(H89 &gt;= 8.525, H89 &lt;= 24.6), 
4)
)</f>
        <v/>
      </c>
    </row>
    <row r="89" ht="13" customHeight="1" s="54">
      <c r="A89" s="26" t="inlineStr">
        <is>
          <t>Kaleb Johnson</t>
        </is>
      </c>
      <c r="C89">
        <f>IF(COUNTIF(Keeper!B:B,D89)&gt;0,"x","")</f>
        <v/>
      </c>
      <c r="D89" s="40">
        <f>Fantasypro!C86</f>
        <v/>
      </c>
      <c r="E89" s="40">
        <f>Fantasypro!D86</f>
        <v/>
      </c>
      <c r="F89">
        <f>Fantasypro!K86</f>
        <v/>
      </c>
      <c r="G89" s="39">
        <f>Fantasypro!H86</f>
        <v/>
      </c>
      <c r="H89" s="39">
        <f>Fantasypro!I86</f>
        <v/>
      </c>
      <c r="I89" s="51">
        <f>_xludf.IFS(
F90 = "RB", _xludf.IFS(
AND(H90 &gt;= 0, H90 &lt; 2.55), 1,
AND(H90 &gt;= 2.55, H90 &lt; 4.7), 2,
AND(H90 &gt;= 4.7, H90 &lt; 8.4), 3,
AND(H90 &gt;= 8.4, H90 &lt;= 36), 
4),
F90 = "WR", _xludf.IFS(
AND(H90 &gt;= 0, H90 &lt; 2.55), 1,
AND(H90 &gt;= 2.55, H90 &lt; 4.2), 2,
AND(H90 &gt;= 4.2, H90 &lt; 8.55), 3,
AND(H90 &gt;= 8.55, H90 &lt;= 24.4), 
4),
F90 = "QB", _xludf.IFS(
AND(H90 &gt;= 0, H90 &lt; 2.95), 1,
AND(H90 &gt;= 2.95, H90 &lt; 5.4), 2,
AND(H90 &gt;= 5.4, H90 &lt; 7.2), 3,
AND(H90 &gt;= 7.2, H90 &lt;= 12.3), 
4),
F90 = "TE", _xludf.IFS(
AND(H90 &gt;= 0, H90 &lt; 3), 1,
AND(H90 &gt;= 3, H90 &lt; 4.8), 2,
AND(H90 &gt;= 4.8, H90 &lt; 8.525), 3,
AND(H90 &gt;= 8.525, H90 &lt;= 24.6), 
4)
)</f>
        <v/>
      </c>
    </row>
    <row r="90" ht="13" customHeight="1" s="54">
      <c r="C90">
        <f>IF(COUNTIF(Keeper!B:B,D90)&gt;0,"x","")</f>
        <v/>
      </c>
      <c r="D90" s="40">
        <f>Fantasypro!C87</f>
        <v/>
      </c>
      <c r="E90" s="40">
        <f>Fantasypro!D87</f>
        <v/>
      </c>
      <c r="F90">
        <f>Fantasypro!K87</f>
        <v/>
      </c>
      <c r="G90" s="39">
        <f>Fantasypro!H87</f>
        <v/>
      </c>
      <c r="H90" s="39">
        <f>Fantasypro!I87</f>
        <v/>
      </c>
      <c r="I90" s="51">
        <f>_xludf.IFS(
F91 = "RB", _xludf.IFS(
AND(H91 &gt;= 0, H91 &lt; 2.55), 1,
AND(H91 &gt;= 2.55, H91 &lt; 4.7), 2,
AND(H91 &gt;= 4.7, H91 &lt; 8.4), 3,
AND(H91 &gt;= 8.4, H91 &lt;= 36), 
4),
F91 = "WR", _xludf.IFS(
AND(H91 &gt;= 0, H91 &lt; 2.55), 1,
AND(H91 &gt;= 2.55, H91 &lt; 4.2), 2,
AND(H91 &gt;= 4.2, H91 &lt; 8.55), 3,
AND(H91 &gt;= 8.55, H91 &lt;= 24.4), 
4),
F91 = "QB", _xludf.IFS(
AND(H91 &gt;= 0, H91 &lt; 2.95), 1,
AND(H91 &gt;= 2.95, H91 &lt; 5.4), 2,
AND(H91 &gt;= 5.4, H91 &lt; 7.2), 3,
AND(H91 &gt;= 7.2, H91 &lt;= 12.3), 
4),
F91 = "TE", _xludf.IFS(
AND(H91 &gt;= 0, H91 &lt; 3), 1,
AND(H91 &gt;= 3, H91 &lt; 4.8), 2,
AND(H91 &gt;= 4.8, H91 &lt; 8.525), 3,
AND(H91 &gt;= 8.525, H91 &lt;= 24.6), 
4)
)</f>
        <v/>
      </c>
    </row>
    <row r="91" ht="13" customHeight="1" s="54">
      <c r="C91">
        <f>IF(COUNTIF(Keeper!B:B,D91)&gt;0,"x","")</f>
        <v/>
      </c>
      <c r="D91" s="40">
        <f>Fantasypro!C88</f>
        <v/>
      </c>
      <c r="E91" s="40">
        <f>Fantasypro!D88</f>
        <v/>
      </c>
      <c r="F91">
        <f>Fantasypro!K88</f>
        <v/>
      </c>
      <c r="G91" s="39">
        <f>Fantasypro!H88</f>
        <v/>
      </c>
      <c r="H91" s="39">
        <f>Fantasypro!I88</f>
        <v/>
      </c>
      <c r="I91" s="51" t="n">
        <v>3</v>
      </c>
    </row>
    <row r="92" ht="13" customHeight="1" s="54">
      <c r="C92">
        <f>IF(COUNTIF(Keeper!B:B,D92)&gt;0,"x","")</f>
        <v/>
      </c>
      <c r="D92" s="40">
        <f>Fantasypro!C90</f>
        <v/>
      </c>
      <c r="E92" s="40">
        <f>Fantasypro!D90</f>
        <v/>
      </c>
      <c r="F92">
        <f>Fantasypro!K90</f>
        <v/>
      </c>
      <c r="G92" s="39">
        <f>Fantasypro!H90</f>
        <v/>
      </c>
      <c r="H92" s="39">
        <f>Fantasypro!I90</f>
        <v/>
      </c>
      <c r="I92" s="51">
        <f>_xludf.IFS(
  F93 = "RB", _xludf.IFS(
    AND(H93 &gt;= 0, H93 &lt; 2.55), 1,
    AND(H93 &gt;= 2.55, H93 &lt; 4.7), 2,
    AND(H93 &gt;= 4.7, H93 &lt; 8.4), 3,
    AND(H93 &gt;= 8.4, H93 &lt;= 36), 4
  ),
  F93 = "WR", _xludf.IFS(
    AND(H93 &gt;= 0, H93 &lt; 2.55), 1,
    AND(H93 &gt;= 2.55, H93 &lt; 4.2), 2,
    AND(H93 &gt;= 4.2, H93 &lt; 8.55), 3,
    AND(H93 &gt;= 8.55, H93 &lt;= 24.4), 4
  ),
  F93 = "QB", _xludf.IFS(
    AND(H93 &gt;= 0, H93 &lt; 2.95), 1,
    AND(H93 &gt;= 2.95, H93 &lt; 5.4), 2,
    AND(H93 &gt;= 5.4, H93 &lt; 7.2), 3,
    AND(H93 &gt;= 7.2, H93 &lt;= 12.3), 4
  ),
  F93 = "TE", _xludf.IFS(
    AND(H93 &gt;= 0, H93 &lt; 3), 1,
    AND(H93 &gt;= 3, H93 &lt; 4.8), 2,
    AND(H93 &gt;= 4.8, H93 &lt; 8.525), 3,
    AND(H93 &gt;= 8.525, H93 &lt;= 24.6), 4
  )
)</f>
        <v/>
      </c>
    </row>
    <row r="93" ht="13" customHeight="1" s="54">
      <c r="A93" s="26" t="n"/>
      <c r="C93">
        <f>IF(COUNTIF(Keeper!B:B,D93)&gt;0,"x","")</f>
        <v/>
      </c>
      <c r="D93" s="40">
        <f>Fantasypro!C91</f>
        <v/>
      </c>
      <c r="E93" s="40">
        <f>Fantasypro!D91</f>
        <v/>
      </c>
      <c r="F93">
        <f>Fantasypro!K91</f>
        <v/>
      </c>
      <c r="G93" s="39">
        <f>Fantasypro!H91</f>
        <v/>
      </c>
      <c r="H93" s="39">
        <f>Fantasypro!I91</f>
        <v/>
      </c>
      <c r="I93" s="51">
        <f>_xludf.IFS(
F94 = "RB", _xludf.IFS(
AND(H94 &gt;= 0, H94 &lt; 2.55), 1,
AND(H94 &gt;= 2.55, H94 &lt; 4.7), 2,
AND(H94 &gt;= 4.7, H94 &lt; 8.4), 3,
AND(H94 &gt;= 8.4, H94 &lt;= 36), 
4),
F94 = "WR", _xludf.IFS(
AND(H94 &gt;= 0, H94 &lt; 2.55), 1,
AND(H94 &gt;= 2.55, H94 &lt; 4.2), 2,
AND(H94 &gt;= 4.2, H94 &lt; 8.55), 3,
AND(H94 &gt;= 8.55, H94 &lt;= 24.4), 
4),
F94 = "QB", _xludf.IFS(
AND(H94 &gt;= 0, H94 &lt; 2.95), 1,
AND(H94 &gt;= 2.95, H94 &lt; 5.4), 2,
AND(H94 &gt;= 5.4, H94 &lt; 7.2), 3,
AND(H94 &gt;= 7.2, H94 &lt;= 12.3), 
4),
F94 = "TE", _xludf.IFS(
AND(H94 &gt;= 0, H94 &lt; 3), 1,
AND(H94 &gt;= 3, H94 &lt; 4.8), 2,
AND(H94 &gt;= 4.8, H94 &lt; 8.525), 3,
AND(H94 &gt;= 8.525, H94 &lt;= 24.6), 
4)
)</f>
        <v/>
      </c>
    </row>
    <row r="94" ht="13" customHeight="1" s="54">
      <c r="C94">
        <f>IF(COUNTIF(Keeper!B:B,D94)&gt;0,"x","")</f>
        <v/>
      </c>
      <c r="D94" s="40">
        <f>Fantasypro!C92</f>
        <v/>
      </c>
      <c r="E94" s="40">
        <f>Fantasypro!D92</f>
        <v/>
      </c>
      <c r="F94">
        <f>Fantasypro!K92</f>
        <v/>
      </c>
      <c r="G94" s="39">
        <f>Fantasypro!H92</f>
        <v/>
      </c>
      <c r="H94" s="39">
        <f>Fantasypro!I92</f>
        <v/>
      </c>
      <c r="I94" s="51">
        <f>_xludf.IFS(
F95 = "RB", _xludf.IFS(
AND(H95 &gt;= 0, H95 &lt; 2.55), 1,
AND(H95 &gt;= 2.55, H95 &lt; 4.7), 2,
AND(H95 &gt;= 4.7, H95 &lt; 8.4), 3,
AND(H95 &gt;= 8.4, H95 &lt;= 36), 
4),
F95 = "WR", _xludf.IFS(
AND(H95 &gt;= 0, H95 &lt; 2.55), 1,
AND(H95 &gt;= 2.55, H95 &lt; 4.2), 2,
AND(H95 &gt;= 4.2, H95 &lt; 8.55), 3,
AND(H95 &gt;= 8.55, H95 &lt;= 24.4), 
4),
F95 = "QB", _xludf.IFS(
AND(H95 &gt;= 0, H95 &lt; 2.95), 1,
AND(H95 &gt;= 2.95, H95 &lt; 5.4), 2,
AND(H95 &gt;= 5.4, H95 &lt; 7.2), 3,
AND(H95 &gt;= 7.2, H95 &lt;= 12.3), 
4),
F95 = "TE", _xludf.IFS(
AND(H95 &gt;= 0, H95 &lt; 3), 1,
AND(H95 &gt;= 3, H95 &lt; 4.8), 2,
AND(H95 &gt;= 4.8, H95 &lt; 8.525), 3,
AND(H95 &gt;= 8.525, H95 &lt;= 24.6), 
4)
)</f>
        <v/>
      </c>
    </row>
    <row r="95" ht="13" customHeight="1" s="54">
      <c r="A95" s="26" t="n"/>
      <c r="C95">
        <f>IF(COUNTIF(Keeper!B:B,D95)&gt;0,"x","")</f>
        <v/>
      </c>
      <c r="D95" s="40">
        <f>Fantasypro!C93</f>
        <v/>
      </c>
      <c r="E95" s="40">
        <f>Fantasypro!D93</f>
        <v/>
      </c>
      <c r="F95">
        <f>Fantasypro!K93</f>
        <v/>
      </c>
      <c r="G95" s="39">
        <f>Fantasypro!H93</f>
        <v/>
      </c>
      <c r="H95" s="39">
        <f>Fantasypro!I93</f>
        <v/>
      </c>
      <c r="I95" s="51">
        <f>_xludf.IFS(
F96 = "RB", _xludf.IFS(
AND(H96 &gt;= 0, H96 &lt; 2.55), 1,
AND(H96 &gt;= 2.55, H96 &lt; 4.7), 2,
AND(H96 &gt;= 4.7, H96 &lt; 8.4), 3,
AND(H96 &gt;= 8.4, H96 &lt;= 36), 
4),
F96 = "WR", _xludf.IFS(
AND(H96 &gt;= 0, H96 &lt; 2.55), 1,
AND(H96 &gt;= 2.55, H96 &lt; 4.2), 2,
AND(H96 &gt;= 4.2, H96 &lt; 8.55), 3,
AND(H96 &gt;= 8.55, H96 &lt;= 24.4), 
4),
F96 = "QB", _xludf.IFS(
AND(H96 &gt;= 0, H96 &lt; 2.95), 1,
AND(H96 &gt;= 2.95, H96 &lt; 5.4), 2,
AND(H96 &gt;= 5.4, H96 &lt; 7.2), 3,
AND(H96 &gt;= 7.2, H96 &lt;= 12.3), 
4),
F96 = "TE", _xludf.IFS(
AND(H96 &gt;= 0, H96 &lt; 3), 1,
AND(H96 &gt;= 3, H96 &lt; 4.8), 2,
AND(H96 &gt;= 4.8, H96 &lt; 8.525), 3,
AND(H96 &gt;= 8.525, H96 &lt;= 24.6), 
4)
)</f>
        <v/>
      </c>
    </row>
    <row r="96" ht="13" customHeight="1" s="54">
      <c r="C96">
        <f>IF(COUNTIF(Keeper!B:B,D96)&gt;0,"x","")</f>
        <v/>
      </c>
      <c r="D96" s="40">
        <f>Fantasypro!C94</f>
        <v/>
      </c>
      <c r="E96" s="40">
        <f>Fantasypro!D94</f>
        <v/>
      </c>
      <c r="F96">
        <f>Fantasypro!K94</f>
        <v/>
      </c>
      <c r="G96" s="39">
        <f>Fantasypro!H94</f>
        <v/>
      </c>
      <c r="H96" s="39">
        <f>Fantasypro!I94</f>
        <v/>
      </c>
      <c r="I96" s="51">
        <f>_xludf.IFS(
F97 = "RB", _xludf.IFS(
AND(H97 &gt;= 0, H97 &lt; 2.55), 1,
AND(H97 &gt;= 2.55, H97 &lt; 4.7), 2,
AND(H97 &gt;= 4.7, H97 &lt; 8.4), 3,
AND(H97 &gt;= 8.4, H97 &lt;= 36), 
4),
F97 = "WR", _xludf.IFS(
AND(H97 &gt;= 0, H97 &lt; 2.55), 1,
AND(H97 &gt;= 2.55, H97 &lt; 4.2), 2,
AND(H97 &gt;= 4.2, H97 &lt; 8.55), 3,
AND(H97 &gt;= 8.55, H97 &lt;= 24.4), 
4),
F97 = "QB", _xludf.IFS(
AND(H97 &gt;= 0, H97 &lt; 2.95), 1,
AND(H97 &gt;= 2.95, H97 &lt; 5.4), 2,
AND(H97 &gt;= 5.4, H97 &lt; 7.2), 3,
AND(H97 &gt;= 7.2, H97 &lt;= 12.3), 
4),
F97 = "TE", _xludf.IFS(
AND(H97 &gt;= 0, H97 &lt; 3), 1,
AND(H97 &gt;= 3, H97 &lt; 4.8), 2,
AND(H97 &gt;= 4.8, H97 &lt; 8.525), 3,
AND(H97 &gt;= 8.525, H97 &lt;= 24.6), 
4)
)</f>
        <v/>
      </c>
    </row>
    <row r="97" ht="13" customHeight="1" s="54">
      <c r="C97">
        <f>IF(COUNTIF(Keeper!B:B,D97)&gt;0,"x","")</f>
        <v/>
      </c>
      <c r="D97" s="40">
        <f>Fantasypro!C95</f>
        <v/>
      </c>
      <c r="E97" s="40">
        <f>Fantasypro!D95</f>
        <v/>
      </c>
      <c r="F97">
        <f>Fantasypro!K95</f>
        <v/>
      </c>
      <c r="G97" s="39">
        <f>Fantasypro!H95</f>
        <v/>
      </c>
      <c r="H97" s="39">
        <f>Fantasypro!I95</f>
        <v/>
      </c>
      <c r="I97" s="51">
        <f>_xludf.IFS(
F98 = "RB", _xludf.IFS(
AND(H98 &gt;= 0, H98 &lt; 2.55), 1,
AND(H98 &gt;= 2.55, H98 &lt; 4.7), 2,
AND(H98 &gt;= 4.7, H98 &lt; 8.4), 3,
AND(H98 &gt;= 8.4, H98 &lt;= 36), 
4),
F98 = "WR", _xludf.IFS(
AND(H98 &gt;= 0, H98 &lt; 2.55), 1,
AND(H98 &gt;= 2.55, H98 &lt; 4.2), 2,
AND(H98 &gt;= 4.2, H98 &lt; 8.55), 3,
AND(H98 &gt;= 8.55, H98 &lt;= 24.4), 
4),
F98 = "QB", _xludf.IFS(
AND(H98 &gt;= 0, H98 &lt; 2.95), 1,
AND(H98 &gt;= 2.95, H98 &lt; 5.4), 2,
AND(H98 &gt;= 5.4, H98 &lt; 7.2), 3,
AND(H98 &gt;= 7.2, H98 &lt;= 12.3), 
4),
F98 = "TE", _xludf.IFS(
AND(H98 &gt;= 0, H98 &lt; 3), 1,
AND(H98 &gt;= 3, H98 &lt; 4.8), 2,
AND(H98 &gt;= 4.8, H98 &lt; 8.525), 3,
AND(H98 &gt;= 8.525, H98 &lt;= 24.6), 
4)
)</f>
        <v/>
      </c>
    </row>
    <row r="98" ht="13" customHeight="1" s="54">
      <c r="C98">
        <f>IF(COUNTIF(Keeper!B:B,D98)&gt;0,"x","")</f>
        <v/>
      </c>
      <c r="D98" s="40">
        <f>Fantasypro!C96</f>
        <v/>
      </c>
      <c r="E98" s="40">
        <f>Fantasypro!D96</f>
        <v/>
      </c>
      <c r="F98">
        <f>Fantasypro!K96</f>
        <v/>
      </c>
      <c r="G98" s="39">
        <f>Fantasypro!H96</f>
        <v/>
      </c>
      <c r="H98" s="39">
        <f>Fantasypro!I96</f>
        <v/>
      </c>
      <c r="I98" s="51">
        <f>_xludf.IFS(
F99 = "RB", _xludf.IFS(
AND(H99 &gt;= 0, H99 &lt; 2.55), 1,
AND(H99 &gt;= 2.55, H99 &lt; 4.7), 2,
AND(H99 &gt;= 4.7, H99 &lt; 8.4), 3,
AND(H99 &gt;= 8.4, H99 &lt;= 36), 
4),
F99 = "WR", _xludf.IFS(
AND(H99 &gt;= 0, H99 &lt; 2.55), 1,
AND(H99 &gt;= 2.55, H99 &lt; 4.2), 2,
AND(H99 &gt;= 4.2, H99 &lt; 8.55), 3,
AND(H99 &gt;= 8.55, H99 &lt;= 24.4), 
4),
F99 = "QB", _xludf.IFS(
AND(H99 &gt;= 0, H99 &lt; 2.95), 1,
AND(H99 &gt;= 2.95, H99 &lt; 5.4), 2,
AND(H99 &gt;= 5.4, H99 &lt; 7.2), 3,
AND(H99 &gt;= 7.2, H99 &lt;= 12.3), 
4),
F99 = "TE", _xludf.IFS(
AND(H99 &gt;= 0, H99 &lt; 3), 1,
AND(H99 &gt;= 3, H99 &lt; 4.8), 2,
AND(H99 &gt;= 4.8, H99 &lt; 8.525), 3,
AND(H99 &gt;= 8.525, H99 &lt;= 24.6), 
4)
)</f>
        <v/>
      </c>
    </row>
    <row r="99" ht="13" customHeight="1" s="54">
      <c r="C99">
        <f>IF(COUNTIF(Keeper!B:B,D99)&gt;0,"x","")</f>
        <v/>
      </c>
      <c r="D99" s="40">
        <f>Fantasypro!C97</f>
        <v/>
      </c>
      <c r="E99" s="40">
        <f>Fantasypro!D97</f>
        <v/>
      </c>
      <c r="F99">
        <f>Fantasypro!K97</f>
        <v/>
      </c>
      <c r="G99" s="39">
        <f>Fantasypro!H97</f>
        <v/>
      </c>
      <c r="H99" s="39">
        <f>Fantasypro!I97</f>
        <v/>
      </c>
      <c r="I99" s="51">
        <f>_xludf.IFS(
F100 = "RB", _xludf.IFS(
AND(H100 &gt;= 0, H100 &lt; 2.55), 1,
AND(H100 &gt;= 2.55, H100 &lt; 4.7), 2,
AND(H100 &gt;= 4.7, H100 &lt; 8.4), 3,
AND(H100 &gt;= 8.4, H100 &lt;= 36), 
4),
F100 = "WR", _xludf.IFS(
AND(H100 &gt;= 0, H100 &lt; 2.55), 1,
AND(H100 &gt;= 2.55, H100 &lt; 4.2), 2,
AND(H100 &gt;= 4.2, H100 &lt; 8.55), 3,
AND(H100 &gt;= 8.55, H100 &lt;= 24.4), 
4),
F100 = "QB", _xludf.IFS(
AND(H100 &gt;= 0, H100 &lt; 2.95), 1,
AND(H100 &gt;= 2.95, H100 &lt; 5.4), 2,
AND(H100 &gt;= 5.4, H100 &lt; 7.2), 3,
AND(H100 &gt;= 7.2, H100 &lt;= 12.3), 
4),
F100 = "TE", _xludf.IFS(
AND(H100 &gt;= 0, H100 &lt; 3), 1,
AND(H100 &gt;= 3, H100 &lt; 4.8), 2,
AND(H100 &gt;= 4.8, H100 &lt; 8.525), 3,
AND(H100 &gt;= 8.525, H100 &lt;= 24.6), 
4)
)</f>
        <v/>
      </c>
    </row>
    <row r="100" ht="13" customHeight="1" s="54">
      <c r="C100">
        <f>IF(COUNTIF(Keeper!B:B,D100)&gt;0,"x","")</f>
        <v/>
      </c>
      <c r="D100" s="40">
        <f>Fantasypro!C98</f>
        <v/>
      </c>
      <c r="E100" s="40">
        <f>Fantasypro!D98</f>
        <v/>
      </c>
      <c r="F100">
        <f>Fantasypro!K98</f>
        <v/>
      </c>
      <c r="G100" s="39">
        <f>Fantasypro!H98</f>
        <v/>
      </c>
      <c r="H100" s="39">
        <f>Fantasypro!I98</f>
        <v/>
      </c>
      <c r="I100" s="51">
        <f>_xludf.IFS(
F101 = "RB", _xludf.IFS(
AND(H101 &gt;= 0, H101 &lt; 2.55), 1,
AND(H101 &gt;= 2.55, H101 &lt; 4.7), 2,
AND(H101 &gt;= 4.7, H101 &lt; 8.4), 3,
AND(H101 &gt;= 8.4, H101 &lt;= 36), 
4),
F101 = "WR", _xludf.IFS(
AND(H101 &gt;= 0, H101 &lt; 2.55), 1,
AND(H101 &gt;= 2.55, H101 &lt; 4.2), 2,
AND(H101 &gt;= 4.2, H101 &lt; 8.55), 3,
AND(H101 &gt;= 8.55, H101 &lt;= 24.4), 
4),
F101 = "QB", _xludf.IFS(
AND(H101 &gt;= 0, H101 &lt; 2.95), 1,
AND(H101 &gt;= 2.95, H101 &lt; 5.4), 2,
AND(H101 &gt;= 5.4, H101 &lt; 7.2), 3,
AND(H101 &gt;= 7.2, H101 &lt;= 12.3), 
4),
F101 = "TE", _xludf.IFS(
AND(H101 &gt;= 0, H101 &lt; 3), 1,
AND(H101 &gt;= 3, H101 &lt; 4.8), 2,
AND(H101 &gt;= 4.8, H101 &lt; 8.525), 3,
AND(H101 &gt;= 8.525, H101 &lt;= 24.6), 
4)
)</f>
        <v/>
      </c>
    </row>
    <row r="101" ht="13" customHeight="1" s="54">
      <c r="C101">
        <f>IF(COUNTIF(Keeper!B:B,D101)&gt;0,"x","")</f>
        <v/>
      </c>
      <c r="D101" s="40">
        <f>Fantasypro!C99</f>
        <v/>
      </c>
      <c r="E101" s="40">
        <f>Fantasypro!D99</f>
        <v/>
      </c>
      <c r="F101">
        <f>Fantasypro!K99</f>
        <v/>
      </c>
      <c r="G101" s="39">
        <f>Fantasypro!H99</f>
        <v/>
      </c>
      <c r="H101" s="39">
        <f>Fantasypro!I99</f>
        <v/>
      </c>
      <c r="I101" s="51">
        <f>_xludf.IFS(
F102 = "RB", _xludf.IFS(
AND(H102 &gt;= 0, H102 &lt; 2.55), 1,
AND(H102 &gt;= 2.55, H102 &lt; 4.7), 2,
AND(H102 &gt;= 4.7, H102 &lt; 8.4), 3,
AND(H102 &gt;= 8.4, H102 &lt;= 36), 
4),
F102 = "WR", _xludf.IFS(
AND(H102 &gt;= 0, H102 &lt; 2.55), 1,
AND(H102 &gt;= 2.55, H102 &lt; 4.2), 2,
AND(H102 &gt;= 4.2, H102 &lt; 8.55), 3,
AND(H102 &gt;= 8.55, H102 &lt;= 24.4), 
4),
F102 = "QB", _xludf.IFS(
AND(H102 &gt;= 0, H102 &lt; 2.95), 1,
AND(H102 &gt;= 2.95, H102 &lt; 5.4), 2,
AND(H102 &gt;= 5.4, H102 &lt; 7.2), 3,
AND(H102 &gt;= 7.2, H102 &lt;= 12.3), 
4),
F102 = "TE", _xludf.IFS(
AND(H102 &gt;= 0, H102 &lt; 3), 1,
AND(H102 &gt;= 3, H102 &lt; 4.8), 2,
AND(H102 &gt;= 4.8, H102 &lt; 8.525), 3,
AND(H102 &gt;= 8.525, H102 &lt;= 24.6), 
4)
)</f>
        <v/>
      </c>
    </row>
    <row r="102" ht="13" customHeight="1" s="54">
      <c r="C102">
        <f>IF(COUNTIF(Keeper!B:B,D102)&gt;0,"x","")</f>
        <v/>
      </c>
      <c r="D102" s="40">
        <f>Fantasypro!C100</f>
        <v/>
      </c>
      <c r="E102" s="40">
        <f>Fantasypro!D100</f>
        <v/>
      </c>
      <c r="F102">
        <f>Fantasypro!K100</f>
        <v/>
      </c>
      <c r="G102" s="39">
        <f>Fantasypro!H100</f>
        <v/>
      </c>
      <c r="H102" s="39">
        <f>Fantasypro!I100</f>
        <v/>
      </c>
      <c r="I102" s="51">
        <f>_xludf.IFS(
F103 = "RB", _xludf.IFS(
AND(H103 &gt;= 0, H103 &lt; 2.55), 1,
AND(H103 &gt;= 2.55, H103 &lt; 4.7), 2,
AND(H103 &gt;= 4.7, H103 &lt; 8.4), 3,
AND(H103 &gt;= 8.4, H103 &lt;= 36), 
4),
F103 = "WR", _xludf.IFS(
AND(H103 &gt;= 0, H103 &lt; 2.55), 1,
AND(H103 &gt;= 2.55, H103 &lt; 4.2), 2,
AND(H103 &gt;= 4.2, H103 &lt; 8.55), 3,
AND(H103 &gt;= 8.55, H103 &lt;= 24.4), 
4),
F103 = "QB", _xludf.IFS(
AND(H103 &gt;= 0, H103 &lt; 2.95), 1,
AND(H103 &gt;= 2.95, H103 &lt; 5.4), 2,
AND(H103 &gt;= 5.4, H103 &lt; 7.2), 3,
AND(H103 &gt;= 7.2, H103 &lt;= 12.3), 
4),
F103 = "TE", _xludf.IFS(
AND(H103 &gt;= 0, H103 &lt; 3), 1,
AND(H103 &gt;= 3, H103 &lt; 4.8), 2,
AND(H103 &gt;= 4.8, H103 &lt; 8.525), 3,
AND(H103 &gt;= 8.525, H103 &lt;= 24.6), 
4)
)</f>
        <v/>
      </c>
    </row>
    <row r="103" ht="13" customHeight="1" s="54">
      <c r="C103">
        <f>IF(COUNTIF(Keeper!B:B,D103)&gt;0,"x","")</f>
        <v/>
      </c>
      <c r="D103" s="40">
        <f>Fantasypro!C101</f>
        <v/>
      </c>
      <c r="E103" s="40">
        <f>Fantasypro!D101</f>
        <v/>
      </c>
      <c r="F103">
        <f>Fantasypro!K101</f>
        <v/>
      </c>
      <c r="G103" s="39">
        <f>Fantasypro!H101</f>
        <v/>
      </c>
      <c r="H103" s="39">
        <f>Fantasypro!I101</f>
        <v/>
      </c>
      <c r="I103" s="51">
        <f>_xludf.IFS(
F104 = "RB", _xludf.IFS(
AND(H104 &gt;= 0, H104 &lt; 2.55), 1,
AND(H104 &gt;= 2.55, H104 &lt; 4.7), 2,
AND(H104 &gt;= 4.7, H104 &lt; 8.4), 3,
AND(H104 &gt;= 8.4, H104 &lt;= 36), 
4),
F104 = "WR", _xludf.IFS(
AND(H104 &gt;= 0, H104 &lt; 2.55), 1,
AND(H104 &gt;= 2.55, H104 &lt; 4.2), 2,
AND(H104 &gt;= 4.2, H104 &lt; 8.55), 3,
AND(H104 &gt;= 8.55, H104 &lt;= 24.4), 
4),
F104 = "QB", _xludf.IFS(
AND(H104 &gt;= 0, H104 &lt; 2.95), 1,
AND(H104 &gt;= 2.95, H104 &lt; 5.4), 2,
AND(H104 &gt;= 5.4, H104 &lt; 7.2), 3,
AND(H104 &gt;= 7.2, H104 &lt;= 12.3), 
4),
F104 = "TE", _xludf.IFS(
AND(H104 &gt;= 0, H104 &lt; 3), 1,
AND(H104 &gt;= 3, H104 &lt; 4.8), 2,
AND(H104 &gt;= 4.8, H104 &lt; 8.525), 3,
AND(H104 &gt;= 8.525, H104 &lt;= 24.6), 
4)
)</f>
        <v/>
      </c>
    </row>
    <row r="104" ht="13" customHeight="1" s="54">
      <c r="C104">
        <f>IF(COUNTIF(Keeper!B:B,D104)&gt;0,"x","")</f>
        <v/>
      </c>
      <c r="D104" s="40">
        <f>Fantasypro!C102</f>
        <v/>
      </c>
      <c r="E104" s="40">
        <f>Fantasypro!D102</f>
        <v/>
      </c>
      <c r="F104">
        <f>Fantasypro!K102</f>
        <v/>
      </c>
      <c r="G104" s="39">
        <f>Fantasypro!H102</f>
        <v/>
      </c>
      <c r="H104" s="39">
        <f>Fantasypro!I102</f>
        <v/>
      </c>
      <c r="I104" s="51">
        <f>_xludf.IFS(
F105 = "RB", _xludf.IFS(
AND(H105 &gt;= 0, H105 &lt; 2.55), 1,
AND(H105 &gt;= 2.55, H105 &lt; 4.7), 2,
AND(H105 &gt;= 4.7, H105 &lt; 8.4), 3,
AND(H105 &gt;= 8.4, H105 &lt;= 36), 
4),
F105 = "WR", _xludf.IFS(
AND(H105 &gt;= 0, H105 &lt; 2.55), 1,
AND(H105 &gt;= 2.55, H105 &lt; 4.2), 2,
AND(H105 &gt;= 4.2, H105 &lt; 8.55), 3,
AND(H105 &gt;= 8.55, H105 &lt;= 24.4), 
4),
F105 = "QB", _xludf.IFS(
AND(H105 &gt;= 0, H105 &lt; 2.95), 1,
AND(H105 &gt;= 2.95, H105 &lt; 5.4), 2,
AND(H105 &gt;= 5.4, H105 &lt; 7.2), 3,
AND(H105 &gt;= 7.2, H105 &lt;= 12.3), 
4),
F105 = "TE", _xludf.IFS(
AND(H105 &gt;= 0, H105 &lt; 3), 1,
AND(H105 &gt;= 3, H105 &lt; 4.8), 2,
AND(H105 &gt;= 4.8, H105 &lt; 8.525), 3,
AND(H105 &gt;= 8.525, H105 &lt;= 24.6), 
4)
)</f>
        <v/>
      </c>
    </row>
    <row r="105" ht="13" customHeight="1" s="54">
      <c r="C105">
        <f>IF(COUNTIF(Keeper!B:B,D105)&gt;0,"x","")</f>
        <v/>
      </c>
      <c r="D105" s="40">
        <f>Fantasypro!C103</f>
        <v/>
      </c>
      <c r="E105" s="40">
        <f>Fantasypro!D103</f>
        <v/>
      </c>
      <c r="F105">
        <f>Fantasypro!K103</f>
        <v/>
      </c>
      <c r="G105" s="39">
        <f>Fantasypro!H103</f>
        <v/>
      </c>
      <c r="H105" s="39">
        <f>Fantasypro!I103</f>
        <v/>
      </c>
      <c r="I105" s="51">
        <f>_xludf.IFS(
F106 = "RB", _xludf.IFS(
AND(H106 &gt;= 0, H106 &lt; 2.55), 1,
AND(H106 &gt;= 2.55, H106 &lt; 4.7), 2,
AND(H106 &gt;= 4.7, H106 &lt; 8.4), 3,
AND(H106 &gt;= 8.4, H106 &lt;= 36), 
4),
F106 = "WR", _xludf.IFS(
AND(H106 &gt;= 0, H106 &lt; 2.55), 1,
AND(H106 &gt;= 2.55, H106 &lt; 4.2), 2,
AND(H106 &gt;= 4.2, H106 &lt; 8.55), 3,
AND(H106 &gt;= 8.55, H106 &lt;= 24.4), 
4),
F106 = "QB", _xludf.IFS(
AND(H106 &gt;= 0, H106 &lt; 2.95), 1,
AND(H106 &gt;= 2.95, H106 &lt; 5.4), 2,
AND(H106 &gt;= 5.4, H106 &lt; 7.2), 3,
AND(H106 &gt;= 7.2, H106 &lt;= 12.3), 
4),
F106 = "TE", _xludf.IFS(
AND(H106 &gt;= 0, H106 &lt; 3), 1,
AND(H106 &gt;= 3, H106 &lt; 4.8), 2,
AND(H106 &gt;= 4.8, H106 &lt; 8.525), 3,
AND(H106 &gt;= 8.525, H106 &lt;= 24.6), 
4)
)</f>
        <v/>
      </c>
    </row>
    <row r="106" ht="13" customHeight="1" s="54">
      <c r="A106" s="26" t="inlineStr">
        <is>
          <t>Treveyon Henderson</t>
        </is>
      </c>
      <c r="C106">
        <f>IF(COUNTIF(Keeper!B:B,D106)&gt;0,"x","")</f>
        <v/>
      </c>
      <c r="D106" s="40">
        <f>Fantasypro!C104</f>
        <v/>
      </c>
      <c r="E106" s="40">
        <f>Fantasypro!D104</f>
        <v/>
      </c>
      <c r="F106">
        <f>Fantasypro!K104</f>
        <v/>
      </c>
      <c r="G106" s="39">
        <f>Fantasypro!H104</f>
        <v/>
      </c>
      <c r="H106" s="39">
        <f>Fantasypro!I104</f>
        <v/>
      </c>
      <c r="I106" s="51">
        <f>_xludf.IFS(
F107 = "RB", _xludf.IFS(
AND(H107 &gt;= 0, H107 &lt; 2.55), 1,
AND(H107 &gt;= 2.55, H107 &lt; 4.7), 2,
AND(H107 &gt;= 4.7, H107 &lt; 8.4), 3,
AND(H107 &gt;= 8.4, H107 &lt;= 36), 
4),
F107 = "WR", _xludf.IFS(
AND(H107 &gt;= 0, H107 &lt; 2.55), 1,
AND(H107 &gt;= 2.55, H107 &lt; 4.2), 2,
AND(H107 &gt;= 4.2, H107 &lt; 8.55), 3,
AND(H107 &gt;= 8.55, H107 &lt;= 24.4), 
4),
F107 = "QB", _xludf.IFS(
AND(H107 &gt;= 0, H107 &lt; 2.95), 1,
AND(H107 &gt;= 2.95, H107 &lt; 5.4), 2,
AND(H107 &gt;= 5.4, H107 &lt; 7.2), 3,
AND(H107 &gt;= 7.2, H107 &lt;= 12.3), 
4),
F107 = "TE", _xludf.IFS(
AND(H107 &gt;= 0, H107 &lt; 3), 1,
AND(H107 &gt;= 3, H107 &lt; 4.8), 2,
AND(H107 &gt;= 4.8, H107 &lt; 8.525), 3,
AND(H107 &gt;= 8.525, H107 &lt;= 24.6), 
4)
)</f>
        <v/>
      </c>
    </row>
    <row r="107" ht="13" customHeight="1" s="54">
      <c r="C107">
        <f>IF(COUNTIF(Keeper!B:B,D107)&gt;0,"x","")</f>
        <v/>
      </c>
      <c r="D107" s="40">
        <f>Fantasypro!C105</f>
        <v/>
      </c>
      <c r="E107" s="40">
        <f>Fantasypro!D105</f>
        <v/>
      </c>
      <c r="F107">
        <f>Fantasypro!K105</f>
        <v/>
      </c>
      <c r="G107" s="39">
        <f>Fantasypro!H105</f>
        <v/>
      </c>
      <c r="H107" s="39">
        <f>Fantasypro!I105</f>
        <v/>
      </c>
      <c r="I107" s="51">
        <f>_xludf.IFS(
F108 = "RB", _xludf.IFS(
AND(H108 &gt;= 0, H108 &lt; 2.55), 1,
AND(H108 &gt;= 2.55, H108 &lt; 4.7), 2,
AND(H108 &gt;= 4.7, H108 &lt; 8.4), 3,
AND(H108 &gt;= 8.4, H108 &lt;= 36), 
4),
F108 = "WR", _xludf.IFS(
AND(H108 &gt;= 0, H108 &lt; 2.55), 1,
AND(H108 &gt;= 2.55, H108 &lt; 4.2), 2,
AND(H108 &gt;= 4.2, H108 &lt; 8.55), 3,
AND(H108 &gt;= 8.55, H108 &lt;= 24.4), 
4),
F108 = "QB", _xludf.IFS(
AND(H108 &gt;= 0, H108 &lt; 2.95), 1,
AND(H108 &gt;= 2.95, H108 &lt; 5.4), 2,
AND(H108 &gt;= 5.4, H108 &lt; 7.2), 3,
AND(H108 &gt;= 7.2, H108 &lt;= 12.3), 
4),
F108 = "TE", _xludf.IFS(
AND(H108 &gt;= 0, H108 &lt; 3), 1,
AND(H108 &gt;= 3, H108 &lt; 4.8), 2,
AND(H108 &gt;= 4.8, H108 &lt; 8.525), 3,
AND(H108 &gt;= 8.525, H108 &lt;= 24.6), 
4)
)</f>
        <v/>
      </c>
    </row>
    <row r="108" ht="13" customHeight="1" s="54">
      <c r="C108">
        <f>IF(COUNTIF(Keeper!B:B,D108)&gt;0,"x","")</f>
        <v/>
      </c>
      <c r="D108" s="40">
        <f>Fantasypro!C106</f>
        <v/>
      </c>
      <c r="E108" s="40">
        <f>Fantasypro!D106</f>
        <v/>
      </c>
      <c r="F108">
        <f>Fantasypro!K106</f>
        <v/>
      </c>
      <c r="G108" s="39">
        <f>Fantasypro!H106</f>
        <v/>
      </c>
      <c r="H108" s="39">
        <f>Fantasypro!I106</f>
        <v/>
      </c>
      <c r="I108" s="51">
        <f>_xludf.IFS(
F109 = "RB", _xludf.IFS(
AND(H109 &gt;= 0, H109 &lt; 2.55), 1,
AND(H109 &gt;= 2.55, H109 &lt; 4.7), 2,
AND(H109 &gt;= 4.7, H109 &lt; 8.4), 3,
AND(H109 &gt;= 8.4, H109 &lt;= 36), 
4),
F109 = "WR", _xludf.IFS(
AND(H109 &gt;= 0, H109 &lt; 2.55), 1,
AND(H109 &gt;= 2.55, H109 &lt; 4.2), 2,
AND(H109 &gt;= 4.2, H109 &lt; 8.55), 3,
AND(H109 &gt;= 8.55, H109 &lt;= 24.4), 
4),
F109 = "QB", _xludf.IFS(
AND(H109 &gt;= 0, H109 &lt; 2.95), 1,
AND(H109 &gt;= 2.95, H109 &lt; 5.4), 2,
AND(H109 &gt;= 5.4, H109 &lt; 7.2), 3,
AND(H109 &gt;= 7.2, H109 &lt;= 12.3), 
4),
F109 = "TE", _xludf.IFS(
AND(H109 &gt;= 0, H109 &lt; 3), 1,
AND(H109 &gt;= 3, H109 &lt; 4.8), 2,
AND(H109 &gt;= 4.8, H109 &lt; 8.525), 3,
AND(H109 &gt;= 8.525, H109 &lt;= 24.6), 
4)
)</f>
        <v/>
      </c>
    </row>
    <row r="109" ht="13" customHeight="1" s="54">
      <c r="C109">
        <f>IF(COUNTIF(Keeper!B:B,D109)&gt;0,"x","")</f>
        <v/>
      </c>
      <c r="D109" s="40">
        <f>Fantasypro!C107</f>
        <v/>
      </c>
      <c r="E109" s="40">
        <f>Fantasypro!D107</f>
        <v/>
      </c>
      <c r="F109">
        <f>Fantasypro!K107</f>
        <v/>
      </c>
      <c r="G109" s="39">
        <f>Fantasypro!H107</f>
        <v/>
      </c>
      <c r="H109" s="39">
        <f>Fantasypro!I107</f>
        <v/>
      </c>
      <c r="I109" s="51">
        <f>_xludf.IFS(
F110 = "RB", _xludf.IFS(
AND(H110 &gt;= 0, H110 &lt; 2.55), 1,
AND(H110 &gt;= 2.55, H110 &lt; 4.7), 2,
AND(H110 &gt;= 4.7, H110 &lt; 8.4), 3,
AND(H110 &gt;= 8.4, H110 &lt;= 36), 
4),
F110 = "WR", _xludf.IFS(
AND(H110 &gt;= 0, H110 &lt; 2.55), 1,
AND(H110 &gt;= 2.55, H110 &lt; 4.2), 2,
AND(H110 &gt;= 4.2, H110 &lt; 8.55), 3,
AND(H110 &gt;= 8.55, H110 &lt;= 24.4), 
4),
F110 = "QB", _xludf.IFS(
AND(H110 &gt;= 0, H110 &lt; 2.95), 1,
AND(H110 &gt;= 2.95, H110 &lt; 5.4), 2,
AND(H110 &gt;= 5.4, H110 &lt; 7.2), 3,
AND(H110 &gt;= 7.2, H110 &lt;= 12.3), 
4),
F110 = "TE", _xludf.IFS(
AND(H110 &gt;= 0, H110 &lt; 3), 1,
AND(H110 &gt;= 3, H110 &lt; 4.8), 2,
AND(H110 &gt;= 4.8, H110 &lt; 8.525), 3,
AND(H110 &gt;= 8.525, H110 &lt;= 24.6), 
4)
)</f>
        <v/>
      </c>
    </row>
    <row r="110" ht="13" customHeight="1" s="54">
      <c r="C110">
        <f>IF(COUNTIF(Keeper!B:B,D110)&gt;0,"x","")</f>
        <v/>
      </c>
      <c r="D110" s="40">
        <f>Fantasypro!C108</f>
        <v/>
      </c>
      <c r="E110" s="40">
        <f>Fantasypro!D108</f>
        <v/>
      </c>
      <c r="F110">
        <f>Fantasypro!K108</f>
        <v/>
      </c>
      <c r="G110" s="39">
        <f>Fantasypro!H108</f>
        <v/>
      </c>
      <c r="H110" s="39">
        <f>Fantasypro!I108</f>
        <v/>
      </c>
      <c r="I110" s="51">
        <f>_xludf.IFS(
F111 = "RB", _xludf.IFS(
AND(H111 &gt;= 0, H111 &lt; 2.55), 1,
AND(H111 &gt;= 2.55, H111 &lt; 4.7), 2,
AND(H111 &gt;= 4.7, H111 &lt; 8.4), 3,
AND(H111 &gt;= 8.4, H111 &lt;= 36), 
4),
F111 = "WR", _xludf.IFS(
AND(H111 &gt;= 0, H111 &lt; 2.55), 1,
AND(H111 &gt;= 2.55, H111 &lt; 4.2), 2,
AND(H111 &gt;= 4.2, H111 &lt; 8.55), 3,
AND(H111 &gt;= 8.55, H111 &lt;= 24.4), 
4),
F111 = "QB", _xludf.IFS(
AND(H111 &gt;= 0, H111 &lt; 2.95), 1,
AND(H111 &gt;= 2.95, H111 &lt; 5.4), 2,
AND(H111 &gt;= 5.4, H111 &lt; 7.2), 3,
AND(H111 &gt;= 7.2, H111 &lt;= 12.3), 
4),
F111 = "TE", _xludf.IFS(
AND(H111 &gt;= 0, H111 &lt; 3), 1,
AND(H111 &gt;= 3, H111 &lt; 4.8), 2,
AND(H111 &gt;= 4.8, H111 &lt; 8.525), 3,
AND(H111 &gt;= 8.525, H111 &lt;= 24.6), 
4)
)</f>
        <v/>
      </c>
    </row>
    <row r="111" ht="13" customHeight="1" s="54">
      <c r="C111">
        <f>IF(COUNTIF(Keeper!B:B,D111)&gt;0,"x","")</f>
        <v/>
      </c>
      <c r="D111" s="40">
        <f>Fantasypro!C109</f>
        <v/>
      </c>
      <c r="E111" s="40">
        <f>Fantasypro!D109</f>
        <v/>
      </c>
      <c r="F111">
        <f>Fantasypro!K109</f>
        <v/>
      </c>
      <c r="G111" s="39">
        <f>Fantasypro!H109</f>
        <v/>
      </c>
      <c r="H111" s="39">
        <f>Fantasypro!I109</f>
        <v/>
      </c>
      <c r="I111" s="51">
        <f>_xludf.IFS(
F112 = "RB", _xludf.IFS(
AND(H112 &gt;= 0, H112 &lt; 2.55), 1,
AND(H112 &gt;= 2.55, H112 &lt; 4.7), 2,
AND(H112 &gt;= 4.7, H112 &lt; 8.4), 3,
AND(H112 &gt;= 8.4, H112 &lt;= 36), 
4),
F112 = "WR", _xludf.IFS(
AND(H112 &gt;= 0, H112 &lt; 2.55), 1,
AND(H112 &gt;= 2.55, H112 &lt; 4.2), 2,
AND(H112 &gt;= 4.2, H112 &lt; 8.55), 3,
AND(H112 &gt;= 8.55, H112 &lt;= 24.4), 
4),
F112 = "QB", _xludf.IFS(
AND(H112 &gt;= 0, H112 &lt; 2.95), 1,
AND(H112 &gt;= 2.95, H112 &lt; 5.4), 2,
AND(H112 &gt;= 5.4, H112 &lt; 7.2), 3,
AND(H112 &gt;= 7.2, H112 &lt;= 12.3), 
4),
F112 = "TE", _xludf.IFS(
AND(H112 &gt;= 0, H112 &lt; 3), 1,
AND(H112 &gt;= 3, H112 &lt; 4.8), 2,
AND(H112 &gt;= 4.8, H112 &lt; 8.525), 3,
AND(H112 &gt;= 8.525, H112 &lt;= 24.6), 
4)
)</f>
        <v/>
      </c>
    </row>
    <row r="112" ht="13" customHeight="1" s="54">
      <c r="C112">
        <f>IF(COUNTIF(Keeper!B:B,D112)&gt;0,"x","")</f>
        <v/>
      </c>
      <c r="D112" s="40">
        <f>Fantasypro!C110</f>
        <v/>
      </c>
      <c r="E112" s="40">
        <f>Fantasypro!D110</f>
        <v/>
      </c>
      <c r="F112">
        <f>Fantasypro!K110</f>
        <v/>
      </c>
      <c r="G112" s="39">
        <f>Fantasypro!H110</f>
        <v/>
      </c>
      <c r="H112" s="39">
        <f>Fantasypro!I110</f>
        <v/>
      </c>
      <c r="I112" s="51">
        <f>_xludf.IFS(
F113 = "RB", _xludf.IFS(
AND(H113 &gt;= 0, H113 &lt; 2.55), 1,
AND(H113 &gt;= 2.55, H113 &lt; 4.7), 2,
AND(H113 &gt;= 4.7, H113 &lt; 8.4), 3,
AND(H113 &gt;= 8.4, H113 &lt;= 36), 
4),
F113 = "WR", _xludf.IFS(
AND(H113 &gt;= 0, H113 &lt; 2.55), 1,
AND(H113 &gt;= 2.55, H113 &lt; 4.2), 2,
AND(H113 &gt;= 4.2, H113 &lt; 8.55), 3,
AND(H113 &gt;= 8.55, H113 &lt;= 24.4), 
4),
F113 = "QB", _xludf.IFS(
AND(H113 &gt;= 0, H113 &lt; 2.95), 1,
AND(H113 &gt;= 2.95, H113 &lt; 5.4), 2,
AND(H113 &gt;= 5.4, H113 &lt; 7.2), 3,
AND(H113 &gt;= 7.2, H113 &lt;= 12.3), 
4),
F113 = "TE", _xludf.IFS(
AND(H113 &gt;= 0, H113 &lt; 3), 1,
AND(H113 &gt;= 3, H113 &lt; 4.8), 2,
AND(H113 &gt;= 4.8, H113 &lt; 8.525), 3,
AND(H113 &gt;= 8.525, H113 &lt;= 24.6), 
4)
)</f>
        <v/>
      </c>
    </row>
    <row r="113" ht="13" customHeight="1" s="54">
      <c r="C113">
        <f>IF(COUNTIF(Keeper!B:B,D113)&gt;0,"x","")</f>
        <v/>
      </c>
      <c r="D113" s="40">
        <f>Fantasypro!C111</f>
        <v/>
      </c>
      <c r="E113" s="40">
        <f>Fantasypro!D111</f>
        <v/>
      </c>
      <c r="F113">
        <f>Fantasypro!K111</f>
        <v/>
      </c>
      <c r="G113" s="39">
        <f>Fantasypro!H111</f>
        <v/>
      </c>
      <c r="H113" s="39">
        <f>Fantasypro!I111</f>
        <v/>
      </c>
      <c r="I113" s="51">
        <f>_xludf.IFS(
F114 = "RB", _xludf.IFS(
AND(H114 &gt;= 0, H114 &lt; 2.55), 1,
AND(H114 &gt;= 2.55, H114 &lt; 4.7), 2,
AND(H114 &gt;= 4.7, H114 &lt; 8.4), 3,
AND(H114 &gt;= 8.4, H114 &lt;= 36), 
4),
F114 = "WR", _xludf.IFS(
AND(H114 &gt;= 0, H114 &lt; 2.55), 1,
AND(H114 &gt;= 2.55, H114 &lt; 4.2), 2,
AND(H114 &gt;= 4.2, H114 &lt; 8.55), 3,
AND(H114 &gt;= 8.55, H114 &lt;= 24.4), 
4),
F114 = "QB", _xludf.IFS(
AND(H114 &gt;= 0, H114 &lt; 2.95), 1,
AND(H114 &gt;= 2.95, H114 &lt; 5.4), 2,
AND(H114 &gt;= 5.4, H114 &lt; 7.2), 3,
AND(H114 &gt;= 7.2, H114 &lt;= 12.3), 
4),
F114 = "TE", _xludf.IFS(
AND(H114 &gt;= 0, H114 &lt; 3), 1,
AND(H114 &gt;= 3, H114 &lt; 4.8), 2,
AND(H114 &gt;= 4.8, H114 &lt; 8.525), 3,
AND(H114 &gt;= 8.525, H114 &lt;= 24.6), 
4)
)</f>
        <v/>
      </c>
    </row>
    <row r="114" ht="13" customHeight="1" s="54">
      <c r="C114">
        <f>IF(COUNTIF(Keeper!B:B,D114)&gt;0,"x","")</f>
        <v/>
      </c>
      <c r="D114" s="40">
        <f>Fantasypro!C112</f>
        <v/>
      </c>
      <c r="E114" s="40">
        <f>Fantasypro!D112</f>
        <v/>
      </c>
      <c r="F114">
        <f>Fantasypro!K112</f>
        <v/>
      </c>
      <c r="G114" s="39">
        <f>Fantasypro!H112</f>
        <v/>
      </c>
      <c r="H114" s="39">
        <f>Fantasypro!I112</f>
        <v/>
      </c>
      <c r="I114" s="51">
        <f>_xludf.IFS(
F115 = "RB", _xludf.IFS(
AND(H115 &gt;= 0, H115 &lt; 2.55), 1,
AND(H115 &gt;= 2.55, H115 &lt; 4.7), 2,
AND(H115 &gt;= 4.7, H115 &lt; 8.4), 3,
AND(H115 &gt;= 8.4, H115 &lt;= 36), 
4),
F115 = "WR", _xludf.IFS(
AND(H115 &gt;= 0, H115 &lt; 2.55), 1,
AND(H115 &gt;= 2.55, H115 &lt; 4.2), 2,
AND(H115 &gt;= 4.2, H115 &lt; 8.55), 3,
AND(H115 &gt;= 8.55, H115 &lt;= 24.4), 
4),
F115 = "QB", _xludf.IFS(
AND(H115 &gt;= 0, H115 &lt; 2.95), 1,
AND(H115 &gt;= 2.95, H115 &lt; 5.4), 2,
AND(H115 &gt;= 5.4, H115 &lt; 7.2), 3,
AND(H115 &gt;= 7.2, H115 &lt;= 12.3), 
4),
F115 = "TE", _xludf.IFS(
AND(H115 &gt;= 0, H115 &lt; 3), 1,
AND(H115 &gt;= 3, H115 &lt; 4.8), 2,
AND(H115 &gt;= 4.8, H115 &lt; 8.525), 3,
AND(H115 &gt;= 8.525, H115 &lt;= 24.6), 
4)
)</f>
        <v/>
      </c>
    </row>
    <row r="115" ht="13" customHeight="1" s="54">
      <c r="C115">
        <f>IF(COUNTIF(Keeper!B:B,D115)&gt;0,"x","")</f>
        <v/>
      </c>
      <c r="D115" s="40">
        <f>Fantasypro!C113</f>
        <v/>
      </c>
      <c r="E115" s="40">
        <f>Fantasypro!D113</f>
        <v/>
      </c>
      <c r="F115">
        <f>Fantasypro!K113</f>
        <v/>
      </c>
      <c r="G115" s="39">
        <f>Fantasypro!H113</f>
        <v/>
      </c>
      <c r="H115" s="39">
        <f>Fantasypro!I113</f>
        <v/>
      </c>
      <c r="I115" s="51">
        <f>_xludf.IFS(
F116 = "RB", _xludf.IFS(
AND(H116 &gt;= 0, H116 &lt; 2.55), 1,
AND(H116 &gt;= 2.55, H116 &lt; 4.7), 2,
AND(H116 &gt;= 4.7, H116 &lt; 8.4), 3,
AND(H116 &gt;= 8.4, H116 &lt;= 36), 
4),
F116 = "WR", _xludf.IFS(
AND(H116 &gt;= 0, H116 &lt; 2.55), 1,
AND(H116 &gt;= 2.55, H116 &lt; 4.2), 2,
AND(H116 &gt;= 4.2, H116 &lt; 8.55), 3,
AND(H116 &gt;= 8.55, H116 &lt;= 24.4), 
4),
F116 = "QB", _xludf.IFS(
AND(H116 &gt;= 0, H116 &lt; 2.95), 1,
AND(H116 &gt;= 2.95, H116 &lt; 5.4), 2,
AND(H116 &gt;= 5.4, H116 &lt; 7.2), 3,
AND(H116 &gt;= 7.2, H116 &lt;= 12.3), 
4),
F116 = "TE", _xludf.IFS(
AND(H116 &gt;= 0, H116 &lt; 3), 1,
AND(H116 &gt;= 3, H116 &lt; 4.8), 2,
AND(H116 &gt;= 4.8, H116 &lt; 8.525), 3,
AND(H116 &gt;= 8.525, H116 &lt;= 24.6), 
4)
)</f>
        <v/>
      </c>
    </row>
    <row r="116" ht="13" customHeight="1" s="54">
      <c r="C116">
        <f>IF(COUNTIF(Keeper!B:B,D116)&gt;0,"x","")</f>
        <v/>
      </c>
      <c r="D116" s="40">
        <f>Fantasypro!C114</f>
        <v/>
      </c>
      <c r="E116" s="40">
        <f>Fantasypro!D114</f>
        <v/>
      </c>
      <c r="F116">
        <f>Fantasypro!K114</f>
        <v/>
      </c>
      <c r="G116" s="39">
        <f>Fantasypro!H114</f>
        <v/>
      </c>
      <c r="H116" s="39">
        <f>Fantasypro!I114</f>
        <v/>
      </c>
      <c r="I116" s="51">
        <f>_xludf.IFS(
F117 = "RB", _xludf.IFS(
AND(H117 &gt;= 0, H117 &lt; 2.55), 1,
AND(H117 &gt;= 2.55, H117 &lt; 4.7), 2,
AND(H117 &gt;= 4.7, H117 &lt; 8.4), 3,
AND(H117 &gt;= 8.4, H117 &lt;= 36), 
4),
F117 = "WR", _xludf.IFS(
AND(H117 &gt;= 0, H117 &lt; 2.55), 1,
AND(H117 &gt;= 2.55, H117 &lt; 4.2), 2,
AND(H117 &gt;= 4.2, H117 &lt; 8.55), 3,
AND(H117 &gt;= 8.55, H117 &lt;= 24.4), 
4),
F117 = "QB", _xludf.IFS(
AND(H117 &gt;= 0, H117 &lt; 2.95), 1,
AND(H117 &gt;= 2.95, H117 &lt; 5.4), 2,
AND(H117 &gt;= 5.4, H117 &lt; 7.2), 3,
AND(H117 &gt;= 7.2, H117 &lt;= 12.3), 
4),
F117 = "TE", _xludf.IFS(
AND(H117 &gt;= 0, H117 &lt; 3), 1,
AND(H117 &gt;= 3, H117 &lt; 4.8), 2,
AND(H117 &gt;= 4.8, H117 &lt; 8.525), 3,
AND(H117 &gt;= 8.525, H117 &lt;= 24.6), 
4)
)</f>
        <v/>
      </c>
    </row>
    <row r="117" ht="13" customHeight="1" s="54">
      <c r="A117" s="26" t="inlineStr">
        <is>
          <t>Tony Pollard</t>
        </is>
      </c>
      <c r="C117">
        <f>IF(COUNTIF(Keeper!B:B,D117)&gt;0,"x","")</f>
        <v/>
      </c>
      <c r="D117" s="40">
        <f>Fantasypro!C115</f>
        <v/>
      </c>
      <c r="E117" s="40">
        <f>Fantasypro!D115</f>
        <v/>
      </c>
      <c r="F117">
        <f>Fantasypro!K115</f>
        <v/>
      </c>
      <c r="G117" s="39">
        <f>Fantasypro!H115</f>
        <v/>
      </c>
      <c r="H117" s="39">
        <f>Fantasypro!I115</f>
        <v/>
      </c>
      <c r="I117" s="51">
        <f>_xludf.IFS(
F118 = "RB", _xludf.IFS(
AND(H118 &gt;= 0, H118 &lt; 2.55), 1,
AND(H118 &gt;= 2.55, H118 &lt; 4.7), 2,
AND(H118 &gt;= 4.7, H118 &lt; 8.4), 3,
AND(H118 &gt;= 8.4, H118 &lt;= 36), 
4),
F118 = "WR", _xludf.IFS(
AND(H118 &gt;= 0, H118 &lt; 2.55), 1,
AND(H118 &gt;= 2.55, H118 &lt; 4.2), 2,
AND(H118 &gt;= 4.2, H118 &lt; 8.55), 3,
AND(H118 &gt;= 8.55, H118 &lt;= 24.4), 
4),
F118 = "QB", _xludf.IFS(
AND(H118 &gt;= 0, H118 &lt; 2.95), 1,
AND(H118 &gt;= 2.95, H118 &lt; 5.4), 2,
AND(H118 &gt;= 5.4, H118 &lt; 7.2), 3,
AND(H118 &gt;= 7.2, H118 &lt;= 12.3), 
4),
F118 = "TE", _xludf.IFS(
AND(H118 &gt;= 0, H118 &lt; 3), 1,
AND(H118 &gt;= 3, H118 &lt; 4.8), 2,
AND(H118 &gt;= 4.8, H118 &lt; 8.525), 3,
AND(H118 &gt;= 8.525, H118 &lt;= 24.6), 
4)
)</f>
        <v/>
      </c>
    </row>
    <row r="118" ht="13" customHeight="1" s="54">
      <c r="A118" s="26" t="n"/>
      <c r="C118">
        <f>IF(COUNTIF(Keeper!B:B,D118)&gt;0,"x","")</f>
        <v/>
      </c>
      <c r="D118" s="40">
        <f>Fantasypro!C116</f>
        <v/>
      </c>
      <c r="E118" s="40">
        <f>Fantasypro!D116</f>
        <v/>
      </c>
      <c r="F118">
        <f>Fantasypro!K116</f>
        <v/>
      </c>
      <c r="G118" s="39">
        <f>Fantasypro!H116</f>
        <v/>
      </c>
      <c r="H118" s="39">
        <f>Fantasypro!I116</f>
        <v/>
      </c>
      <c r="I118" s="51">
        <f>_xludf.IFS(
F119 = "RB", _xludf.IFS(
AND(H119 &gt;= 0, H119 &lt; 2.55), 1,
AND(H119 &gt;= 2.55, H119 &lt; 4.7), 2,
AND(H119 &gt;= 4.7, H119 &lt; 8.4), 3,
AND(H119 &gt;= 8.4, H119 &lt;= 36), 
4),
F119 = "WR", _xludf.IFS(
AND(H119 &gt;= 0, H119 &lt; 2.55), 1,
AND(H119 &gt;= 2.55, H119 &lt; 4.2), 2,
AND(H119 &gt;= 4.2, H119 &lt; 8.55), 3,
AND(H119 &gt;= 8.55, H119 &lt;= 24.4), 
4),
F119 = "QB", _xludf.IFS(
AND(H119 &gt;= 0, H119 &lt; 2.95), 1,
AND(H119 &gt;= 2.95, H119 &lt; 5.4), 2,
AND(H119 &gt;= 5.4, H119 &lt; 7.2), 3,
AND(H119 &gt;= 7.2, H119 &lt;= 12.3), 
4),
F119 = "TE", _xludf.IFS(
AND(H119 &gt;= 0, H119 &lt; 3), 1,
AND(H119 &gt;= 3, H119 &lt; 4.8), 2,
AND(H119 &gt;= 4.8, H119 &lt; 8.525), 3,
AND(H119 &gt;= 8.525, H119 &lt;= 24.6), 
4)
)</f>
        <v/>
      </c>
    </row>
    <row r="119" ht="13" customHeight="1" s="54">
      <c r="C119">
        <f>IF(COUNTIF(Keeper!B:B,D119)&gt;0,"x","")</f>
        <v/>
      </c>
      <c r="D119" s="40">
        <f>Fantasypro!C117</f>
        <v/>
      </c>
      <c r="E119" s="40">
        <f>Fantasypro!D117</f>
        <v/>
      </c>
      <c r="F119">
        <f>Fantasypro!K117</f>
        <v/>
      </c>
      <c r="G119" s="39">
        <f>Fantasypro!H117</f>
        <v/>
      </c>
      <c r="H119" s="39">
        <f>Fantasypro!I117</f>
        <v/>
      </c>
      <c r="I119" s="51">
        <f>_xludf.IFS(
F120 = "RB", _xludf.IFS(
AND(H120 &gt;= 0, H120 &lt; 2.55), 1,
AND(H120 &gt;= 2.55, H120 &lt; 4.7), 2,
AND(H120 &gt;= 4.7, H120 &lt; 8.4), 3,
AND(H120 &gt;= 8.4, H120 &lt;= 36), 
4),
F120 = "WR", _xludf.IFS(
AND(H120 &gt;= 0, H120 &lt; 2.55), 1,
AND(H120 &gt;= 2.55, H120 &lt; 4.2), 2,
AND(H120 &gt;= 4.2, H120 &lt; 8.55), 3,
AND(H120 &gt;= 8.55, H120 &lt;= 24.4), 
4),
F120 = "QB", _xludf.IFS(
AND(H120 &gt;= 0, H120 &lt; 2.95), 1,
AND(H120 &gt;= 2.95, H120 &lt; 5.4), 2,
AND(H120 &gt;= 5.4, H120 &lt; 7.2), 3,
AND(H120 &gt;= 7.2, H120 &lt;= 12.3), 
4),
F120 = "TE", _xludf.IFS(
AND(H120 &gt;= 0, H120 &lt; 3), 1,
AND(H120 &gt;= 3, H120 &lt; 4.8), 2,
AND(H120 &gt;= 4.8, H120 &lt; 8.525), 3,
AND(H120 &gt;= 8.525, H120 &lt;= 24.6), 
4)
)</f>
        <v/>
      </c>
    </row>
    <row r="120" ht="13" customHeight="1" s="54">
      <c r="C120">
        <f>IF(COUNTIF(Keeper!B:B,D120)&gt;0,"x","")</f>
        <v/>
      </c>
      <c r="D120" s="40">
        <f>Fantasypro!C118</f>
        <v/>
      </c>
      <c r="E120" s="40">
        <f>Fantasypro!D118</f>
        <v/>
      </c>
      <c r="F120">
        <f>Fantasypro!K118</f>
        <v/>
      </c>
      <c r="G120" s="39">
        <f>Fantasypro!H118</f>
        <v/>
      </c>
      <c r="H120" s="39">
        <f>Fantasypro!I118</f>
        <v/>
      </c>
      <c r="I120" s="51">
        <f>_xludf.IFS(
F121 = "RB", _xludf.IFS(
AND(H121 &gt;= 0, H121 &lt; 2.55), 1,
AND(H121 &gt;= 2.55, H121 &lt; 4.7), 2,
AND(H121 &gt;= 4.7, H121 &lt; 8.4), 3,
AND(H121 &gt;= 8.4, H121 &lt;= 36), 
4),
F121 = "WR", _xludf.IFS(
AND(H121 &gt;= 0, H121 &lt; 2.55), 1,
AND(H121 &gt;= 2.55, H121 &lt; 4.2), 2,
AND(H121 &gt;= 4.2, H121 &lt; 8.55), 3,
AND(H121 &gt;= 8.55, H121 &lt;= 24.4), 
4),
F121 = "QB", _xludf.IFS(
AND(H121 &gt;= 0, H121 &lt; 2.95), 1,
AND(H121 &gt;= 2.95, H121 &lt; 5.4), 2,
AND(H121 &gt;= 5.4, H121 &lt; 7.2), 3,
AND(H121 &gt;= 7.2, H121 &lt;= 12.3), 
4),
F121 = "TE", _xludf.IFS(
AND(H121 &gt;= 0, H121 &lt; 3), 1,
AND(H121 &gt;= 3, H121 &lt; 4.8), 2,
AND(H121 &gt;= 4.8, H121 &lt; 8.525), 3,
AND(H121 &gt;= 8.525, H121 &lt;= 24.6), 
4)
)</f>
        <v/>
      </c>
    </row>
    <row r="121" ht="13" customHeight="1" s="54">
      <c r="A121" s="26" t="n"/>
      <c r="C121">
        <f>IF(COUNTIF(Keeper!B:B,D121)&gt;0,"x","")</f>
        <v/>
      </c>
      <c r="D121" s="40">
        <f>Fantasypro!C119</f>
        <v/>
      </c>
      <c r="E121" s="40">
        <f>Fantasypro!D119</f>
        <v/>
      </c>
      <c r="F121">
        <f>Fantasypro!K119</f>
        <v/>
      </c>
      <c r="G121" s="39">
        <f>Fantasypro!H119</f>
        <v/>
      </c>
      <c r="H121" s="39">
        <f>Fantasypro!I119</f>
        <v/>
      </c>
      <c r="I121" s="51">
        <f>_xludf.IFS(
F122 = "RB", _xludf.IFS(
AND(H122 &gt;= 0, H122 &lt; 2.55), 1,
AND(H122 &gt;= 2.55, H122 &lt; 4.7), 2,
AND(H122 &gt;= 4.7, H122 &lt; 8.4), 3,
AND(H122 &gt;= 8.4, H122 &lt;= 36), 
4),
F122 = "WR", _xludf.IFS(
AND(H122 &gt;= 0, H122 &lt; 2.55), 1,
AND(H122 &gt;= 2.55, H122 &lt; 4.2), 2,
AND(H122 &gt;= 4.2, H122 &lt; 8.55), 3,
AND(H122 &gt;= 8.55, H122 &lt;= 24.4), 
4),
F122 = "QB", _xludf.IFS(
AND(H122 &gt;= 0, H122 &lt; 2.95), 1,
AND(H122 &gt;= 2.95, H122 &lt; 5.4), 2,
AND(H122 &gt;= 5.4, H122 &lt; 7.2), 3,
AND(H122 &gt;= 7.2, H122 &lt;= 12.3), 
4),
F122 = "TE", _xludf.IFS(
AND(H122 &gt;= 0, H122 &lt; 3), 1,
AND(H122 &gt;= 3, H122 &lt; 4.8), 2,
AND(H122 &gt;= 4.8, H122 &lt; 8.525), 3,
AND(H122 &gt;= 8.525, H122 &lt;= 24.6), 
4)
)</f>
        <v/>
      </c>
    </row>
    <row r="122" ht="13" customHeight="1" s="54">
      <c r="C122">
        <f>IF(COUNTIF(Keeper!B:B,D122)&gt;0,"x","")</f>
        <v/>
      </c>
      <c r="D122" s="40">
        <f>Fantasypro!C120</f>
        <v/>
      </c>
      <c r="E122" s="40">
        <f>Fantasypro!D120</f>
        <v/>
      </c>
      <c r="F122">
        <f>Fantasypro!K120</f>
        <v/>
      </c>
      <c r="G122" s="39">
        <f>Fantasypro!H120</f>
        <v/>
      </c>
      <c r="H122" s="39">
        <f>Fantasypro!I120</f>
        <v/>
      </c>
      <c r="I122" s="51">
        <f>_xludf.IFS(
F123 = "RB", _xludf.IFS(
AND(H123 &gt;= 0, H123 &lt; 2.55), 1,
AND(H123 &gt;= 2.55, H123 &lt; 4.7), 2,
AND(H123 &gt;= 4.7, H123 &lt; 8.4), 3,
AND(H123 &gt;= 8.4, H123 &lt;= 36), 
4),
F123 = "WR", _xludf.IFS(
AND(H123 &gt;= 0, H123 &lt; 2.55), 1,
AND(H123 &gt;= 2.55, H123 &lt; 4.2), 2,
AND(H123 &gt;= 4.2, H123 &lt; 8.55), 3,
AND(H123 &gt;= 8.55, H123 &lt;= 24.4), 
4),
F123 = "QB", _xludf.IFS(
AND(H123 &gt;= 0, H123 &lt; 2.95), 1,
AND(H123 &gt;= 2.95, H123 &lt; 5.4), 2,
AND(H123 &gt;= 5.4, H123 &lt; 7.2), 3,
AND(H123 &gt;= 7.2, H123 &lt;= 12.3), 
4),
F123 = "TE", _xludf.IFS(
AND(H123 &gt;= 0, H123 &lt; 3), 1,
AND(H123 &gt;= 3, H123 &lt; 4.8), 2,
AND(H123 &gt;= 4.8, H123 &lt; 8.525), 3,
AND(H123 &gt;= 8.525, H123 &lt;= 24.6), 
4)
)</f>
        <v/>
      </c>
    </row>
    <row r="123" ht="13" customHeight="1" s="54">
      <c r="C123">
        <f>IF(COUNTIF(Keeper!B:B,D123)&gt;0,"x","")</f>
        <v/>
      </c>
      <c r="D123" s="40">
        <f>Fantasypro!C121</f>
        <v/>
      </c>
      <c r="E123" s="40">
        <f>Fantasypro!D121</f>
        <v/>
      </c>
      <c r="F123">
        <f>Fantasypro!K121</f>
        <v/>
      </c>
      <c r="G123" s="39">
        <f>Fantasypro!H121</f>
        <v/>
      </c>
      <c r="H123" s="39">
        <f>Fantasypro!I121</f>
        <v/>
      </c>
      <c r="I123" s="51">
        <f>_xludf.IFS(
F124 = "RB", _xludf.IFS(
AND(H124 &gt;= 0, H124 &lt; 2.55), 1,
AND(H124 &gt;= 2.55, H124 &lt; 4.7), 2,
AND(H124 &gt;= 4.7, H124 &lt; 8.4), 3,
AND(H124 &gt;= 8.4, H124 &lt;= 36), 
4),
F124 = "WR", _xludf.IFS(
AND(H124 &gt;= 0, H124 &lt; 2.55), 1,
AND(H124 &gt;= 2.55, H124 &lt; 4.2), 2,
AND(H124 &gt;= 4.2, H124 &lt; 8.55), 3,
AND(H124 &gt;= 8.55, H124 &lt;= 24.4), 
4),
F124 = "QB", _xludf.IFS(
AND(H124 &gt;= 0, H124 &lt; 2.95), 1,
AND(H124 &gt;= 2.95, H124 &lt; 5.4), 2,
AND(H124 &gt;= 5.4, H124 &lt; 7.2), 3,
AND(H124 &gt;= 7.2, H124 &lt;= 12.3), 
4),
F124 = "TE", _xludf.IFS(
AND(H124 &gt;= 0, H124 &lt; 3), 1,
AND(H124 &gt;= 3, H124 &lt; 4.8), 2,
AND(H124 &gt;= 4.8, H124 &lt; 8.525), 3,
AND(H124 &gt;= 8.525, H124 &lt;= 24.6), 
4)
)</f>
        <v/>
      </c>
    </row>
    <row r="124" ht="13" customHeight="1" s="54">
      <c r="C124">
        <f>IF(COUNTIF(Keeper!B:B,D124)&gt;0,"x","")</f>
        <v/>
      </c>
      <c r="D124" s="40">
        <f>Fantasypro!C122</f>
        <v/>
      </c>
      <c r="E124" s="40">
        <f>Fantasypro!D122</f>
        <v/>
      </c>
      <c r="F124">
        <f>Fantasypro!K122</f>
        <v/>
      </c>
      <c r="G124" s="39">
        <f>Fantasypro!H122</f>
        <v/>
      </c>
      <c r="H124" s="39">
        <f>Fantasypro!I122</f>
        <v/>
      </c>
      <c r="I124" s="51">
        <f>_xludf.IFS(
F125 = "RB", _xludf.IFS(
AND(H125 &gt;= 0, H125 &lt; 2.55), 1,
AND(H125 &gt;= 2.55, H125 &lt; 4.7), 2,
AND(H125 &gt;= 4.7, H125 &lt; 8.4), 3,
AND(H125 &gt;= 8.4, H125 &lt;= 36), 
4),
F125 = "WR", _xludf.IFS(
AND(H125 &gt;= 0, H125 &lt; 2.55), 1,
AND(H125 &gt;= 2.55, H125 &lt; 4.2), 2,
AND(H125 &gt;= 4.2, H125 &lt; 8.55), 3,
AND(H125 &gt;= 8.55, H125 &lt;= 24.4), 
4),
F125 = "QB", _xludf.IFS(
AND(H125 &gt;= 0, H125 &lt; 2.95), 1,
AND(H125 &gt;= 2.95, H125 &lt; 5.4), 2,
AND(H125 &gt;= 5.4, H125 &lt; 7.2), 3,
AND(H125 &gt;= 7.2, H125 &lt;= 12.3), 
4),
F125 = "TE", _xludf.IFS(
AND(H125 &gt;= 0, H125 &lt; 3), 1,
AND(H125 &gt;= 3, H125 &lt; 4.8), 2,
AND(H125 &gt;= 4.8, H125 &lt; 8.525), 3,
AND(H125 &gt;= 8.525, H125 &lt;= 24.6), 
4)
)</f>
        <v/>
      </c>
    </row>
    <row r="125" ht="13" customHeight="1" s="54">
      <c r="C125">
        <f>IF(COUNTIF(Keeper!B:B,D125)&gt;0,"x","")</f>
        <v/>
      </c>
      <c r="D125" s="40">
        <f>Fantasypro!C123</f>
        <v/>
      </c>
      <c r="E125" s="40">
        <f>Fantasypro!D123</f>
        <v/>
      </c>
      <c r="F125">
        <f>Fantasypro!K123</f>
        <v/>
      </c>
      <c r="G125" s="39">
        <f>Fantasypro!H123</f>
        <v/>
      </c>
      <c r="H125" s="39">
        <f>Fantasypro!I123</f>
        <v/>
      </c>
      <c r="I125" s="51">
        <f>_xludf.IFS(
F126 = "RB", _xludf.IFS(
AND(H126 &gt;= 0, H126 &lt; 2.55), 1,
AND(H126 &gt;= 2.55, H126 &lt; 4.7), 2,
AND(H126 &gt;= 4.7, H126 &lt; 8.4), 3,
AND(H126 &gt;= 8.4, H126 &lt;= 36), 
4),
F126 = "WR", _xludf.IFS(
AND(H126 &gt;= 0, H126 &lt; 2.55), 1,
AND(H126 &gt;= 2.55, H126 &lt; 4.2), 2,
AND(H126 &gt;= 4.2, H126 &lt; 8.55), 3,
AND(H126 &gt;= 8.55, H126 &lt;= 24.4), 
4),
F126 = "QB", _xludf.IFS(
AND(H126 &gt;= 0, H126 &lt; 2.95), 1,
AND(H126 &gt;= 2.95, H126 &lt; 5.4), 2,
AND(H126 &gt;= 5.4, H126 &lt; 7.2), 3,
AND(H126 &gt;= 7.2, H126 &lt;= 12.3), 
4),
F126 = "TE", _xludf.IFS(
AND(H126 &gt;= 0, H126 &lt; 3), 1,
AND(H126 &gt;= 3, H126 &lt; 4.8), 2,
AND(H126 &gt;= 4.8, H126 &lt; 8.525), 3,
AND(H126 &gt;= 8.525, H126 &lt;= 24.6), 
4)
)</f>
        <v/>
      </c>
    </row>
    <row r="126" ht="13" customHeight="1" s="54">
      <c r="C126">
        <f>IF(COUNTIF(Keeper!B:B,D126)&gt;0,"x","")</f>
        <v/>
      </c>
      <c r="D126" s="40">
        <f>Fantasypro!C124</f>
        <v/>
      </c>
      <c r="E126" s="40">
        <f>Fantasypro!D124</f>
        <v/>
      </c>
      <c r="F126">
        <f>Fantasypro!K124</f>
        <v/>
      </c>
      <c r="G126" s="39">
        <f>Fantasypro!H124</f>
        <v/>
      </c>
      <c r="H126" s="39">
        <f>Fantasypro!I124</f>
        <v/>
      </c>
      <c r="I126" s="51">
        <f>_xludf.IFS(
F127 = "RB", _xludf.IFS(
AND(H127 &gt;= 0, H127 &lt; 2.55), 1,
AND(H127 &gt;= 2.55, H127 &lt; 4.7), 2,
AND(H127 &gt;= 4.7, H127 &lt; 8.4), 3,
AND(H127 &gt;= 8.4, H127 &lt;= 36), 
4),
F127 = "WR", _xludf.IFS(
AND(H127 &gt;= 0, H127 &lt; 2.55), 1,
AND(H127 &gt;= 2.55, H127 &lt; 4.2), 2,
AND(H127 &gt;= 4.2, H127 &lt; 8.55), 3,
AND(H127 &gt;= 8.55, H127 &lt;= 24.4), 
4),
F127 = "QB", _xludf.IFS(
AND(H127 &gt;= 0, H127 &lt; 2.95), 1,
AND(H127 &gt;= 2.95, H127 &lt; 5.4), 2,
AND(H127 &gt;= 5.4, H127 &lt; 7.2), 3,
AND(H127 &gt;= 7.2, H127 &lt;= 12.3), 
4),
F127 = "TE", _xludf.IFS(
AND(H127 &gt;= 0, H127 &lt; 3), 1,
AND(H127 &gt;= 3, H127 &lt; 4.8), 2,
AND(H127 &gt;= 4.8, H127 &lt; 8.525), 3,
AND(H127 &gt;= 8.525, H127 &lt;= 24.6), 
4)
)</f>
        <v/>
      </c>
    </row>
    <row r="127" ht="13" customHeight="1" s="54">
      <c r="A127" s="26" t="inlineStr">
        <is>
          <t>Aaron Jones</t>
        </is>
      </c>
      <c r="C127">
        <f>IF(COUNTIF(Keeper!B:B,D127)&gt;0,"x","")</f>
        <v/>
      </c>
      <c r="D127" s="40">
        <f>Fantasypro!C125</f>
        <v/>
      </c>
      <c r="E127" s="40">
        <f>Fantasypro!D125</f>
        <v/>
      </c>
      <c r="F127">
        <f>Fantasypro!K125</f>
        <v/>
      </c>
      <c r="G127" s="39">
        <f>Fantasypro!H125</f>
        <v/>
      </c>
      <c r="H127" s="39">
        <f>Fantasypro!I125</f>
        <v/>
      </c>
      <c r="I127" s="51">
        <f>_xludf.IFS(
F128 = "RB", _xludf.IFS(
AND(H128 &gt;= 0, H128 &lt; 2.55), 1,
AND(H128 &gt;= 2.55, H128 &lt; 4.7), 2,
AND(H128 &gt;= 4.7, H128 &lt; 8.4), 3,
AND(H128 &gt;= 8.4, H128 &lt;= 36), 
4),
F128 = "WR", _xludf.IFS(
AND(H128 &gt;= 0, H128 &lt; 2.55), 1,
AND(H128 &gt;= 2.55, H128 &lt; 4.2), 2,
AND(H128 &gt;= 4.2, H128 &lt; 8.55), 3,
AND(H128 &gt;= 8.55, H128 &lt;= 24.4), 
4),
F128 = "QB", _xludf.IFS(
AND(H128 &gt;= 0, H128 &lt; 2.95), 1,
AND(H128 &gt;= 2.95, H128 &lt; 5.4), 2,
AND(H128 &gt;= 5.4, H128 &lt; 7.2), 3,
AND(H128 &gt;= 7.2, H128 &lt;= 12.3), 
4),
F128 = "TE", _xludf.IFS(
AND(H128 &gt;= 0, H128 &lt; 3), 1,
AND(H128 &gt;= 3, H128 &lt; 4.8), 2,
AND(H128 &gt;= 4.8, H128 &lt; 8.525), 3,
AND(H128 &gt;= 8.525, H128 &lt;= 24.6), 
4)
)</f>
        <v/>
      </c>
    </row>
    <row r="128" ht="13" customHeight="1" s="54">
      <c r="C128">
        <f>IF(COUNTIF(Keeper!B:B,D128)&gt;0,"x","")</f>
        <v/>
      </c>
      <c r="D128" s="40">
        <f>Fantasypro!C126</f>
        <v/>
      </c>
      <c r="E128" s="40">
        <f>Fantasypro!D126</f>
        <v/>
      </c>
      <c r="F128">
        <f>Fantasypro!K126</f>
        <v/>
      </c>
      <c r="G128" s="39">
        <f>Fantasypro!H126</f>
        <v/>
      </c>
      <c r="H128" s="39">
        <f>Fantasypro!I126</f>
        <v/>
      </c>
      <c r="I128" s="51">
        <f>_xludf.IFS(
F129 = "RB", _xludf.IFS(
AND(H129 &gt;= 0, H129 &lt; 2.55), 1,
AND(H129 &gt;= 2.55, H129 &lt; 4.7), 2,
AND(H129 &gt;= 4.7, H129 &lt; 8.4), 3,
AND(H129 &gt;= 8.4, H129 &lt;= 36), 
4),
F129 = "WR", _xludf.IFS(
AND(H129 &gt;= 0, H129 &lt; 2.55), 1,
AND(H129 &gt;= 2.55, H129 &lt; 4.2), 2,
AND(H129 &gt;= 4.2, H129 &lt; 8.55), 3,
AND(H129 &gt;= 8.55, H129 &lt;= 24.4), 
4),
F129 = "QB", _xludf.IFS(
AND(H129 &gt;= 0, H129 &lt; 2.95), 1,
AND(H129 &gt;= 2.95, H129 &lt; 5.4), 2,
AND(H129 &gt;= 5.4, H129 &lt; 7.2), 3,
AND(H129 &gt;= 7.2, H129 &lt;= 12.3), 
4),
F129 = "TE", _xludf.IFS(
AND(H129 &gt;= 0, H129 &lt; 3), 1,
AND(H129 &gt;= 3, H129 &lt; 4.8), 2,
AND(H129 &gt;= 4.8, H129 &lt; 8.525), 3,
AND(H129 &gt;= 8.525, H129 &lt;= 24.6), 
4)
)</f>
        <v/>
      </c>
    </row>
    <row r="129" ht="13" customHeight="1" s="54">
      <c r="C129">
        <f>IF(COUNTIF(Keeper!B:B,D129)&gt;0,"x","")</f>
        <v/>
      </c>
      <c r="D129" s="40">
        <f>Fantasypro!C127</f>
        <v/>
      </c>
      <c r="E129" s="40">
        <f>Fantasypro!D127</f>
        <v/>
      </c>
      <c r="F129">
        <f>Fantasypro!K127</f>
        <v/>
      </c>
      <c r="G129" s="39">
        <f>Fantasypro!H127</f>
        <v/>
      </c>
      <c r="H129" s="39">
        <f>Fantasypro!I127</f>
        <v/>
      </c>
      <c r="I129" s="51">
        <f>_xludf.IFS(
F130 = "RB", _xludf.IFS(
AND(H130 &gt;= 0, H130 &lt; 2.55), 1,
AND(H130 &gt;= 2.55, H130 &lt; 4.7), 2,
AND(H130 &gt;= 4.7, H130 &lt; 8.4), 3,
AND(H130 &gt;= 8.4, H130 &lt;= 36), 
4),
F130 = "WR", _xludf.IFS(
AND(H130 &gt;= 0, H130 &lt; 2.55), 1,
AND(H130 &gt;= 2.55, H130 &lt; 4.2), 2,
AND(H130 &gt;= 4.2, H130 &lt; 8.55), 3,
AND(H130 &gt;= 8.55, H130 &lt;= 24.4), 
4),
F130 = "QB", _xludf.IFS(
AND(H130 &gt;= 0, H130 &lt; 2.95), 1,
AND(H130 &gt;= 2.95, H130 &lt; 5.4), 2,
AND(H130 &gt;= 5.4, H130 &lt; 7.2), 3,
AND(H130 &gt;= 7.2, H130 &lt;= 12.3), 
4),
F130 = "TE", _xludf.IFS(
AND(H130 &gt;= 0, H130 &lt; 3), 1,
AND(H130 &gt;= 3, H130 &lt; 4.8), 2,
AND(H130 &gt;= 4.8, H130 &lt; 8.525), 3,
AND(H130 &gt;= 8.525, H130 &lt;= 24.6), 
4)
)</f>
        <v/>
      </c>
    </row>
    <row r="130" ht="13" customHeight="1" s="54">
      <c r="A130" s="26" t="n"/>
      <c r="C130">
        <f>IF(COUNTIF(Keeper!B:B,D130)&gt;0,"x","")</f>
        <v/>
      </c>
      <c r="D130" s="40">
        <f>Fantasypro!C128</f>
        <v/>
      </c>
      <c r="E130" s="40">
        <f>Fantasypro!D128</f>
        <v/>
      </c>
      <c r="F130">
        <f>Fantasypro!K128</f>
        <v/>
      </c>
      <c r="G130" s="39">
        <f>Fantasypro!H128</f>
        <v/>
      </c>
      <c r="H130" s="39">
        <f>Fantasypro!I128</f>
        <v/>
      </c>
      <c r="I130" s="51">
        <f>_xludf.IFS(
F131 = "RB", _xludf.IFS(
AND(H131 &gt;= 0, H131 &lt; 2.55), 1,
AND(H131 &gt;= 2.55, H131 &lt; 4.7), 2,
AND(H131 &gt;= 4.7, H131 &lt; 8.4), 3,
AND(H131 &gt;= 8.4, H131 &lt;= 36), 
4),
F131 = "WR", _xludf.IFS(
AND(H131 &gt;= 0, H131 &lt; 2.55), 1,
AND(H131 &gt;= 2.55, H131 &lt; 4.2), 2,
AND(H131 &gt;= 4.2, H131 &lt; 8.55), 3,
AND(H131 &gt;= 8.55, H131 &lt;= 24.4), 
4),
F131 = "QB", _xludf.IFS(
AND(H131 &gt;= 0, H131 &lt; 2.95), 1,
AND(H131 &gt;= 2.95, H131 &lt; 5.4), 2,
AND(H131 &gt;= 5.4, H131 &lt; 7.2), 3,
AND(H131 &gt;= 7.2, H131 &lt;= 12.3), 
4),
F131 = "TE", _xludf.IFS(
AND(H131 &gt;= 0, H131 &lt; 3), 1,
AND(H131 &gt;= 3, H131 &lt; 4.8), 2,
AND(H131 &gt;= 4.8, H131 &lt; 8.525), 3,
AND(H131 &gt;= 8.525, H131 &lt;= 24.6), 
4)
)</f>
        <v/>
      </c>
    </row>
    <row r="131" ht="13" customHeight="1" s="54">
      <c r="C131">
        <f>IF(COUNTIF(Keeper!B:B,D131)&gt;0,"x","")</f>
        <v/>
      </c>
      <c r="D131" s="40">
        <f>Fantasypro!C129</f>
        <v/>
      </c>
      <c r="E131" s="40">
        <f>Fantasypro!D129</f>
        <v/>
      </c>
      <c r="F131">
        <f>Fantasypro!K129</f>
        <v/>
      </c>
      <c r="G131" s="39">
        <f>Fantasypro!H129</f>
        <v/>
      </c>
      <c r="H131" s="39">
        <f>Fantasypro!I129</f>
        <v/>
      </c>
      <c r="I131" s="51">
        <f>_xludf.IFS(
F132 = "RB", _xludf.IFS(
AND(H132 &gt;= 0, H132 &lt; 2.55), 1,
AND(H132 &gt;= 2.55, H132 &lt; 4.7), 2,
AND(H132 &gt;= 4.7, H132 &lt; 8.4), 3,
AND(H132 &gt;= 8.4, H132 &lt;= 36), 
4),
F132 = "WR", _xludf.IFS(
AND(H132 &gt;= 0, H132 &lt; 2.55), 1,
AND(H132 &gt;= 2.55, H132 &lt; 4.2), 2,
AND(H132 &gt;= 4.2, H132 &lt; 8.55), 3,
AND(H132 &gt;= 8.55, H132 &lt;= 24.4), 
4),
F132 = "QB", _xludf.IFS(
AND(H132 &gt;= 0, H132 &lt; 2.95), 1,
AND(H132 &gt;= 2.95, H132 &lt; 5.4), 2,
AND(H132 &gt;= 5.4, H132 &lt; 7.2), 3,
AND(H132 &gt;= 7.2, H132 &lt;= 12.3), 
4),
F132 = "TE", _xludf.IFS(
AND(H132 &gt;= 0, H132 &lt; 3), 1,
AND(H132 &gt;= 3, H132 &lt; 4.8), 2,
AND(H132 &gt;= 4.8, H132 &lt; 8.525), 3,
AND(H132 &gt;= 8.525, H132 &lt;= 24.6), 
4)
)</f>
        <v/>
      </c>
    </row>
    <row r="132" ht="13" customHeight="1" s="54">
      <c r="C132">
        <f>IF(COUNTIF(Keeper!B:B,D132)&gt;0,"x","")</f>
        <v/>
      </c>
      <c r="D132" s="40">
        <f>Fantasypro!C130</f>
        <v/>
      </c>
      <c r="E132" s="40">
        <f>Fantasypro!D130</f>
        <v/>
      </c>
      <c r="F132">
        <f>Fantasypro!K130</f>
        <v/>
      </c>
      <c r="G132" s="39">
        <f>Fantasypro!H130</f>
        <v/>
      </c>
      <c r="H132" s="39">
        <f>Fantasypro!I130</f>
        <v/>
      </c>
      <c r="I132" s="51">
        <f>_xludf.IFS(
F133 = "RB", _xludf.IFS(
AND(H133 &gt;= 0, H133 &lt; 2.55), 1,
AND(H133 &gt;= 2.55, H133 &lt; 4.7), 2,
AND(H133 &gt;= 4.7, H133 &lt; 8.4), 3,
AND(H133 &gt;= 8.4, H133 &lt;= 36), 
4),
F133 = "WR", _xludf.IFS(
AND(H133 &gt;= 0, H133 &lt; 2.55), 1,
AND(H133 &gt;= 2.55, H133 &lt; 4.2), 2,
AND(H133 &gt;= 4.2, H133 &lt; 8.55), 3,
AND(H133 &gt;= 8.55, H133 &lt;= 24.4), 
4),
F133 = "QB", _xludf.IFS(
AND(H133 &gt;= 0, H133 &lt; 2.95), 1,
AND(H133 &gt;= 2.95, H133 &lt; 5.4), 2,
AND(H133 &gt;= 5.4, H133 &lt; 7.2), 3,
AND(H133 &gt;= 7.2, H133 &lt;= 12.3), 
4),
F133 = "TE", _xludf.IFS(
AND(H133 &gt;= 0, H133 &lt; 3), 1,
AND(H133 &gt;= 3, H133 &lt; 4.8), 2,
AND(H133 &gt;= 4.8, H133 &lt; 8.525), 3,
AND(H133 &gt;= 8.525, H133 &lt;= 24.6), 
4)
)</f>
        <v/>
      </c>
    </row>
    <row r="133" ht="13" customHeight="1" s="54">
      <c r="C133">
        <f>IF(COUNTIF(Keeper!B:B,D133)&gt;0,"x","")</f>
        <v/>
      </c>
      <c r="D133" s="40">
        <f>Fantasypro!C131</f>
        <v/>
      </c>
      <c r="E133" s="40">
        <f>Fantasypro!D131</f>
        <v/>
      </c>
      <c r="F133">
        <f>Fantasypro!K131</f>
        <v/>
      </c>
      <c r="G133" s="39">
        <f>Fantasypro!H131</f>
        <v/>
      </c>
      <c r="H133" s="39">
        <f>Fantasypro!I131</f>
        <v/>
      </c>
      <c r="I133" s="51">
        <f>_xludf.IFS(
F134 = "RB", _xludf.IFS(
AND(H134 &gt;= 0, H134 &lt; 2.55), 1,
AND(H134 &gt;= 2.55, H134 &lt; 4.7), 2,
AND(H134 &gt;= 4.7, H134 &lt; 8.4), 3,
AND(H134 &gt;= 8.4, H134 &lt;= 36), 
4),
F134 = "WR", _xludf.IFS(
AND(H134 &gt;= 0, H134 &lt; 2.55), 1,
AND(H134 &gt;= 2.55, H134 &lt; 4.2), 2,
AND(H134 &gt;= 4.2, H134 &lt; 8.55), 3,
AND(H134 &gt;= 8.55, H134 &lt;= 24.4), 
4),
F134 = "QB", _xludf.IFS(
AND(H134 &gt;= 0, H134 &lt; 2.95), 1,
AND(H134 &gt;= 2.95, H134 &lt; 5.4), 2,
AND(H134 &gt;= 5.4, H134 &lt; 7.2), 3,
AND(H134 &gt;= 7.2, H134 &lt;= 12.3), 
4),
F134 = "TE", _xludf.IFS(
AND(H134 &gt;= 0, H134 &lt; 3), 1,
AND(H134 &gt;= 3, H134 &lt; 4.8), 2,
AND(H134 &gt;= 4.8, H134 &lt; 8.525), 3,
AND(H134 &gt;= 8.525, H134 &lt;= 24.6), 
4)
)</f>
        <v/>
      </c>
    </row>
    <row r="134" ht="13" customHeight="1" s="54">
      <c r="C134">
        <f>IF(COUNTIF(Keeper!B:B,D134)&gt;0,"x","")</f>
        <v/>
      </c>
      <c r="D134" s="40">
        <f>Fantasypro!C132</f>
        <v/>
      </c>
      <c r="E134" s="40">
        <f>Fantasypro!D132</f>
        <v/>
      </c>
      <c r="F134">
        <f>Fantasypro!K132</f>
        <v/>
      </c>
      <c r="G134" s="39">
        <f>Fantasypro!H132</f>
        <v/>
      </c>
      <c r="H134" s="39">
        <f>Fantasypro!I132</f>
        <v/>
      </c>
      <c r="I134" s="51">
        <f>_xludf.IFS(
F135 = "RB", _xludf.IFS(
AND(H135 &gt;= 0, H135 &lt; 2.55), 1,
AND(H135 &gt;= 2.55, H135 &lt; 4.7), 2,
AND(H135 &gt;= 4.7, H135 &lt; 8.4), 3,
AND(H135 &gt;= 8.4, H135 &lt;= 36), 
4),
F135 = "WR", _xludf.IFS(
AND(H135 &gt;= 0, H135 &lt; 2.55), 1,
AND(H135 &gt;= 2.55, H135 &lt; 4.2), 2,
AND(H135 &gt;= 4.2, H135 &lt; 8.55), 3,
AND(H135 &gt;= 8.55, H135 &lt;= 24.4), 
4),
F135 = "QB", _xludf.IFS(
AND(H135 &gt;= 0, H135 &lt; 2.95), 1,
AND(H135 &gt;= 2.95, H135 &lt; 5.4), 2,
AND(H135 &gt;= 5.4, H135 &lt; 7.2), 3,
AND(H135 &gt;= 7.2, H135 &lt;= 12.3), 
4),
F135 = "TE", _xludf.IFS(
AND(H135 &gt;= 0, H135 &lt; 3), 1,
AND(H135 &gt;= 3, H135 &lt; 4.8), 2,
AND(H135 &gt;= 4.8, H135 &lt; 8.525), 3,
AND(H135 &gt;= 8.525, H135 &lt;= 24.6), 
4)
)</f>
        <v/>
      </c>
    </row>
    <row r="135" ht="13" customHeight="1" s="54">
      <c r="C135">
        <f>IF(COUNTIF(Keeper!B:B,D135)&gt;0,"x","")</f>
        <v/>
      </c>
      <c r="D135" s="40">
        <f>Fantasypro!C133</f>
        <v/>
      </c>
      <c r="E135" s="40">
        <f>Fantasypro!D133</f>
        <v/>
      </c>
      <c r="F135">
        <f>Fantasypro!K133</f>
        <v/>
      </c>
      <c r="G135" s="39">
        <f>Fantasypro!H133</f>
        <v/>
      </c>
      <c r="H135" s="39">
        <f>Fantasypro!I133</f>
        <v/>
      </c>
      <c r="I135" s="51">
        <f>_xludf.IFS(
F136 = "RB", _xludf.IFS(
AND(H136 &gt;= 0, H136 &lt; 2.55), 1,
AND(H136 &gt;= 2.55, H136 &lt; 4.7), 2,
AND(H136 &gt;= 4.7, H136 &lt; 8.4), 3,
AND(H136 &gt;= 8.4, H136 &lt;= 36), 
4),
F136 = "WR", _xludf.IFS(
AND(H136 &gt;= 0, H136 &lt; 2.55), 1,
AND(H136 &gt;= 2.55, H136 &lt; 4.2), 2,
AND(H136 &gt;= 4.2, H136 &lt; 8.55), 3,
AND(H136 &gt;= 8.55, H136 &lt;= 24.4), 
4),
F136 = "QB", _xludf.IFS(
AND(H136 &gt;= 0, H136 &lt; 2.95), 1,
AND(H136 &gt;= 2.95, H136 &lt; 5.4), 2,
AND(H136 &gt;= 5.4, H136 &lt; 7.2), 3,
AND(H136 &gt;= 7.2, H136 &lt;= 12.3), 
4),
F136 = "TE", _xludf.IFS(
AND(H136 &gt;= 0, H136 &lt; 3), 1,
AND(H136 &gt;= 3, H136 &lt; 4.8), 2,
AND(H136 &gt;= 4.8, H136 &lt; 8.525), 3,
AND(H136 &gt;= 8.525, H136 &lt;= 24.6), 
4)
)</f>
        <v/>
      </c>
    </row>
    <row r="136" ht="13" customHeight="1" s="54">
      <c r="C136">
        <f>IF(COUNTIF(Keeper!B:B,D136)&gt;0,"x","")</f>
        <v/>
      </c>
      <c r="D136" s="40">
        <f>Fantasypro!C134</f>
        <v/>
      </c>
      <c r="E136" s="40">
        <f>Fantasypro!D134</f>
        <v/>
      </c>
      <c r="F136">
        <f>Fantasypro!K134</f>
        <v/>
      </c>
      <c r="G136" s="39">
        <f>Fantasypro!H134</f>
        <v/>
      </c>
      <c r="H136" s="39">
        <f>Fantasypro!I134</f>
        <v/>
      </c>
      <c r="I136" s="51">
        <f>_xludf.IFS(
F137 = "RB", _xludf.IFS(
AND(H137 &gt;= 0, H137 &lt; 2.55), 1,
AND(H137 &gt;= 2.55, H137 &lt; 4.7), 2,
AND(H137 &gt;= 4.7, H137 &lt; 8.4), 3,
AND(H137 &gt;= 8.4, H137 &lt;= 36), 
4),
F137 = "WR", _xludf.IFS(
AND(H137 &gt;= 0, H137 &lt; 2.55), 1,
AND(H137 &gt;= 2.55, H137 &lt; 4.2), 2,
AND(H137 &gt;= 4.2, H137 &lt; 8.55), 3,
AND(H137 &gt;= 8.55, H137 &lt;= 24.4), 
4),
F137 = "QB", _xludf.IFS(
AND(H137 &gt;= 0, H137 &lt; 2.95), 1,
AND(H137 &gt;= 2.95, H137 &lt; 5.4), 2,
AND(H137 &gt;= 5.4, H137 &lt; 7.2), 3,
AND(H137 &gt;= 7.2, H137 &lt;= 12.3), 
4),
F137 = "TE", _xludf.IFS(
AND(H137 &gt;= 0, H137 &lt; 3), 1,
AND(H137 &gt;= 3, H137 &lt; 4.8), 2,
AND(H137 &gt;= 4.8, H137 &lt; 8.525), 3,
AND(H137 &gt;= 8.525, H137 &lt;= 24.6), 
4)
)</f>
        <v/>
      </c>
    </row>
    <row r="137" ht="13" customHeight="1" s="54">
      <c r="C137">
        <f>IF(COUNTIF(Keeper!B:B,D137)&gt;0,"x","")</f>
        <v/>
      </c>
      <c r="D137" s="40">
        <f>Fantasypro!C135</f>
        <v/>
      </c>
      <c r="E137" s="40">
        <f>Fantasypro!D135</f>
        <v/>
      </c>
      <c r="F137">
        <f>Fantasypro!K135</f>
        <v/>
      </c>
      <c r="G137" s="39">
        <f>Fantasypro!H135</f>
        <v/>
      </c>
      <c r="H137" s="39">
        <f>Fantasypro!I135</f>
        <v/>
      </c>
      <c r="I137" s="51">
        <f>_xludf.IFS(
F138 = "RB", _xludf.IFS(
AND(H138 &gt;= 0, H138 &lt; 2.55), 1,
AND(H138 &gt;= 2.55, H138 &lt; 4.7), 2,
AND(H138 &gt;= 4.7, H138 &lt; 8.4), 3,
AND(H138 &gt;= 8.4, H138 &lt;= 36), 
4),
F138 = "WR", _xludf.IFS(
AND(H138 &gt;= 0, H138 &lt; 2.55), 1,
AND(H138 &gt;= 2.55, H138 &lt; 4.2), 2,
AND(H138 &gt;= 4.2, H138 &lt; 8.55), 3,
AND(H138 &gt;= 8.55, H138 &lt;= 24.4), 
4),
F138 = "QB", _xludf.IFS(
AND(H138 &gt;= 0, H138 &lt; 2.95), 1,
AND(H138 &gt;= 2.95, H138 &lt; 5.4), 2,
AND(H138 &gt;= 5.4, H138 &lt; 7.2), 3,
AND(H138 &gt;= 7.2, H138 &lt;= 12.3), 
4),
F138 = "TE", _xludf.IFS(
AND(H138 &gt;= 0, H138 &lt; 3), 1,
AND(H138 &gt;= 3, H138 &lt; 4.8), 2,
AND(H138 &gt;= 4.8, H138 &lt; 8.525), 3,
AND(H138 &gt;= 8.525, H138 &lt;= 24.6), 
4)
)</f>
        <v/>
      </c>
    </row>
    <row r="138" ht="13" customHeight="1" s="54">
      <c r="A138" s="26" t="n"/>
      <c r="C138">
        <f>IF(COUNTIF(Keeper!B:B,D138)&gt;0,"x","")</f>
        <v/>
      </c>
      <c r="D138" s="40">
        <f>Fantasypro!C136</f>
        <v/>
      </c>
      <c r="E138" s="40">
        <f>Fantasypro!D136</f>
        <v/>
      </c>
      <c r="F138">
        <f>Fantasypro!K136</f>
        <v/>
      </c>
      <c r="G138" s="39">
        <f>Fantasypro!H136</f>
        <v/>
      </c>
      <c r="H138" s="39">
        <f>Fantasypro!I136</f>
        <v/>
      </c>
      <c r="I138" s="51">
        <f>_xludf.IFS(
F139 = "RB", _xludf.IFS(
AND(H139 &gt;= 0, H139 &lt; 2.55), 1,
AND(H139 &gt;= 2.55, H139 &lt; 4.7), 2,
AND(H139 &gt;= 4.7, H139 &lt; 8.4), 3,
AND(H139 &gt;= 8.4, H139 &lt;= 36), 
4),
F139 = "WR", _xludf.IFS(
AND(H139 &gt;= 0, H139 &lt; 2.55), 1,
AND(H139 &gt;= 2.55, H139 &lt; 4.2), 2,
AND(H139 &gt;= 4.2, H139 &lt; 8.55), 3,
AND(H139 &gt;= 8.55, H139 &lt;= 24.4), 
4),
F139 = "QB", _xludf.IFS(
AND(H139 &gt;= 0, H139 &lt; 2.95), 1,
AND(H139 &gt;= 2.95, H139 &lt; 5.4), 2,
AND(H139 &gt;= 5.4, H139 &lt; 7.2), 3,
AND(H139 &gt;= 7.2, H139 &lt;= 12.3), 
4),
F139 = "TE", _xludf.IFS(
AND(H139 &gt;= 0, H139 &lt; 3), 1,
AND(H139 &gt;= 3, H139 &lt; 4.8), 2,
AND(H139 &gt;= 4.8, H139 &lt; 8.525), 3,
AND(H139 &gt;= 8.525, H139 &lt;= 24.6), 
4)
)</f>
        <v/>
      </c>
    </row>
    <row r="139" ht="13" customHeight="1" s="54">
      <c r="C139">
        <f>IF(COUNTIF(Keeper!B:B,D139)&gt;0,"x","")</f>
        <v/>
      </c>
      <c r="D139" s="40">
        <f>Fantasypro!C137</f>
        <v/>
      </c>
      <c r="E139" s="40">
        <f>Fantasypro!D137</f>
        <v/>
      </c>
      <c r="F139">
        <f>Fantasypro!K137</f>
        <v/>
      </c>
      <c r="G139" s="39">
        <f>Fantasypro!H137</f>
        <v/>
      </c>
      <c r="H139" s="39">
        <f>Fantasypro!I137</f>
        <v/>
      </c>
      <c r="I139" s="51">
        <f>_xludf.IFS(
F140 = "RB", _xludf.IFS(
AND(H140 &gt;= 0, H140 &lt; 2.55), 1,
AND(H140 &gt;= 2.55, H140 &lt; 4.7), 2,
AND(H140 &gt;= 4.7, H140 &lt; 8.4), 3,
AND(H140 &gt;= 8.4, H140 &lt;= 36), 
4),
F140 = "WR", _xludf.IFS(
AND(H140 &gt;= 0, H140 &lt; 2.55), 1,
AND(H140 &gt;= 2.55, H140 &lt; 4.2), 2,
AND(H140 &gt;= 4.2, H140 &lt; 8.55), 3,
AND(H140 &gt;= 8.55, H140 &lt;= 24.4), 
4),
F140 = "QB", _xludf.IFS(
AND(H140 &gt;= 0, H140 &lt; 2.95), 1,
AND(H140 &gt;= 2.95, H140 &lt; 5.4), 2,
AND(H140 &gt;= 5.4, H140 &lt; 7.2), 3,
AND(H140 &gt;= 7.2, H140 &lt;= 12.3), 
4),
F140 = "TE", _xludf.IFS(
AND(H140 &gt;= 0, H140 &lt; 3), 1,
AND(H140 &gt;= 3, H140 &lt; 4.8), 2,
AND(H140 &gt;= 4.8, H140 &lt; 8.525), 3,
AND(H140 &gt;= 8.525, H140 &lt;= 24.6), 
4)
)</f>
        <v/>
      </c>
    </row>
    <row r="140" ht="13" customHeight="1" s="54">
      <c r="C140">
        <f>IF(COUNTIF(Keeper!B:B,D140)&gt;0,"x","")</f>
        <v/>
      </c>
      <c r="D140" s="40">
        <f>Fantasypro!C138</f>
        <v/>
      </c>
      <c r="E140" s="40">
        <f>Fantasypro!D138</f>
        <v/>
      </c>
      <c r="F140">
        <f>Fantasypro!K138</f>
        <v/>
      </c>
      <c r="G140" s="39">
        <f>Fantasypro!H138</f>
        <v/>
      </c>
      <c r="H140" s="39">
        <f>Fantasypro!I138</f>
        <v/>
      </c>
      <c r="I140" s="51">
        <f>_xludf.IFS(
F141 = "RB", _xludf.IFS(
AND(H141 &gt;= 0, H141 &lt; 2.55), 1,
AND(H141 &gt;= 2.55, H141 &lt; 4.7), 2,
AND(H141 &gt;= 4.7, H141 &lt; 8.4), 3,
AND(H141 &gt;= 8.4, H141 &lt;= 36), 
4),
F141 = "WR", _xludf.IFS(
AND(H141 &gt;= 0, H141 &lt; 2.55), 1,
AND(H141 &gt;= 2.55, H141 &lt; 4.2), 2,
AND(H141 &gt;= 4.2, H141 &lt; 8.55), 3,
AND(H141 &gt;= 8.55, H141 &lt;= 24.4), 
4),
F141 = "QB", _xludf.IFS(
AND(H141 &gt;= 0, H141 &lt; 2.95), 1,
AND(H141 &gt;= 2.95, H141 &lt; 5.4), 2,
AND(H141 &gt;= 5.4, H141 &lt; 7.2), 3,
AND(H141 &gt;= 7.2, H141 &lt;= 12.3), 
4),
F141 = "TE", _xludf.IFS(
AND(H141 &gt;= 0, H141 &lt; 3), 1,
AND(H141 &gt;= 3, H141 &lt; 4.8), 2,
AND(H141 &gt;= 4.8, H141 &lt; 8.525), 3,
AND(H141 &gt;= 8.525, H141 &lt;= 24.6), 
4)
)</f>
        <v/>
      </c>
    </row>
    <row r="141" ht="13" customHeight="1" s="54">
      <c r="C141">
        <f>IF(COUNTIF(Keeper!B:B,D141)&gt;0,"x","")</f>
        <v/>
      </c>
      <c r="D141" s="40">
        <f>Fantasypro!C139</f>
        <v/>
      </c>
      <c r="E141" s="40">
        <f>Fantasypro!D139</f>
        <v/>
      </c>
      <c r="F141">
        <f>Fantasypro!K139</f>
        <v/>
      </c>
      <c r="G141" s="39">
        <f>Fantasypro!H139</f>
        <v/>
      </c>
      <c r="H141" s="39">
        <f>Fantasypro!I139</f>
        <v/>
      </c>
      <c r="I141" s="51">
        <f>_xludf.IFS(
F142 = "RB", _xludf.IFS(
AND(H142 &gt;= 0, H142 &lt; 2.55), 1,
AND(H142 &gt;= 2.55, H142 &lt; 4.7), 2,
AND(H142 &gt;= 4.7, H142 &lt; 8.4), 3,
AND(H142 &gt;= 8.4, H142 &lt;= 36), 
4),
F142 = "WR", _xludf.IFS(
AND(H142 &gt;= 0, H142 &lt; 2.55), 1,
AND(H142 &gt;= 2.55, H142 &lt; 4.2), 2,
AND(H142 &gt;= 4.2, H142 &lt; 8.55), 3,
AND(H142 &gt;= 8.55, H142 &lt;= 24.4), 
4),
F142 = "QB", _xludf.IFS(
AND(H142 &gt;= 0, H142 &lt; 2.95), 1,
AND(H142 &gt;= 2.95, H142 &lt; 5.4), 2,
AND(H142 &gt;= 5.4, H142 &lt; 7.2), 3,
AND(H142 &gt;= 7.2, H142 &lt;= 12.3), 
4),
F142 = "TE", _xludf.IFS(
AND(H142 &gt;= 0, H142 &lt; 3), 1,
AND(H142 &gt;= 3, H142 &lt; 4.8), 2,
AND(H142 &gt;= 4.8, H142 &lt; 8.525), 3,
AND(H142 &gt;= 8.525, H142 &lt;= 24.6), 
4)
)</f>
        <v/>
      </c>
    </row>
    <row r="142" ht="13" customHeight="1" s="54">
      <c r="C142">
        <f>IF(COUNTIF(Keeper!B:B,D142)&gt;0,"x","")</f>
        <v/>
      </c>
      <c r="D142" s="40">
        <f>Fantasypro!C140</f>
        <v/>
      </c>
      <c r="E142" s="40">
        <f>Fantasypro!D140</f>
        <v/>
      </c>
      <c r="F142">
        <f>Fantasypro!K140</f>
        <v/>
      </c>
      <c r="G142" s="39">
        <f>Fantasypro!H140</f>
        <v/>
      </c>
      <c r="H142" s="39">
        <f>Fantasypro!I140</f>
        <v/>
      </c>
      <c r="I142" s="51">
        <f>_xludf.IFS(
F143 = "RB", _xludf.IFS(
AND(H143 &gt;= 0, H143 &lt; 2.55), 1,
AND(H143 &gt;= 2.55, H143 &lt; 4.7), 2,
AND(H143 &gt;= 4.7, H143 &lt; 8.4), 3,
AND(H143 &gt;= 8.4, H143 &lt;= 36), 
4),
F143 = "WR", _xludf.IFS(
AND(H143 &gt;= 0, H143 &lt; 2.55), 1,
AND(H143 &gt;= 2.55, H143 &lt; 4.2), 2,
AND(H143 &gt;= 4.2, H143 &lt; 8.55), 3,
AND(H143 &gt;= 8.55, H143 &lt;= 24.4), 
4),
F143 = "QB", _xludf.IFS(
AND(H143 &gt;= 0, H143 &lt; 2.95), 1,
AND(H143 &gt;= 2.95, H143 &lt; 5.4), 2,
AND(H143 &gt;= 5.4, H143 &lt; 7.2), 3,
AND(H143 &gt;= 7.2, H143 &lt;= 12.3), 
4),
F143 = "TE", _xludf.IFS(
AND(H143 &gt;= 0, H143 &lt; 3), 1,
AND(H143 &gt;= 3, H143 &lt; 4.8), 2,
AND(H143 &gt;= 4.8, H143 &lt; 8.525), 3,
AND(H143 &gt;= 8.525, H143 &lt;= 24.6), 
4)
)</f>
        <v/>
      </c>
    </row>
    <row r="143" ht="13" customHeight="1" s="54">
      <c r="C143">
        <f>IF(COUNTIF(Keeper!B:B,D143)&gt;0,"x","")</f>
        <v/>
      </c>
      <c r="D143" s="40">
        <f>Fantasypro!C141</f>
        <v/>
      </c>
      <c r="E143" s="40">
        <f>Fantasypro!D141</f>
        <v/>
      </c>
      <c r="F143">
        <f>Fantasypro!K141</f>
        <v/>
      </c>
      <c r="G143" s="39">
        <f>Fantasypro!H141</f>
        <v/>
      </c>
      <c r="H143" s="39">
        <f>Fantasypro!I141</f>
        <v/>
      </c>
      <c r="I143" s="51">
        <f>_xludf.IFS(
F144 = "RB", _xludf.IFS(
AND(H144 &gt;= 0, H144 &lt; 2.55), 1,
AND(H144 &gt;= 2.55, H144 &lt; 4.7), 2,
AND(H144 &gt;= 4.7, H144 &lt; 8.4), 3,
AND(H144 &gt;= 8.4, H144 &lt;= 36), 
4),
F144 = "WR", _xludf.IFS(
AND(H144 &gt;= 0, H144 &lt; 2.55), 1,
AND(H144 &gt;= 2.55, H144 &lt; 4.2), 2,
AND(H144 &gt;= 4.2, H144 &lt; 8.55), 3,
AND(H144 &gt;= 8.55, H144 &lt;= 24.4), 
4),
F144 = "QB", _xludf.IFS(
AND(H144 &gt;= 0, H144 &lt; 2.95), 1,
AND(H144 &gt;= 2.95, H144 &lt; 5.4), 2,
AND(H144 &gt;= 5.4, H144 &lt; 7.2), 3,
AND(H144 &gt;= 7.2, H144 &lt;= 12.3), 
4),
F144 = "TE", _xludf.IFS(
AND(H144 &gt;= 0, H144 &lt; 3), 1,
AND(H144 &gt;= 3, H144 &lt; 4.8), 2,
AND(H144 &gt;= 4.8, H144 &lt; 8.525), 3,
AND(H144 &gt;= 8.525, H144 &lt;= 24.6), 
4)
)</f>
        <v/>
      </c>
    </row>
    <row r="144" ht="13" customHeight="1" s="54">
      <c r="A144" s="26" t="inlineStr">
        <is>
          <t>Brian Robinson</t>
        </is>
      </c>
      <c r="C144">
        <f>IF(COUNTIF(Keeper!B:B,D144)&gt;0,"x","")</f>
        <v/>
      </c>
      <c r="D144" s="40">
        <f>Fantasypro!C142</f>
        <v/>
      </c>
      <c r="E144" s="40">
        <f>Fantasypro!D142</f>
        <v/>
      </c>
      <c r="F144">
        <f>Fantasypro!K142</f>
        <v/>
      </c>
      <c r="G144" s="39">
        <f>Fantasypro!H142</f>
        <v/>
      </c>
      <c r="H144" s="39">
        <f>Fantasypro!I142</f>
        <v/>
      </c>
      <c r="I144" s="51">
        <f>_xludf.IFS(
F145 = "RB", _xludf.IFS(
AND(H145 &gt;= 0, H145 &lt; 2.55), 1,
AND(H145 &gt;= 2.55, H145 &lt; 4.7), 2,
AND(H145 &gt;= 4.7, H145 &lt; 8.4), 3,
AND(H145 &gt;= 8.4, H145 &lt;= 36), 
4),
F145 = "WR", _xludf.IFS(
AND(H145 &gt;= 0, H145 &lt; 2.55), 1,
AND(H145 &gt;= 2.55, H145 &lt; 4.2), 2,
AND(H145 &gt;= 4.2, H145 &lt; 8.55), 3,
AND(H145 &gt;= 8.55, H145 &lt;= 24.4), 
4),
F145 = "QB", _xludf.IFS(
AND(H145 &gt;= 0, H145 &lt; 2.95), 1,
AND(H145 &gt;= 2.95, H145 &lt; 5.4), 2,
AND(H145 &gt;= 5.4, H145 &lt; 7.2), 3,
AND(H145 &gt;= 7.2, H145 &lt;= 12.3), 
4),
F145 = "TE", _xludf.IFS(
AND(H145 &gt;= 0, H145 &lt; 3), 1,
AND(H145 &gt;= 3, H145 &lt; 4.8), 2,
AND(H145 &gt;= 4.8, H145 &lt; 8.525), 3,
AND(H145 &gt;= 8.525, H145 &lt;= 24.6), 
4)
)</f>
        <v/>
      </c>
    </row>
    <row r="145" ht="13" customHeight="1" s="54">
      <c r="A145" s="26" t="n"/>
      <c r="C145">
        <f>IF(COUNTIF(Keeper!B:B,D145)&gt;0,"x","")</f>
        <v/>
      </c>
      <c r="D145" s="40">
        <f>Fantasypro!C143</f>
        <v/>
      </c>
      <c r="E145" s="40">
        <f>Fantasypro!D143</f>
        <v/>
      </c>
      <c r="F145">
        <f>Fantasypro!K143</f>
        <v/>
      </c>
      <c r="G145" s="39">
        <f>Fantasypro!H143</f>
        <v/>
      </c>
      <c r="H145" s="39">
        <f>Fantasypro!I143</f>
        <v/>
      </c>
      <c r="I145" s="51">
        <f>_xludf.IFS(
F146 = "RB", _xludf.IFS(
AND(H146 &gt;= 0, H146 &lt; 2.55), 1,
AND(H146 &gt;= 2.55, H146 &lt; 4.7), 2,
AND(H146 &gt;= 4.7, H146 &lt; 8.4), 3,
AND(H146 &gt;= 8.4, H146 &lt;= 36), 
4),
F146 = "WR", _xludf.IFS(
AND(H146 &gt;= 0, H146 &lt; 2.55), 1,
AND(H146 &gt;= 2.55, H146 &lt; 4.2), 2,
AND(H146 &gt;= 4.2, H146 &lt; 8.55), 3,
AND(H146 &gt;= 8.55, H146 &lt;= 24.4), 
4),
F146 = "QB", _xludf.IFS(
AND(H146 &gt;= 0, H146 &lt; 2.95), 1,
AND(H146 &gt;= 2.95, H146 &lt; 5.4), 2,
AND(H146 &gt;= 5.4, H146 &lt; 7.2), 3,
AND(H146 &gt;= 7.2, H146 &lt;= 12.3), 
4),
F146 = "TE", _xludf.IFS(
AND(H146 &gt;= 0, H146 &lt; 3), 1,
AND(H146 &gt;= 3, H146 &lt; 4.8), 2,
AND(H146 &gt;= 4.8, H146 &lt; 8.525), 3,
AND(H146 &gt;= 8.525, H146 &lt;= 24.6), 
4)
)</f>
        <v/>
      </c>
    </row>
    <row r="146" ht="13" customHeight="1" s="54">
      <c r="A146" s="26" t="inlineStr">
        <is>
          <t>R.J Harvey</t>
        </is>
      </c>
      <c r="C146">
        <f>IF(COUNTIF(Keeper!B:B,D146)&gt;0,"x","")</f>
        <v/>
      </c>
      <c r="D146" s="40">
        <f>Fantasypro!C144</f>
        <v/>
      </c>
      <c r="E146" s="40">
        <f>Fantasypro!D144</f>
        <v/>
      </c>
      <c r="F146">
        <f>Fantasypro!K144</f>
        <v/>
      </c>
      <c r="G146" s="39">
        <f>Fantasypro!H144</f>
        <v/>
      </c>
      <c r="H146" s="39">
        <f>Fantasypro!I144</f>
        <v/>
      </c>
      <c r="I146" s="51">
        <f>_xludf.IFS(
F147 = "RB", _xludf.IFS(
AND(H147 &gt;= 0, H147 &lt; 2.55), 1,
AND(H147 &gt;= 2.55, H147 &lt; 4.7), 2,
AND(H147 &gt;= 4.7, H147 &lt; 8.4), 3,
AND(H147 &gt;= 8.4, H147 &lt;= 36), 
4),
F147 = "WR", _xludf.IFS(
AND(H147 &gt;= 0, H147 &lt; 2.55), 1,
AND(H147 &gt;= 2.55, H147 &lt; 4.2), 2,
AND(H147 &gt;= 4.2, H147 &lt; 8.55), 3,
AND(H147 &gt;= 8.55, H147 &lt;= 24.4), 
4),
F147 = "QB", _xludf.IFS(
AND(H147 &gt;= 0, H147 &lt; 2.95), 1,
AND(H147 &gt;= 2.95, H147 &lt; 5.4), 2,
AND(H147 &gt;= 5.4, H147 &lt; 7.2), 3,
AND(H147 &gt;= 7.2, H147 &lt;= 12.3), 
4),
F147 = "TE", _xludf.IFS(
AND(H147 &gt;= 0, H147 &lt; 3), 1,
AND(H147 &gt;= 3, H147 &lt; 4.8), 2,
AND(H147 &gt;= 4.8, H147 &lt; 8.525), 3,
AND(H147 &gt;= 8.525, H147 &lt;= 24.6), 
4)
)</f>
        <v/>
      </c>
    </row>
    <row r="147" ht="13" customHeight="1" s="54">
      <c r="C147">
        <f>IF(COUNTIF(Keeper!B:B,D147)&gt;0,"x","")</f>
        <v/>
      </c>
      <c r="D147" s="40">
        <f>Fantasypro!C145</f>
        <v/>
      </c>
      <c r="E147" s="40">
        <f>Fantasypro!D145</f>
        <v/>
      </c>
      <c r="F147">
        <f>Fantasypro!K145</f>
        <v/>
      </c>
      <c r="G147" s="39">
        <f>Fantasypro!H145</f>
        <v/>
      </c>
      <c r="H147" s="39">
        <f>Fantasypro!I145</f>
        <v/>
      </c>
      <c r="I147" s="51">
        <f>_xludf.IFS(
F148 = "RB", _xludf.IFS(
AND(H148 &gt;= 0, H148 &lt; 2.55), 1,
AND(H148 &gt;= 2.55, H148 &lt; 4.7), 2,
AND(H148 &gt;= 4.7, H148 &lt; 8.4), 3,
AND(H148 &gt;= 8.4, H148 &lt;= 36), 
4),
F148 = "WR", _xludf.IFS(
AND(H148 &gt;= 0, H148 &lt; 2.55), 1,
AND(H148 &gt;= 2.55, H148 &lt; 4.2), 2,
AND(H148 &gt;= 4.2, H148 &lt; 8.55), 3,
AND(H148 &gt;= 8.55, H148 &lt;= 24.4), 
4),
F148 = "QB", _xludf.IFS(
AND(H148 &gt;= 0, H148 &lt; 2.95), 1,
AND(H148 &gt;= 2.95, H148 &lt; 5.4), 2,
AND(H148 &gt;= 5.4, H148 &lt; 7.2), 3,
AND(H148 &gt;= 7.2, H148 &lt;= 12.3), 
4),
F148 = "TE", _xludf.IFS(
AND(H148 &gt;= 0, H148 &lt; 3), 1,
AND(H148 &gt;= 3, H148 &lt; 4.8), 2,
AND(H148 &gt;= 4.8, H148 &lt; 8.525), 3,
AND(H148 &gt;= 8.525, H148 &lt;= 24.6), 
4)
)</f>
        <v/>
      </c>
    </row>
    <row r="148" ht="13" customHeight="1" s="54">
      <c r="C148">
        <f>IF(COUNTIF(Keeper!B:B,D148)&gt;0,"x","")</f>
        <v/>
      </c>
      <c r="D148" s="40">
        <f>Fantasypro!C146</f>
        <v/>
      </c>
      <c r="E148" s="40">
        <f>Fantasypro!D146</f>
        <v/>
      </c>
      <c r="F148">
        <f>Fantasypro!K146</f>
        <v/>
      </c>
      <c r="G148" s="39">
        <f>Fantasypro!H146</f>
        <v/>
      </c>
      <c r="H148" s="39">
        <f>Fantasypro!I146</f>
        <v/>
      </c>
      <c r="I148" s="51">
        <f>_xludf.IFS(
F149 = "RB", _xludf.IFS(
AND(H149 &gt;= 0, H149 &lt; 2.55), 1,
AND(H149 &gt;= 2.55, H149 &lt; 4.7), 2,
AND(H149 &gt;= 4.7, H149 &lt; 8.4), 3,
AND(H149 &gt;= 8.4, H149 &lt;= 36), 
4),
F149 = "WR", _xludf.IFS(
AND(H149 &gt;= 0, H149 &lt; 2.55), 1,
AND(H149 &gt;= 2.55, H149 &lt; 4.2), 2,
AND(H149 &gt;= 4.2, H149 &lt; 8.55), 3,
AND(H149 &gt;= 8.55, H149 &lt;= 24.4), 
4),
F149 = "QB", _xludf.IFS(
AND(H149 &gt;= 0, H149 &lt; 2.95), 1,
AND(H149 &gt;= 2.95, H149 &lt; 5.4), 2,
AND(H149 &gt;= 5.4, H149 &lt; 7.2), 3,
AND(H149 &gt;= 7.2, H149 &lt;= 12.3), 
4),
F149 = "TE", _xludf.IFS(
AND(H149 &gt;= 0, H149 &lt; 3), 1,
AND(H149 &gt;= 3, H149 &lt; 4.8), 2,
AND(H149 &gt;= 4.8, H149 &lt; 8.525), 3,
AND(H149 &gt;= 8.525, H149 &lt;= 24.6), 
4)
)</f>
        <v/>
      </c>
    </row>
    <row r="149" ht="13" customHeight="1" s="54">
      <c r="C149">
        <f>IF(COUNTIF(Keeper!B:B,D149)&gt;0,"x","")</f>
        <v/>
      </c>
      <c r="D149" s="40">
        <f>Fantasypro!C147</f>
        <v/>
      </c>
      <c r="E149" s="40">
        <f>Fantasypro!D147</f>
        <v/>
      </c>
      <c r="F149">
        <f>Fantasypro!K147</f>
        <v/>
      </c>
      <c r="G149" s="39">
        <f>Fantasypro!H147</f>
        <v/>
      </c>
      <c r="H149" s="39">
        <f>Fantasypro!I147</f>
        <v/>
      </c>
      <c r="I149" s="51">
        <f>_xludf.IFS(
F150 = "RB", _xludf.IFS(
AND(H150 &gt;= 0, H150 &lt; 2.55), 1,
AND(H150 &gt;= 2.55, H150 &lt; 4.7), 2,
AND(H150 &gt;= 4.7, H150 &lt; 8.4), 3,
AND(H150 &gt;= 8.4, H150 &lt;= 36), 
4),
F150 = "WR", _xludf.IFS(
AND(H150 &gt;= 0, H150 &lt; 2.55), 1,
AND(H150 &gt;= 2.55, H150 &lt; 4.2), 2,
AND(H150 &gt;= 4.2, H150 &lt; 8.55), 3,
AND(H150 &gt;= 8.55, H150 &lt;= 24.4), 
4),
F150 = "QB", _xludf.IFS(
AND(H150 &gt;= 0, H150 &lt; 2.95), 1,
AND(H150 &gt;= 2.95, H150 &lt; 5.4), 2,
AND(H150 &gt;= 5.4, H150 &lt; 7.2), 3,
AND(H150 &gt;= 7.2, H150 &lt;= 12.3), 
4),
F150 = "TE", _xludf.IFS(
AND(H150 &gt;= 0, H150 &lt; 3), 1,
AND(H150 &gt;= 3, H150 &lt; 4.8), 2,
AND(H150 &gt;= 4.8, H150 &lt; 8.525), 3,
AND(H150 &gt;= 8.525, H150 &lt;= 24.6), 
4)
)</f>
        <v/>
      </c>
    </row>
    <row r="150" ht="13" customHeight="1" s="54">
      <c r="C150">
        <f>IF(COUNTIF(Keeper!B:B,D150)&gt;0,"x","")</f>
        <v/>
      </c>
      <c r="D150" s="40">
        <f>Fantasypro!C148</f>
        <v/>
      </c>
      <c r="E150" s="40">
        <f>Fantasypro!D148</f>
        <v/>
      </c>
      <c r="F150">
        <f>Fantasypro!K148</f>
        <v/>
      </c>
      <c r="G150" s="39">
        <f>Fantasypro!H148</f>
        <v/>
      </c>
      <c r="H150" s="39">
        <f>Fantasypro!I148</f>
        <v/>
      </c>
      <c r="I150" s="51">
        <f>_xludf.IFS(
F151 = "RB", _xludf.IFS(
AND(H151 &gt;= 0, H151 &lt; 2.55), 1,
AND(H151 &gt;= 2.55, H151 &lt; 4.7), 2,
AND(H151 &gt;= 4.7, H151 &lt; 8.4), 3,
AND(H151 &gt;= 8.4, H151 &lt;= 36), 
4),
F151 = "WR", _xludf.IFS(
AND(H151 &gt;= 0, H151 &lt; 2.55), 1,
AND(H151 &gt;= 2.55, H151 &lt; 4.2), 2,
AND(H151 &gt;= 4.2, H151 &lt; 8.55), 3,
AND(H151 &gt;= 8.55, H151 &lt;= 24.4), 
4),
F151 = "QB", _xludf.IFS(
AND(H151 &gt;= 0, H151 &lt; 2.95), 1,
AND(H151 &gt;= 2.95, H151 &lt; 5.4), 2,
AND(H151 &gt;= 5.4, H151 &lt; 7.2), 3,
AND(H151 &gt;= 7.2, H151 &lt;= 12.3), 
4),
F151 = "TE", _xludf.IFS(
AND(H151 &gt;= 0, H151 &lt; 3), 1,
AND(H151 &gt;= 3, H151 &lt; 4.8), 2,
AND(H151 &gt;= 4.8, H151 &lt; 8.525), 3,
AND(H151 &gt;= 8.525, H151 &lt;= 24.6), 
4)
)</f>
        <v/>
      </c>
    </row>
    <row r="151" ht="13" customHeight="1" s="54">
      <c r="A151" s="26" t="inlineStr">
        <is>
          <t>James Conner</t>
        </is>
      </c>
      <c r="C151">
        <f>IF(COUNTIF(Keeper!B:B,D151)&gt;0,"x","")</f>
        <v/>
      </c>
      <c r="D151" s="40">
        <f>Fantasypro!C149</f>
        <v/>
      </c>
      <c r="E151" s="40">
        <f>Fantasypro!D149</f>
        <v/>
      </c>
      <c r="F151">
        <f>Fantasypro!K149</f>
        <v/>
      </c>
      <c r="G151" s="39">
        <f>Fantasypro!H149</f>
        <v/>
      </c>
      <c r="H151" s="39">
        <f>Fantasypro!I149</f>
        <v/>
      </c>
      <c r="I151" s="51">
        <f>_xludf.IFS(
F152 = "RB", _xludf.IFS(
AND(H152 &gt;= 0, H152 &lt; 2.55), 1,
AND(H152 &gt;= 2.55, H152 &lt; 4.7), 2,
AND(H152 &gt;= 4.7, H152 &lt; 8.4), 3,
AND(H152 &gt;= 8.4, H152 &lt;= 36), 
4),
F152 = "WR", _xludf.IFS(
AND(H152 &gt;= 0, H152 &lt; 2.55), 1,
AND(H152 &gt;= 2.55, H152 &lt; 4.2), 2,
AND(H152 &gt;= 4.2, H152 &lt; 8.55), 3,
AND(H152 &gt;= 8.55, H152 &lt;= 24.4), 
4),
F152 = "QB", _xludf.IFS(
AND(H152 &gt;= 0, H152 &lt; 2.95), 1,
AND(H152 &gt;= 2.95, H152 &lt; 5.4), 2,
AND(H152 &gt;= 5.4, H152 &lt; 7.2), 3,
AND(H152 &gt;= 7.2, H152 &lt;= 12.3), 
4),
F152 = "TE", _xludf.IFS(
AND(H152 &gt;= 0, H152 &lt; 3), 1,
AND(H152 &gt;= 3, H152 &lt; 4.8), 2,
AND(H152 &gt;= 4.8, H152 &lt; 8.525), 3,
AND(H152 &gt;= 8.525, H152 &lt;= 24.6), 
4)
)</f>
        <v/>
      </c>
    </row>
    <row r="152" ht="13" customHeight="1" s="54">
      <c r="C152">
        <f>IF(COUNTIF(Keeper!B:B,D152)&gt;0,"x","")</f>
        <v/>
      </c>
      <c r="D152" s="40">
        <f>Fantasypro!C150</f>
        <v/>
      </c>
      <c r="E152" s="40">
        <f>Fantasypro!D150</f>
        <v/>
      </c>
      <c r="F152">
        <f>Fantasypro!K150</f>
        <v/>
      </c>
      <c r="G152" s="39">
        <f>Fantasypro!H150</f>
        <v/>
      </c>
      <c r="H152" s="39">
        <f>Fantasypro!I150</f>
        <v/>
      </c>
      <c r="I152" s="51" t="n">
        <v>3</v>
      </c>
    </row>
    <row r="153" ht="13" customHeight="1" s="54">
      <c r="C153">
        <f>IF(COUNTIF(Keeper!B:B,D153)&gt;0,"x","")</f>
        <v/>
      </c>
      <c r="D153" s="40">
        <f>Fantasypro!C151</f>
        <v/>
      </c>
      <c r="E153" s="40">
        <f>Fantasypro!D151</f>
        <v/>
      </c>
      <c r="F153">
        <f>Fantasypro!K151</f>
        <v/>
      </c>
      <c r="G153" s="39">
        <f>Fantasypro!H151</f>
        <v/>
      </c>
      <c r="H153" s="39">
        <f>Fantasypro!I151</f>
        <v/>
      </c>
      <c r="I153" s="51">
        <f>_xludf.IFS(
  F154 = "RB", _xludf.IFS(
    AND(H154 &gt;= 0, H154 &lt; 2.55), 1,
    AND(H154 &gt;= 2.55, H154 &lt; 4.7), 2,
    AND(H154 &gt;= 4.7, H154 &lt; 8.4), 3,
    AND(H154 &gt;= 8.4, H154 &lt;= 36), 4
  ),
  F154 = "WR", _xludf.IFS(
    AND(H154 &gt;= 0, H154 &lt; 2.55), 1,
    AND(H154 &gt;= 2.55, H154 &lt; 4.2), 2,
    AND(H154 &gt;= 4.2, H154 &lt; 8.55), 3,
    AND(H154 &gt;= 8.55, H154 &lt;= 24.4), 4
  ),
  F154 = "QB", _xludf.IFS(
    AND(H154 &gt;= 0, H154 &lt; 2.95), 1,
    AND(H154 &gt;= 2.95, H154 &lt; 5.4), 2,
    AND(H154 &gt;= 5.4, H154 &lt; 7.2), 3,
    AND(H154 &gt;= 7.2, H154 &lt;= 12.3), 4
  ),
  F154 = "TE", _xludf.IFS(
    AND(H154 &gt;= 0, H154 &lt; 3), 1,
    AND(H154 &gt;= 3, H154 &lt; 4.8), 2,
    AND(H154 &gt;= 4.8, H154 &lt; 8.525), 3,
    AND(H154 &gt;= 8.525, H154 &lt;= 24.6), 4
  )
)</f>
        <v/>
      </c>
    </row>
    <row r="154" ht="13" customHeight="1" s="54">
      <c r="C154">
        <f>IF(COUNTIF(Keeper!B:B,D154)&gt;0,"x","")</f>
        <v/>
      </c>
      <c r="D154" s="40">
        <f>Fantasypro!C152</f>
        <v/>
      </c>
      <c r="E154" s="40">
        <f>Fantasypro!D152</f>
        <v/>
      </c>
      <c r="F154">
        <f>Fantasypro!K152</f>
        <v/>
      </c>
      <c r="G154" s="39">
        <f>Fantasypro!H152</f>
        <v/>
      </c>
      <c r="H154" s="39">
        <f>Fantasypro!I152</f>
        <v/>
      </c>
      <c r="I154" s="51">
        <f>_xludf.IFS(
F155 = "RB", _xludf.IFS(
AND(H155 &gt;= 0, H155 &lt; 2.55), 1,
AND(H155 &gt;= 2.55, H155 &lt; 4.7), 2,
AND(H155 &gt;= 4.7, H155 &lt; 8.4), 3,
AND(H155 &gt;= 8.4, H155 &lt;= 36), 
4),
F155 = "WR", _xludf.IFS(
AND(H155 &gt;= 0, H155 &lt; 2.55), 1,
AND(H155 &gt;= 2.55, H155 &lt; 4.2), 2,
AND(H155 &gt;= 4.2, H155 &lt; 8.55), 3,
AND(H155 &gt;= 8.55, H155 &lt;= 24.4), 
4),
F155 = "QB", _xludf.IFS(
AND(H155 &gt;= 0, H155 &lt; 2.95), 1,
AND(H155 &gt;= 2.95, H155 &lt; 5.4), 2,
AND(H155 &gt;= 5.4, H155 &lt; 7.2), 3,
AND(H155 &gt;= 7.2, H155 &lt;= 12.3), 
4),
F155 = "TE", _xludf.IFS(
AND(H155 &gt;= 0, H155 &lt; 3), 1,
AND(H155 &gt;= 3, H155 &lt; 4.8), 2,
AND(H155 &gt;= 4.8, H155 &lt; 8.525), 3,
AND(H155 &gt;= 8.525, H155 &lt;= 24.6), 
4)
)</f>
        <v/>
      </c>
    </row>
    <row r="155" ht="13" customHeight="1" s="54">
      <c r="C155">
        <f>IF(COUNTIF(Keeper!B:B,D155)&gt;0,"x","")</f>
        <v/>
      </c>
      <c r="D155" s="40">
        <f>Fantasypro!C153</f>
        <v/>
      </c>
      <c r="E155" s="40">
        <f>Fantasypro!D153</f>
        <v/>
      </c>
      <c r="F155">
        <f>Fantasypro!K153</f>
        <v/>
      </c>
      <c r="G155" s="39">
        <f>Fantasypro!H153</f>
        <v/>
      </c>
      <c r="H155" s="39">
        <f>Fantasypro!I153</f>
        <v/>
      </c>
      <c r="I155" s="51">
        <f>_xludf.IFS(
F156 = "RB", _xludf.IFS(
AND(H156 &gt;= 0, H156 &lt; 2.55), 1,
AND(H156 &gt;= 2.55, H156 &lt; 4.7), 2,
AND(H156 &gt;= 4.7, H156 &lt; 8.4), 3,
AND(H156 &gt;= 8.4, H156 &lt;= 36), 
4),
F156 = "WR", _xludf.IFS(
AND(H156 &gt;= 0, H156 &lt; 2.55), 1,
AND(H156 &gt;= 2.55, H156 &lt; 4.2), 2,
AND(H156 &gt;= 4.2, H156 &lt; 8.55), 3,
AND(H156 &gt;= 8.55, H156 &lt;= 24.4), 
4),
F156 = "QB", _xludf.IFS(
AND(H156 &gt;= 0, H156 &lt; 2.95), 1,
AND(H156 &gt;= 2.95, H156 &lt; 5.4), 2,
AND(H156 &gt;= 5.4, H156 &lt; 7.2), 3,
AND(H156 &gt;= 7.2, H156 &lt;= 12.3), 
4),
F156 = "TE", _xludf.IFS(
AND(H156 &gt;= 0, H156 &lt; 3), 1,
AND(H156 &gt;= 3, H156 &lt; 4.8), 2,
AND(H156 &gt;= 4.8, H156 &lt; 8.525), 3,
AND(H156 &gt;= 8.525, H156 &lt;= 24.6), 
4)
)</f>
        <v/>
      </c>
    </row>
    <row r="156" ht="13" customHeight="1" s="54">
      <c r="C156">
        <f>IF(COUNTIF(Keeper!B:B,D156)&gt;0,"x","")</f>
        <v/>
      </c>
      <c r="D156" s="40">
        <f>Fantasypro!C154</f>
        <v/>
      </c>
      <c r="E156" s="40">
        <f>Fantasypro!D154</f>
        <v/>
      </c>
      <c r="F156">
        <f>Fantasypro!K154</f>
        <v/>
      </c>
      <c r="G156" s="39">
        <f>Fantasypro!H154</f>
        <v/>
      </c>
      <c r="H156" s="39">
        <f>Fantasypro!I154</f>
        <v/>
      </c>
      <c r="I156" s="51">
        <f>_xludf.IFS(
F157 = "RB", _xludf.IFS(
AND(H157 &gt;= 0, H157 &lt; 2.55), 1,
AND(H157 &gt;= 2.55, H157 &lt; 4.7), 2,
AND(H157 &gt;= 4.7, H157 &lt; 8.4), 3,
AND(H157 &gt;= 8.4, H157 &lt;= 36), 
4),
F157 = "WR", _xludf.IFS(
AND(H157 &gt;= 0, H157 &lt; 2.55), 1,
AND(H157 &gt;= 2.55, H157 &lt; 4.2), 2,
AND(H157 &gt;= 4.2, H157 &lt; 8.55), 3,
AND(H157 &gt;= 8.55, H157 &lt;= 24.4), 
4),
F157 = "QB", _xludf.IFS(
AND(H157 &gt;= 0, H157 &lt; 2.95), 1,
AND(H157 &gt;= 2.95, H157 &lt; 5.4), 2,
AND(H157 &gt;= 5.4, H157 &lt; 7.2), 3,
AND(H157 &gt;= 7.2, H157 &lt;= 12.3), 
4),
F157 = "TE", _xludf.IFS(
AND(H157 &gt;= 0, H157 &lt; 3), 1,
AND(H157 &gt;= 3, H157 &lt; 4.8), 2,
AND(H157 &gt;= 4.8, H157 &lt; 8.525), 3,
AND(H157 &gt;= 8.525, H157 &lt;= 24.6), 
4)
)</f>
        <v/>
      </c>
    </row>
    <row r="157" ht="13" customHeight="1" s="54">
      <c r="C157">
        <f>IF(COUNTIF(Keeper!B:B,D157)&gt;0,"x","")</f>
        <v/>
      </c>
      <c r="D157" s="40">
        <f>Fantasypro!C155</f>
        <v/>
      </c>
      <c r="E157" s="40">
        <f>Fantasypro!D155</f>
        <v/>
      </c>
      <c r="F157">
        <f>Fantasypro!K155</f>
        <v/>
      </c>
      <c r="G157" s="39">
        <f>Fantasypro!H155</f>
        <v/>
      </c>
      <c r="H157" s="39">
        <f>Fantasypro!I155</f>
        <v/>
      </c>
      <c r="I157" s="51">
        <f>_xludf.IFS(
F158 = "RB", _xludf.IFS(
AND(H158 &gt;= 0, H158 &lt; 2.55), 1,
AND(H158 &gt;= 2.55, H158 &lt; 4.7), 2,
AND(H158 &gt;= 4.7, H158 &lt; 8.4), 3,
AND(H158 &gt;= 8.4, H158 &lt;= 36), 
4),
F158 = "WR", _xludf.IFS(
AND(H158 &gt;= 0, H158 &lt; 2.55), 1,
AND(H158 &gt;= 2.55, H158 &lt; 4.2), 2,
AND(H158 &gt;= 4.2, H158 &lt; 8.55), 3,
AND(H158 &gt;= 8.55, H158 &lt;= 24.4), 
4),
F158 = "QB", _xludf.IFS(
AND(H158 &gt;= 0, H158 &lt; 2.95), 1,
AND(H158 &gt;= 2.95, H158 &lt; 5.4), 2,
AND(H158 &gt;= 5.4, H158 &lt; 7.2), 3,
AND(H158 &gt;= 7.2, H158 &lt;= 12.3), 
4),
F158 = "TE", _xludf.IFS(
AND(H158 &gt;= 0, H158 &lt; 3), 1,
AND(H158 &gt;= 3, H158 &lt; 4.8), 2,
AND(H158 &gt;= 4.8, H158 &lt; 8.525), 3,
AND(H158 &gt;= 8.525, H158 &lt;= 24.6), 
4)
)</f>
        <v/>
      </c>
    </row>
    <row r="158" ht="13" customHeight="1" s="54">
      <c r="C158">
        <f>IF(COUNTIF(Keeper!B:B,D158)&gt;0,"x","")</f>
        <v/>
      </c>
      <c r="D158" s="40">
        <f>Fantasypro!C156</f>
        <v/>
      </c>
      <c r="E158" s="40">
        <f>Fantasypro!D156</f>
        <v/>
      </c>
      <c r="F158">
        <f>Fantasypro!K156</f>
        <v/>
      </c>
      <c r="G158" s="39">
        <f>Fantasypro!H156</f>
        <v/>
      </c>
      <c r="H158" s="39">
        <f>Fantasypro!I156</f>
        <v/>
      </c>
      <c r="I158" s="51">
        <f>_xludf.IFS(
F159 = "RB", _xludf.IFS(
AND(H159 &gt;= 0, H159 &lt; 2.55), 1,
AND(H159 &gt;= 2.55, H159 &lt; 4.7), 2,
AND(H159 &gt;= 4.7, H159 &lt; 8.4), 3,
AND(H159 &gt;= 8.4, H159 &lt;= 36), 
4),
F159 = "WR", _xludf.IFS(
AND(H159 &gt;= 0, H159 &lt; 2.55), 1,
AND(H159 &gt;= 2.55, H159 &lt; 4.2), 2,
AND(H159 &gt;= 4.2, H159 &lt; 8.55), 3,
AND(H159 &gt;= 8.55, H159 &lt;= 24.4), 
4),
F159 = "QB", _xludf.IFS(
AND(H159 &gt;= 0, H159 &lt; 2.95), 1,
AND(H159 &gt;= 2.95, H159 &lt; 5.4), 2,
AND(H159 &gt;= 5.4, H159 &lt; 7.2), 3,
AND(H159 &gt;= 7.2, H159 &lt;= 12.3), 
4),
F159 = "TE", _xludf.IFS(
AND(H159 &gt;= 0, H159 &lt; 3), 1,
AND(H159 &gt;= 3, H159 &lt; 4.8), 2,
AND(H159 &gt;= 4.8, H159 &lt; 8.525), 3,
AND(H159 &gt;= 8.525, H159 &lt;= 24.6), 
4)
)</f>
        <v/>
      </c>
    </row>
    <row r="159" ht="13" customHeight="1" s="54">
      <c r="C159">
        <f>IF(COUNTIF(Keeper!B:B,D159)&gt;0,"x","")</f>
        <v/>
      </c>
      <c r="D159" s="40">
        <f>Fantasypro!C157</f>
        <v/>
      </c>
      <c r="E159" s="40">
        <f>Fantasypro!D157</f>
        <v/>
      </c>
      <c r="F159">
        <f>Fantasypro!K157</f>
        <v/>
      </c>
      <c r="G159" s="39">
        <f>Fantasypro!H157</f>
        <v/>
      </c>
      <c r="H159" s="39">
        <f>Fantasypro!I157</f>
        <v/>
      </c>
      <c r="I159" s="51">
        <f>_xludf.IFS(
F160 = "RB", _xludf.IFS(
AND(H160 &gt;= 0, H160 &lt; 2.55), 1,
AND(H160 &gt;= 2.55, H160 &lt; 4.7), 2,
AND(H160 &gt;= 4.7, H160 &lt; 8.4), 3,
AND(H160 &gt;= 8.4, H160 &lt;= 36), 
4),
F160 = "WR", _xludf.IFS(
AND(H160 &gt;= 0, H160 &lt; 2.55), 1,
AND(H160 &gt;= 2.55, H160 &lt; 4.2), 2,
AND(H160 &gt;= 4.2, H160 &lt; 8.55), 3,
AND(H160 &gt;= 8.55, H160 &lt;= 24.4), 
4),
F160 = "QB", _xludf.IFS(
AND(H160 &gt;= 0, H160 &lt; 2.95), 1,
AND(H160 &gt;= 2.95, H160 &lt; 5.4), 2,
AND(H160 &gt;= 5.4, H160 &lt; 7.2), 3,
AND(H160 &gt;= 7.2, H160 &lt;= 12.3), 
4),
F160 = "TE", _xludf.IFS(
AND(H160 &gt;= 0, H160 &lt; 3), 1,
AND(H160 &gt;= 3, H160 &lt; 4.8), 2,
AND(H160 &gt;= 4.8, H160 &lt; 8.525), 3,
AND(H160 &gt;= 8.525, H160 &lt;= 24.6), 
4)
)</f>
        <v/>
      </c>
    </row>
    <row r="160" ht="13" customHeight="1" s="54">
      <c r="C160">
        <f>IF(COUNTIF(Keeper!B:B,D160)&gt;0,"x","")</f>
        <v/>
      </c>
      <c r="D160" s="40">
        <f>Fantasypro!C158</f>
        <v/>
      </c>
      <c r="E160" s="40">
        <f>Fantasypro!D158</f>
        <v/>
      </c>
      <c r="F160">
        <f>Fantasypro!K158</f>
        <v/>
      </c>
      <c r="G160" s="39">
        <f>Fantasypro!H158</f>
        <v/>
      </c>
      <c r="H160" s="39">
        <f>Fantasypro!I158</f>
        <v/>
      </c>
      <c r="I160" s="51">
        <f>_xludf.IFS(
F161 = "RB", _xludf.IFS(
AND(H161 &gt;= 0, H161 &lt; 2.55), 1,
AND(H161 &gt;= 2.55, H161 &lt; 4.7), 2,
AND(H161 &gt;= 4.7, H161 &lt; 8.4), 3,
AND(H161 &gt;= 8.4, H161 &lt;= 36), 
4),
F161 = "WR", _xludf.IFS(
AND(H161 &gt;= 0, H161 &lt; 2.55), 1,
AND(H161 &gt;= 2.55, H161 &lt; 4.2), 2,
AND(H161 &gt;= 4.2, H161 &lt; 8.55), 3,
AND(H161 &gt;= 8.55, H161 &lt;= 24.4), 
4),
F161 = "QB", _xludf.IFS(
AND(H161 &gt;= 0, H161 &lt; 2.95), 1,
AND(H161 &gt;= 2.95, H161 &lt; 5.4), 2,
AND(H161 &gt;= 5.4, H161 &lt; 7.2), 3,
AND(H161 &gt;= 7.2, H161 &lt;= 12.3), 
4),
F161 = "TE", _xludf.IFS(
AND(H161 &gt;= 0, H161 &lt; 3), 1,
AND(H161 &gt;= 3, H161 &lt; 4.8), 2,
AND(H161 &gt;= 4.8, H161 &lt; 8.525), 3,
AND(H161 &gt;= 8.525, H161 &lt;= 24.6), 
4)
)</f>
        <v/>
      </c>
    </row>
    <row r="161" ht="13" customHeight="1" s="54">
      <c r="C161">
        <f>IF(COUNTIF(Keeper!B:B,D161)&gt;0,"x","")</f>
        <v/>
      </c>
      <c r="D161" s="40">
        <f>Fantasypro!C159</f>
        <v/>
      </c>
      <c r="E161" s="40">
        <f>Fantasypro!D159</f>
        <v/>
      </c>
      <c r="F161">
        <f>Fantasypro!K159</f>
        <v/>
      </c>
      <c r="G161" s="39">
        <f>Fantasypro!H159</f>
        <v/>
      </c>
      <c r="H161" s="39">
        <f>Fantasypro!I159</f>
        <v/>
      </c>
      <c r="I161" s="51">
        <f>_xludf.IFS(
F162 = "RB", _xludf.IFS(
AND(H162 &gt;= 0, H162 &lt; 2.55), 1,
AND(H162 &gt;= 2.55, H162 &lt; 4.7), 2,
AND(H162 &gt;= 4.7, H162 &lt; 8.4), 3,
AND(H162 &gt;= 8.4, H162 &lt;= 36), 
4),
F162 = "WR", _xludf.IFS(
AND(H162 &gt;= 0, H162 &lt; 2.55), 1,
AND(H162 &gt;= 2.55, H162 &lt; 4.2), 2,
AND(H162 &gt;= 4.2, H162 &lt; 8.55), 3,
AND(H162 &gt;= 8.55, H162 &lt;= 24.4), 
4),
F162 = "QB", _xludf.IFS(
AND(H162 &gt;= 0, H162 &lt; 2.95), 1,
AND(H162 &gt;= 2.95, H162 &lt; 5.4), 2,
AND(H162 &gt;= 5.4, H162 &lt; 7.2), 3,
AND(H162 &gt;= 7.2, H162 &lt;= 12.3), 
4),
F162 = "TE", _xludf.IFS(
AND(H162 &gt;= 0, H162 &lt; 3), 1,
AND(H162 &gt;= 3, H162 &lt; 4.8), 2,
AND(H162 &gt;= 4.8, H162 &lt; 8.525), 3,
AND(H162 &gt;= 8.525, H162 &lt;= 24.6), 
4)
)</f>
        <v/>
      </c>
    </row>
    <row r="162" ht="13" customHeight="1" s="54">
      <c r="C162">
        <f>IF(COUNTIF(Keeper!B:B,D162)&gt;0,"x","")</f>
        <v/>
      </c>
      <c r="D162" s="40">
        <f>Fantasypro!C160</f>
        <v/>
      </c>
      <c r="E162" s="40">
        <f>Fantasypro!D160</f>
        <v/>
      </c>
      <c r="F162">
        <f>Fantasypro!K160</f>
        <v/>
      </c>
      <c r="G162" s="39">
        <f>Fantasypro!H160</f>
        <v/>
      </c>
      <c r="H162" s="39">
        <f>Fantasypro!I160</f>
        <v/>
      </c>
      <c r="I162" s="51">
        <f>_xludf.IFS(
F163 = "RB", _xludf.IFS(
AND(H163 &gt;= 0, H163 &lt; 2.55), 1,
AND(H163 &gt;= 2.55, H163 &lt; 4.7), 2,
AND(H163 &gt;= 4.7, H163 &lt; 8.4), 3,
AND(H163 &gt;= 8.4, H163 &lt;= 36), 
4),
F163 = "WR", _xludf.IFS(
AND(H163 &gt;= 0, H163 &lt; 2.55), 1,
AND(H163 &gt;= 2.55, H163 &lt; 4.2), 2,
AND(H163 &gt;= 4.2, H163 &lt; 8.55), 3,
AND(H163 &gt;= 8.55, H163 &lt;= 24.4), 
4),
F163 = "QB", _xludf.IFS(
AND(H163 &gt;= 0, H163 &lt; 2.95), 1,
AND(H163 &gt;= 2.95, H163 &lt; 5.4), 2,
AND(H163 &gt;= 5.4, H163 &lt; 7.2), 3,
AND(H163 &gt;= 7.2, H163 &lt;= 12.3), 
4),
F163 = "TE", _xludf.IFS(
AND(H163 &gt;= 0, H163 &lt; 3), 1,
AND(H163 &gt;= 3, H163 &lt; 4.8), 2,
AND(H163 &gt;= 4.8, H163 &lt; 8.525), 3,
AND(H163 &gt;= 8.525, H163 &lt;= 24.6), 
4)
)</f>
        <v/>
      </c>
    </row>
    <row r="163" ht="13" customHeight="1" s="54">
      <c r="C163">
        <f>IF(COUNTIF(Keeper!B:B,D163)&gt;0,"x","")</f>
        <v/>
      </c>
      <c r="D163" s="40">
        <f>Fantasypro!C161</f>
        <v/>
      </c>
      <c r="E163" s="40">
        <f>Fantasypro!D161</f>
        <v/>
      </c>
      <c r="F163">
        <f>Fantasypro!K161</f>
        <v/>
      </c>
      <c r="G163" s="39">
        <f>Fantasypro!H161</f>
        <v/>
      </c>
      <c r="H163" s="39">
        <f>Fantasypro!I161</f>
        <v/>
      </c>
      <c r="I163" s="51">
        <f>_xludf.IFS(
F164 = "RB", _xludf.IFS(
AND(H164 &gt;= 0, H164 &lt; 2.55), 1,
AND(H164 &gt;= 2.55, H164 &lt; 4.7), 2,
AND(H164 &gt;= 4.7, H164 &lt; 8.4), 3,
AND(H164 &gt;= 8.4, H164 &lt;= 36), 
4),
F164 = "WR", _xludf.IFS(
AND(H164 &gt;= 0, H164 &lt; 2.55), 1,
AND(H164 &gt;= 2.55, H164 &lt; 4.2), 2,
AND(H164 &gt;= 4.2, H164 &lt; 8.55), 3,
AND(H164 &gt;= 8.55, H164 &lt;= 24.4), 
4),
F164 = "QB", _xludf.IFS(
AND(H164 &gt;= 0, H164 &lt; 2.95), 1,
AND(H164 &gt;= 2.95, H164 &lt; 5.4), 2,
AND(H164 &gt;= 5.4, H164 &lt; 7.2), 3,
AND(H164 &gt;= 7.2, H164 &lt;= 12.3), 
4),
F164 = "TE", _xludf.IFS(
AND(H164 &gt;= 0, H164 &lt; 3), 1,
AND(H164 &gt;= 3, H164 &lt; 4.8), 2,
AND(H164 &gt;= 4.8, H164 &lt; 8.525), 3,
AND(H164 &gt;= 8.525, H164 &lt;= 24.6), 
4)
)</f>
        <v/>
      </c>
    </row>
    <row r="164" ht="13" customHeight="1" s="54">
      <c r="C164">
        <f>IF(COUNTIF(Keeper!B:B,D164)&gt;0,"x","")</f>
        <v/>
      </c>
      <c r="D164" s="40">
        <f>Fantasypro!C162</f>
        <v/>
      </c>
      <c r="E164" s="40">
        <f>Fantasypro!D162</f>
        <v/>
      </c>
      <c r="F164">
        <f>Fantasypro!K162</f>
        <v/>
      </c>
      <c r="G164" s="39">
        <f>Fantasypro!H162</f>
        <v/>
      </c>
      <c r="H164" s="39">
        <f>Fantasypro!I162</f>
        <v/>
      </c>
      <c r="I164" s="51">
        <f>_xludf.IFS(
F165 = "RB", _xludf.IFS(
AND(H165 &gt;= 0, H165 &lt; 2.55), 1,
AND(H165 &gt;= 2.55, H165 &lt; 4.7), 2,
AND(H165 &gt;= 4.7, H165 &lt; 8.4), 3,
AND(H165 &gt;= 8.4, H165 &lt;= 36), 
4),
F165 = "WR", _xludf.IFS(
AND(H165 &gt;= 0, H165 &lt; 2.55), 1,
AND(H165 &gt;= 2.55, H165 &lt; 4.2), 2,
AND(H165 &gt;= 4.2, H165 &lt; 8.55), 3,
AND(H165 &gt;= 8.55, H165 &lt;= 24.4), 
4),
F165 = "QB", _xludf.IFS(
AND(H165 &gt;= 0, H165 &lt; 2.95), 1,
AND(H165 &gt;= 2.95, H165 &lt; 5.4), 2,
AND(H165 &gt;= 5.4, H165 &lt; 7.2), 3,
AND(H165 &gt;= 7.2, H165 &lt;= 12.3), 
4),
F165 = "TE", _xludf.IFS(
AND(H165 &gt;= 0, H165 &lt; 3), 1,
AND(H165 &gt;= 3, H165 &lt; 4.8), 2,
AND(H165 &gt;= 4.8, H165 &lt; 8.525), 3,
AND(H165 &gt;= 8.525, H165 &lt;= 24.6), 
4)
)</f>
        <v/>
      </c>
    </row>
    <row r="165" ht="13" customHeight="1" s="54">
      <c r="C165">
        <f>IF(COUNTIF(Keeper!B:B,D165)&gt;0,"x","")</f>
        <v/>
      </c>
      <c r="D165" s="40">
        <f>Fantasypro!C163</f>
        <v/>
      </c>
      <c r="E165" s="40">
        <f>Fantasypro!D163</f>
        <v/>
      </c>
      <c r="F165">
        <f>Fantasypro!K163</f>
        <v/>
      </c>
      <c r="G165" s="39">
        <f>Fantasypro!H163</f>
        <v/>
      </c>
      <c r="H165" s="39">
        <f>Fantasypro!I163</f>
        <v/>
      </c>
      <c r="I165" s="51">
        <f>_xludf.IFS(
F166 = "RB", _xludf.IFS(
AND(H166 &gt;= 0, H166 &lt; 2.55), 1,
AND(H166 &gt;= 2.55, H166 &lt; 4.7), 2,
AND(H166 &gt;= 4.7, H166 &lt; 8.4), 3,
AND(H166 &gt;= 8.4, H166 &lt;= 36), 
4),
F166 = "WR", _xludf.IFS(
AND(H166 &gt;= 0, H166 &lt; 2.55), 1,
AND(H166 &gt;= 2.55, H166 &lt; 4.2), 2,
AND(H166 &gt;= 4.2, H166 &lt; 8.55), 3,
AND(H166 &gt;= 8.55, H166 &lt;= 24.4), 
4),
F166 = "QB", _xludf.IFS(
AND(H166 &gt;= 0, H166 &lt; 2.95), 1,
AND(H166 &gt;= 2.95, H166 &lt; 5.4), 2,
AND(H166 &gt;= 5.4, H166 &lt; 7.2), 3,
AND(H166 &gt;= 7.2, H166 &lt;= 12.3), 
4),
F166 = "TE", _xludf.IFS(
AND(H166 &gt;= 0, H166 &lt; 3), 1,
AND(H166 &gt;= 3, H166 &lt; 4.8), 2,
AND(H166 &gt;= 4.8, H166 &lt; 8.525), 3,
AND(H166 &gt;= 8.525, H166 &lt;= 24.6), 
4)
)</f>
        <v/>
      </c>
    </row>
    <row r="166" ht="13" customHeight="1" s="54">
      <c r="C166">
        <f>IF(COUNTIF(Keeper!B:B,D166)&gt;0,"x","")</f>
        <v/>
      </c>
      <c r="D166" s="40">
        <f>Fantasypro!C164</f>
        <v/>
      </c>
      <c r="E166" s="40">
        <f>Fantasypro!D164</f>
        <v/>
      </c>
      <c r="F166">
        <f>Fantasypro!K164</f>
        <v/>
      </c>
      <c r="G166" s="39">
        <f>Fantasypro!H164</f>
        <v/>
      </c>
      <c r="H166" s="39">
        <f>Fantasypro!I164</f>
        <v/>
      </c>
      <c r="I166" s="51">
        <f>_xludf.IFS(
F167 = "RB", _xludf.IFS(
AND(H167 &gt;= 0, H167 &lt; 2.55), 1,
AND(H167 &gt;= 2.55, H167 &lt; 4.7), 2,
AND(H167 &gt;= 4.7, H167 &lt; 8.4), 3,
AND(H167 &gt;= 8.4, H167 &lt;= 36), 
4),
F167 = "WR", _xludf.IFS(
AND(H167 &gt;= 0, H167 &lt; 2.55), 1,
AND(H167 &gt;= 2.55, H167 &lt; 4.2), 2,
AND(H167 &gt;= 4.2, H167 &lt; 8.55), 3,
AND(H167 &gt;= 8.55, H167 &lt;= 24.4), 
4),
F167 = "QB", _xludf.IFS(
AND(H167 &gt;= 0, H167 &lt; 2.95), 1,
AND(H167 &gt;= 2.95, H167 &lt; 5.4), 2,
AND(H167 &gt;= 5.4, H167 &lt; 7.2), 3,
AND(H167 &gt;= 7.2, H167 &lt;= 12.3), 
4),
F167 = "TE", _xludf.IFS(
AND(H167 &gt;= 0, H167 &lt; 3), 1,
AND(H167 &gt;= 3, H167 &lt; 4.8), 2,
AND(H167 &gt;= 4.8, H167 &lt; 8.525), 3,
AND(H167 &gt;= 8.525, H167 &lt;= 24.6), 
4)
)</f>
        <v/>
      </c>
    </row>
    <row r="167" ht="13" customHeight="1" s="54">
      <c r="C167">
        <f>IF(COUNTIF(Keeper!B:B,D167)&gt;0,"x","")</f>
        <v/>
      </c>
      <c r="D167" s="40">
        <f>Fantasypro!C165</f>
        <v/>
      </c>
      <c r="E167" s="40">
        <f>Fantasypro!D165</f>
        <v/>
      </c>
      <c r="F167">
        <f>Fantasypro!K165</f>
        <v/>
      </c>
      <c r="G167" s="39">
        <f>Fantasypro!H165</f>
        <v/>
      </c>
      <c r="H167" s="39">
        <f>Fantasypro!I165</f>
        <v/>
      </c>
      <c r="I167" s="51">
        <f>_xludf.IFS(
F168 = "RB", _xludf.IFS(
AND(H168 &gt;= 0, H168 &lt; 2.55), 1,
AND(H168 &gt;= 2.55, H168 &lt; 4.7), 2,
AND(H168 &gt;= 4.7, H168 &lt; 8.4), 3,
AND(H168 &gt;= 8.4, H168 &lt;= 36), 
4),
F168 = "WR", _xludf.IFS(
AND(H168 &gt;= 0, H168 &lt; 2.55), 1,
AND(H168 &gt;= 2.55, H168 &lt; 4.2), 2,
AND(H168 &gt;= 4.2, H168 &lt; 8.55), 3,
AND(H168 &gt;= 8.55, H168 &lt;= 24.4), 
4),
F168 = "QB", _xludf.IFS(
AND(H168 &gt;= 0, H168 &lt; 2.95), 1,
AND(H168 &gt;= 2.95, H168 &lt; 5.4), 2,
AND(H168 &gt;= 5.4, H168 &lt; 7.2), 3,
AND(H168 &gt;= 7.2, H168 &lt;= 12.3), 
4),
F168 = "TE", _xludf.IFS(
AND(H168 &gt;= 0, H168 &lt; 3), 1,
AND(H168 &gt;= 3, H168 &lt; 4.8), 2,
AND(H168 &gt;= 4.8, H168 &lt; 8.525), 3,
AND(H168 &gt;= 8.525, H168 &lt;= 24.6), 
4)
)</f>
        <v/>
      </c>
    </row>
    <row r="168" ht="13" customHeight="1" s="54">
      <c r="C168">
        <f>IF(COUNTIF(Keeper!B:B,D168)&gt;0,"x","")</f>
        <v/>
      </c>
      <c r="D168" s="40">
        <f>Fantasypro!C166</f>
        <v/>
      </c>
      <c r="E168" s="40">
        <f>Fantasypro!D166</f>
        <v/>
      </c>
      <c r="F168">
        <f>Fantasypro!K166</f>
        <v/>
      </c>
      <c r="G168" s="39">
        <f>Fantasypro!H166</f>
        <v/>
      </c>
      <c r="H168" s="39">
        <f>Fantasypro!I166</f>
        <v/>
      </c>
      <c r="I168" s="51">
        <f>_xludf.IFS(
F169 = "RB", _xludf.IFS(
AND(H169 &gt;= 0, H169 &lt; 2.55), 1,
AND(H169 &gt;= 2.55, H169 &lt; 4.7), 2,
AND(H169 &gt;= 4.7, H169 &lt; 8.4), 3,
AND(H169 &gt;= 8.4, H169 &lt;= 36), 
4),
F169 = "WR", _xludf.IFS(
AND(H169 &gt;= 0, H169 &lt; 2.55), 1,
AND(H169 &gt;= 2.55, H169 &lt; 4.2), 2,
AND(H169 &gt;= 4.2, H169 &lt; 8.55), 3,
AND(H169 &gt;= 8.55, H169 &lt;= 24.4), 
4),
F169 = "QB", _xludf.IFS(
AND(H169 &gt;= 0, H169 &lt; 2.95), 1,
AND(H169 &gt;= 2.95, H169 &lt; 5.4), 2,
AND(H169 &gt;= 5.4, H169 &lt; 7.2), 3,
AND(H169 &gt;= 7.2, H169 &lt;= 12.3), 
4),
F169 = "TE", _xludf.IFS(
AND(H169 &gt;= 0, H169 &lt; 3), 1,
AND(H169 &gt;= 3, H169 &lt; 4.8), 2,
AND(H169 &gt;= 4.8, H169 &lt; 8.525), 3,
AND(H169 &gt;= 8.525, H169 &lt;= 24.6), 
4)
)</f>
        <v/>
      </c>
    </row>
    <row r="169" ht="13" customHeight="1" s="54">
      <c r="C169">
        <f>IF(COUNTIF(Keeper!B:B,D169)&gt;0,"x","")</f>
        <v/>
      </c>
      <c r="D169" s="40">
        <f>Fantasypro!C167</f>
        <v/>
      </c>
      <c r="E169" s="40">
        <f>Fantasypro!D167</f>
        <v/>
      </c>
      <c r="F169">
        <f>Fantasypro!K167</f>
        <v/>
      </c>
      <c r="G169" s="39">
        <f>Fantasypro!H167</f>
        <v/>
      </c>
      <c r="H169" s="39">
        <f>Fantasypro!I167</f>
        <v/>
      </c>
      <c r="I169" s="51">
        <f>_xludf.IFS(
F170 = "RB", _xludf.IFS(
AND(H170 &gt;= 0, H170 &lt; 2.55), 1,
AND(H170 &gt;= 2.55, H170 &lt; 4.7), 2,
AND(H170 &gt;= 4.7, H170 &lt; 8.4), 3,
AND(H170 &gt;= 8.4, H170 &lt;= 36), 
4),
F170 = "WR", _xludf.IFS(
AND(H170 &gt;= 0, H170 &lt; 2.55), 1,
AND(H170 &gt;= 2.55, H170 &lt; 4.2), 2,
AND(H170 &gt;= 4.2, H170 &lt; 8.55), 3,
AND(H170 &gt;= 8.55, H170 &lt;= 24.4), 
4),
F170 = "QB", _xludf.IFS(
AND(H170 &gt;= 0, H170 &lt; 2.95), 1,
AND(H170 &gt;= 2.95, H170 &lt; 5.4), 2,
AND(H170 &gt;= 5.4, H170 &lt; 7.2), 3,
AND(H170 &gt;= 7.2, H170 &lt;= 12.3), 
4),
F170 = "TE", _xludf.IFS(
AND(H170 &gt;= 0, H170 &lt; 3), 1,
AND(H170 &gt;= 3, H170 &lt; 4.8), 2,
AND(H170 &gt;= 4.8, H170 &lt; 8.525), 3,
AND(H170 &gt;= 8.525, H170 &lt;= 24.6), 
4)
)</f>
        <v/>
      </c>
    </row>
    <row r="170" ht="13" customHeight="1" s="54">
      <c r="C170">
        <f>IF(COUNTIF(Keeper!B:B,D170)&gt;0,"x","")</f>
        <v/>
      </c>
      <c r="D170" s="40">
        <f>Fantasypro!C168</f>
        <v/>
      </c>
      <c r="E170" s="40">
        <f>Fantasypro!D168</f>
        <v/>
      </c>
      <c r="F170">
        <f>Fantasypro!K168</f>
        <v/>
      </c>
      <c r="G170" s="39">
        <f>Fantasypro!H168</f>
        <v/>
      </c>
      <c r="H170" s="39">
        <f>Fantasypro!I168</f>
        <v/>
      </c>
      <c r="I170" s="51">
        <f>_xludf.IFS(
F171 = "RB", _xludf.IFS(
AND(H171 &gt;= 0, H171 &lt; 2.55), 1,
AND(H171 &gt;= 2.55, H171 &lt; 4.7), 2,
AND(H171 &gt;= 4.7, H171 &lt; 8.4), 3,
AND(H171 &gt;= 8.4, H171 &lt;= 36), 
4),
F171 = "WR", _xludf.IFS(
AND(H171 &gt;= 0, H171 &lt; 2.55), 1,
AND(H171 &gt;= 2.55, H171 &lt; 4.2), 2,
AND(H171 &gt;= 4.2, H171 &lt; 8.55), 3,
AND(H171 &gt;= 8.55, H171 &lt;= 24.4), 
4),
F171 = "QB", _xludf.IFS(
AND(H171 &gt;= 0, H171 &lt; 2.95), 1,
AND(H171 &gt;= 2.95, H171 &lt; 5.4), 2,
AND(H171 &gt;= 5.4, H171 &lt; 7.2), 3,
AND(H171 &gt;= 7.2, H171 &lt;= 12.3), 
4),
F171 = "TE", _xludf.IFS(
AND(H171 &gt;= 0, H171 &lt; 3), 1,
AND(H171 &gt;= 3, H171 &lt; 4.8), 2,
AND(H171 &gt;= 4.8, H171 &lt; 8.525), 3,
AND(H171 &gt;= 8.525, H171 &lt;= 24.6), 
4)
)</f>
        <v/>
      </c>
    </row>
    <row r="171" ht="13" customHeight="1" s="54">
      <c r="C171">
        <f>IF(COUNTIF(Keeper!B:B,D171)&gt;0,"x","")</f>
        <v/>
      </c>
      <c r="D171" s="40">
        <f>Fantasypro!C169</f>
        <v/>
      </c>
      <c r="E171" s="40">
        <f>Fantasypro!D169</f>
        <v/>
      </c>
      <c r="F171">
        <f>Fantasypro!K169</f>
        <v/>
      </c>
      <c r="G171" s="39">
        <f>Fantasypro!H169</f>
        <v/>
      </c>
      <c r="H171" s="39">
        <f>Fantasypro!I169</f>
        <v/>
      </c>
      <c r="I171" s="51">
        <f>_xludf.IFS(
F172 = "RB", _xludf.IFS(
AND(H172 &gt;= 0, H172 &lt; 2.55), 1,
AND(H172 &gt;= 2.55, H172 &lt; 4.7), 2,
AND(H172 &gt;= 4.7, H172 &lt; 8.4), 3,
AND(H172 &gt;= 8.4, H172 &lt;= 36), 
4),
F172 = "WR", _xludf.IFS(
AND(H172 &gt;= 0, H172 &lt; 2.55), 1,
AND(H172 &gt;= 2.55, H172 &lt; 4.2), 2,
AND(H172 &gt;= 4.2, H172 &lt; 8.55), 3,
AND(H172 &gt;= 8.55, H172 &lt;= 24.4), 
4),
F172 = "QB", _xludf.IFS(
AND(H172 &gt;= 0, H172 &lt; 2.95), 1,
AND(H172 &gt;= 2.95, H172 &lt; 5.4), 2,
AND(H172 &gt;= 5.4, H172 &lt; 7.2), 3,
AND(H172 &gt;= 7.2, H172 &lt;= 12.3), 
4),
F172 = "TE", _xludf.IFS(
AND(H172 &gt;= 0, H172 &lt; 3), 1,
AND(H172 &gt;= 3, H172 &lt; 4.8), 2,
AND(H172 &gt;= 4.8, H172 &lt; 8.525), 3,
AND(H172 &gt;= 8.525, H172 &lt;= 24.6), 
4)
)</f>
        <v/>
      </c>
    </row>
    <row r="172" ht="13" customHeight="1" s="54">
      <c r="C172">
        <f>IF(COUNTIF(Keeper!B:B,D172)&gt;0,"x","")</f>
        <v/>
      </c>
      <c r="D172" s="40">
        <f>Fantasypro!C170</f>
        <v/>
      </c>
      <c r="E172" s="40">
        <f>Fantasypro!D170</f>
        <v/>
      </c>
      <c r="F172">
        <f>Fantasypro!K170</f>
        <v/>
      </c>
      <c r="G172" s="39">
        <f>Fantasypro!H170</f>
        <v/>
      </c>
      <c r="H172" s="39">
        <f>Fantasypro!I170</f>
        <v/>
      </c>
      <c r="I172" s="51">
        <f>_xludf.IFS(
F173 = "RB", _xludf.IFS(
AND(H173 &gt;= 0, H173 &lt; 2.55), 1,
AND(H173 &gt;= 2.55, H173 &lt; 4.7), 2,
AND(H173 &gt;= 4.7, H173 &lt; 8.4), 3,
AND(H173 &gt;= 8.4, H173 &lt;= 36), 
4),
F173 = "WR", _xludf.IFS(
AND(H173 &gt;= 0, H173 &lt; 2.55), 1,
AND(H173 &gt;= 2.55, H173 &lt; 4.2), 2,
AND(H173 &gt;= 4.2, H173 &lt; 8.55), 3,
AND(H173 &gt;= 8.55, H173 &lt;= 24.4), 
4),
F173 = "QB", _xludf.IFS(
AND(H173 &gt;= 0, H173 &lt; 2.95), 1,
AND(H173 &gt;= 2.95, H173 &lt; 5.4), 2,
AND(H173 &gt;= 5.4, H173 &lt; 7.2), 3,
AND(H173 &gt;= 7.2, H173 &lt;= 12.3), 
4),
F173 = "TE", _xludf.IFS(
AND(H173 &gt;= 0, H173 &lt; 3), 1,
AND(H173 &gt;= 3, H173 &lt; 4.8), 2,
AND(H173 &gt;= 4.8, H173 &lt; 8.525), 3,
AND(H173 &gt;= 8.525, H173 &lt;= 24.6), 
4)
)</f>
        <v/>
      </c>
    </row>
    <row r="173" ht="13" customHeight="1" s="54">
      <c r="C173">
        <f>IF(COUNTIF(Keeper!B:B,D173)&gt;0,"x","")</f>
        <v/>
      </c>
      <c r="D173" s="40">
        <f>Fantasypro!C171</f>
        <v/>
      </c>
      <c r="E173" s="40">
        <f>Fantasypro!D171</f>
        <v/>
      </c>
      <c r="F173">
        <f>Fantasypro!K171</f>
        <v/>
      </c>
      <c r="G173" s="39">
        <f>Fantasypro!H171</f>
        <v/>
      </c>
      <c r="H173" s="39">
        <f>Fantasypro!I171</f>
        <v/>
      </c>
      <c r="I173" s="51">
        <f>_xludf.IFS(
F174 = "RB", _xludf.IFS(
AND(H174 &gt;= 0, H174 &lt; 2.55), 1,
AND(H174 &gt;= 2.55, H174 &lt; 4.7), 2,
AND(H174 &gt;= 4.7, H174 &lt; 8.4), 3,
AND(H174 &gt;= 8.4, H174 &lt;= 36), 
4),
F174 = "WR", _xludf.IFS(
AND(H174 &gt;= 0, H174 &lt; 2.55), 1,
AND(H174 &gt;= 2.55, H174 &lt; 4.2), 2,
AND(H174 &gt;= 4.2, H174 &lt; 8.55), 3,
AND(H174 &gt;= 8.55, H174 &lt;= 24.4), 
4),
F174 = "QB", _xludf.IFS(
AND(H174 &gt;= 0, H174 &lt; 2.95), 1,
AND(H174 &gt;= 2.95, H174 &lt; 5.4), 2,
AND(H174 &gt;= 5.4, H174 &lt; 7.2), 3,
AND(H174 &gt;= 7.2, H174 &lt;= 12.3), 
4),
F174 = "TE", _xludf.IFS(
AND(H174 &gt;= 0, H174 &lt; 3), 1,
AND(H174 &gt;= 3, H174 &lt; 4.8), 2,
AND(H174 &gt;= 4.8, H174 &lt; 8.525), 3,
AND(H174 &gt;= 8.525, H174 &lt;= 24.6), 
4)
)</f>
        <v/>
      </c>
    </row>
    <row r="174" ht="13" customHeight="1" s="54">
      <c r="C174">
        <f>IF(COUNTIF(Keeper!B:B,D174)&gt;0,"x","")</f>
        <v/>
      </c>
      <c r="D174" s="40">
        <f>Fantasypro!C172</f>
        <v/>
      </c>
      <c r="E174" s="40">
        <f>Fantasypro!D172</f>
        <v/>
      </c>
      <c r="F174">
        <f>Fantasypro!K172</f>
        <v/>
      </c>
      <c r="G174" s="39">
        <f>Fantasypro!H172</f>
        <v/>
      </c>
      <c r="H174" s="39">
        <f>Fantasypro!I172</f>
        <v/>
      </c>
      <c r="I174" s="51">
        <f>_xludf.IFS(
F175 = "RB", _xludf.IFS(
AND(H175 &gt;= 0, H175 &lt; 2.55), 1,
AND(H175 &gt;= 2.55, H175 &lt; 4.7), 2,
AND(H175 &gt;= 4.7, H175 &lt; 8.4), 3,
AND(H175 &gt;= 8.4, H175 &lt;= 36), 
4),
F175 = "WR", _xludf.IFS(
AND(H175 &gt;= 0, H175 &lt; 2.55), 1,
AND(H175 &gt;= 2.55, H175 &lt; 4.2), 2,
AND(H175 &gt;= 4.2, H175 &lt; 8.55), 3,
AND(H175 &gt;= 8.55, H175 &lt;= 24.4), 
4),
F175 = "QB", _xludf.IFS(
AND(H175 &gt;= 0, H175 &lt; 2.95), 1,
AND(H175 &gt;= 2.95, H175 &lt; 5.4), 2,
AND(H175 &gt;= 5.4, H175 &lt; 7.2), 3,
AND(H175 &gt;= 7.2, H175 &lt;= 12.3), 
4),
F175 = "TE", _xludf.IFS(
AND(H175 &gt;= 0, H175 &lt; 3), 1,
AND(H175 &gt;= 3, H175 &lt; 4.8), 2,
AND(H175 &gt;= 4.8, H175 &lt; 8.525), 3,
AND(H175 &gt;= 8.525, H175 &lt;= 24.6), 
4)
)</f>
        <v/>
      </c>
    </row>
    <row r="175" ht="13" customHeight="1" s="54">
      <c r="C175">
        <f>IF(COUNTIF(Keeper!B:B,D175)&gt;0,"x","")</f>
        <v/>
      </c>
      <c r="D175" s="40">
        <f>Fantasypro!C173</f>
        <v/>
      </c>
      <c r="E175" s="40">
        <f>Fantasypro!D173</f>
        <v/>
      </c>
      <c r="F175">
        <f>Fantasypro!K173</f>
        <v/>
      </c>
      <c r="G175" s="39">
        <f>Fantasypro!H173</f>
        <v/>
      </c>
      <c r="H175" s="39">
        <f>Fantasypro!I173</f>
        <v/>
      </c>
      <c r="I175" s="51">
        <f>_xludf.IFS(
F176 = "RB", _xludf.IFS(
AND(H176 &gt;= 0, H176 &lt; 2.55), 1,
AND(H176 &gt;= 2.55, H176 &lt; 4.7), 2,
AND(H176 &gt;= 4.7, H176 &lt; 8.4), 3,
AND(H176 &gt;= 8.4, H176 &lt;= 36), 
4),
F176 = "WR", _xludf.IFS(
AND(H176 &gt;= 0, H176 &lt; 2.55), 1,
AND(H176 &gt;= 2.55, H176 &lt; 4.2), 2,
AND(H176 &gt;= 4.2, H176 &lt; 8.55), 3,
AND(H176 &gt;= 8.55, H176 &lt;= 24.4), 
4),
F176 = "QB", _xludf.IFS(
AND(H176 &gt;= 0, H176 &lt; 2.95), 1,
AND(H176 &gt;= 2.95, H176 &lt; 5.4), 2,
AND(H176 &gt;= 5.4, H176 &lt; 7.2), 3,
AND(H176 &gt;= 7.2, H176 &lt;= 12.3), 
4),
F176 = "TE", _xludf.IFS(
AND(H176 &gt;= 0, H176 &lt; 3), 1,
AND(H176 &gt;= 3, H176 &lt; 4.8), 2,
AND(H176 &gt;= 4.8, H176 &lt; 8.525), 3,
AND(H176 &gt;= 8.525, H176 &lt;= 24.6), 
4)
)</f>
        <v/>
      </c>
    </row>
    <row r="176" ht="13" customHeight="1" s="54">
      <c r="C176">
        <f>IF(COUNTIF(Keeper!B:B,D176)&gt;0,"x","")</f>
        <v/>
      </c>
      <c r="D176" s="40">
        <f>Fantasypro!C174</f>
        <v/>
      </c>
      <c r="E176" s="40">
        <f>Fantasypro!D174</f>
        <v/>
      </c>
      <c r="F176">
        <f>Fantasypro!K174</f>
        <v/>
      </c>
      <c r="G176" s="39">
        <f>Fantasypro!H174</f>
        <v/>
      </c>
      <c r="H176" s="39">
        <f>Fantasypro!I174</f>
        <v/>
      </c>
      <c r="I176" s="51">
        <f>_xludf.IFS(
F177 = "RB", _xludf.IFS(
AND(H177 &gt;= 0, H177 &lt; 2.55), 1,
AND(H177 &gt;= 2.55, H177 &lt; 4.7), 2,
AND(H177 &gt;= 4.7, H177 &lt; 8.4), 3,
AND(H177 &gt;= 8.4, H177 &lt;= 36), 
4),
F177 = "WR", _xludf.IFS(
AND(H177 &gt;= 0, H177 &lt; 2.55), 1,
AND(H177 &gt;= 2.55, H177 &lt; 4.2), 2,
AND(H177 &gt;= 4.2, H177 &lt; 8.55), 3,
AND(H177 &gt;= 8.55, H177 &lt;= 24.4), 
4),
F177 = "QB", _xludf.IFS(
AND(H177 &gt;= 0, H177 &lt; 2.95), 1,
AND(H177 &gt;= 2.95, H177 &lt; 5.4), 2,
AND(H177 &gt;= 5.4, H177 &lt; 7.2), 3,
AND(H177 &gt;= 7.2, H177 &lt;= 12.3), 
4),
F177 = "TE", _xludf.IFS(
AND(H177 &gt;= 0, H177 &lt; 3), 1,
AND(H177 &gt;= 3, H177 &lt; 4.8), 2,
AND(H177 &gt;= 4.8, H177 &lt; 8.525), 3,
AND(H177 &gt;= 8.525, H177 &lt;= 24.6), 
4)
)</f>
        <v/>
      </c>
    </row>
    <row r="177" ht="13" customHeight="1" s="54">
      <c r="A177" s="26" t="inlineStr">
        <is>
          <t>Swift</t>
        </is>
      </c>
      <c r="C177">
        <f>IF(COUNTIF(Keeper!B:B,D177)&gt;0,"x","")</f>
        <v/>
      </c>
      <c r="D177" s="40">
        <f>Fantasypro!C175</f>
        <v/>
      </c>
      <c r="E177" s="40">
        <f>Fantasypro!D175</f>
        <v/>
      </c>
      <c r="F177">
        <f>Fantasypro!K175</f>
        <v/>
      </c>
      <c r="G177" s="39">
        <f>Fantasypro!H175</f>
        <v/>
      </c>
      <c r="H177" s="39">
        <f>Fantasypro!I175</f>
        <v/>
      </c>
      <c r="I177" s="51">
        <f>_xludf.IFS(
F178 = "RB", _xludf.IFS(
AND(H178 &gt;= 0, H178 &lt; 2.55), 1,
AND(H178 &gt;= 2.55, H178 &lt; 4.7), 2,
AND(H178 &gt;= 4.7, H178 &lt; 8.4), 3,
AND(H178 &gt;= 8.4, H178 &lt;= 36), 
4),
F178 = "WR", _xludf.IFS(
AND(H178 &gt;= 0, H178 &lt; 2.55), 1,
AND(H178 &gt;= 2.55, H178 &lt; 4.2), 2,
AND(H178 &gt;= 4.2, H178 &lt; 8.55), 3,
AND(H178 &gt;= 8.55, H178 &lt;= 24.4), 
4),
F178 = "QB", _xludf.IFS(
AND(H178 &gt;= 0, H178 &lt; 2.95), 1,
AND(H178 &gt;= 2.95, H178 &lt; 5.4), 2,
AND(H178 &gt;= 5.4, H178 &lt; 7.2), 3,
AND(H178 &gt;= 7.2, H178 &lt;= 12.3), 
4),
F178 = "TE", _xludf.IFS(
AND(H178 &gt;= 0, H178 &lt; 3), 1,
AND(H178 &gt;= 3, H178 &lt; 4.8), 2,
AND(H178 &gt;= 4.8, H178 &lt; 8.525), 3,
AND(H178 &gt;= 8.525, H178 &lt;= 24.6), 
4)
)</f>
        <v/>
      </c>
    </row>
    <row r="178" ht="13" customHeight="1" s="54">
      <c r="C178">
        <f>IF(COUNTIF(Keeper!B:B,D178)&gt;0,"x","")</f>
        <v/>
      </c>
      <c r="D178" s="40">
        <f>Fantasypro!C176</f>
        <v/>
      </c>
      <c r="E178" s="40">
        <f>Fantasypro!D176</f>
        <v/>
      </c>
      <c r="F178">
        <f>Fantasypro!K176</f>
        <v/>
      </c>
      <c r="G178" s="39">
        <f>Fantasypro!H176</f>
        <v/>
      </c>
      <c r="H178" s="39">
        <f>Fantasypro!I176</f>
        <v/>
      </c>
      <c r="I178" s="51">
        <f>_xludf.IFS(
F179 = "RB", _xludf.IFS(
AND(H179 &gt;= 0, H179 &lt; 2.55), 1,
AND(H179 &gt;= 2.55, H179 &lt; 4.7), 2,
AND(H179 &gt;= 4.7, H179 &lt; 8.4), 3,
AND(H179 &gt;= 8.4, H179 &lt;= 36), 
4),
F179 = "WR", _xludf.IFS(
AND(H179 &gt;= 0, H179 &lt; 2.55), 1,
AND(H179 &gt;= 2.55, H179 &lt; 4.2), 2,
AND(H179 &gt;= 4.2, H179 &lt; 8.55), 3,
AND(H179 &gt;= 8.55, H179 &lt;= 24.4), 
4),
F179 = "QB", _xludf.IFS(
AND(H179 &gt;= 0, H179 &lt; 2.95), 1,
AND(H179 &gt;= 2.95, H179 &lt; 5.4), 2,
AND(H179 &gt;= 5.4, H179 &lt; 7.2), 3,
AND(H179 &gt;= 7.2, H179 &lt;= 12.3), 
4),
F179 = "TE", _xludf.IFS(
AND(H179 &gt;= 0, H179 &lt; 3), 1,
AND(H179 &gt;= 3, H179 &lt; 4.8), 2,
AND(H179 &gt;= 4.8, H179 &lt; 8.525), 3,
AND(H179 &gt;= 8.525, H179 &lt;= 24.6), 
4)
)</f>
        <v/>
      </c>
    </row>
    <row r="179" ht="13" customHeight="1" s="54">
      <c r="C179">
        <f>IF(COUNTIF(Keeper!B:B,D179)&gt;0,"x","")</f>
        <v/>
      </c>
      <c r="D179" s="40">
        <f>Fantasypro!C177</f>
        <v/>
      </c>
      <c r="E179" s="40">
        <f>Fantasypro!D177</f>
        <v/>
      </c>
      <c r="F179">
        <f>Fantasypro!K177</f>
        <v/>
      </c>
      <c r="G179" s="39">
        <f>Fantasypro!H177</f>
        <v/>
      </c>
      <c r="H179" s="39">
        <f>Fantasypro!I177</f>
        <v/>
      </c>
      <c r="I179" s="51">
        <f>_xludf.IFS(
F180 = "RB", _xludf.IFS(
AND(H180 &gt;= 0, H180 &lt; 2.55), 1,
AND(H180 &gt;= 2.55, H180 &lt; 4.7), 2,
AND(H180 &gt;= 4.7, H180 &lt; 8.4), 3,
AND(H180 &gt;= 8.4, H180 &lt;= 36), 
4),
F180 = "WR", _xludf.IFS(
AND(H180 &gt;= 0, H180 &lt; 2.55), 1,
AND(H180 &gt;= 2.55, H180 &lt; 4.2), 2,
AND(H180 &gt;= 4.2, H180 &lt; 8.55), 3,
AND(H180 &gt;= 8.55, H180 &lt;= 24.4), 
4),
F180 = "QB", _xludf.IFS(
AND(H180 &gt;= 0, H180 &lt; 2.95), 1,
AND(H180 &gt;= 2.95, H180 &lt; 5.4), 2,
AND(H180 &gt;= 5.4, H180 &lt; 7.2), 3,
AND(H180 &gt;= 7.2, H180 &lt;= 12.3), 
4),
F180 = "TE", _xludf.IFS(
AND(H180 &gt;= 0, H180 &lt; 3), 1,
AND(H180 &gt;= 3, H180 &lt; 4.8), 2,
AND(H180 &gt;= 4.8, H180 &lt; 8.525), 3,
AND(H180 &gt;= 8.525, H180 &lt;= 24.6), 
4)
)</f>
        <v/>
      </c>
    </row>
    <row r="180" ht="13" customHeight="1" s="54">
      <c r="C180">
        <f>IF(COUNTIF(Keeper!B:B,D180)&gt;0,"x","")</f>
        <v/>
      </c>
      <c r="D180" s="40">
        <f>Fantasypro!C178</f>
        <v/>
      </c>
      <c r="E180" s="40">
        <f>Fantasypro!D178</f>
        <v/>
      </c>
      <c r="F180">
        <f>Fantasypro!K178</f>
        <v/>
      </c>
      <c r="G180" s="39">
        <f>Fantasypro!H178</f>
        <v/>
      </c>
      <c r="H180" s="39">
        <f>Fantasypro!I178</f>
        <v/>
      </c>
      <c r="I180" s="51">
        <f>_xludf.IFS(
F181 = "RB", _xludf.IFS(
AND(H181 &gt;= 0, H181 &lt; 2.55), 1,
AND(H181 &gt;= 2.55, H181 &lt; 4.7), 2,
AND(H181 &gt;= 4.7, H181 &lt; 8.4), 3,
AND(H181 &gt;= 8.4, H181 &lt;= 36), 
4),
F181 = "WR", _xludf.IFS(
AND(H181 &gt;= 0, H181 &lt; 2.55), 1,
AND(H181 &gt;= 2.55, H181 &lt; 4.2), 2,
AND(H181 &gt;= 4.2, H181 &lt; 8.55), 3,
AND(H181 &gt;= 8.55, H181 &lt;= 24.4), 
4),
F181 = "QB", _xludf.IFS(
AND(H181 &gt;= 0, H181 &lt; 2.95), 1,
AND(H181 &gt;= 2.95, H181 &lt; 5.4), 2,
AND(H181 &gt;= 5.4, H181 &lt; 7.2), 3,
AND(H181 &gt;= 7.2, H181 &lt;= 12.3), 
4),
F181 = "TE", _xludf.IFS(
AND(H181 &gt;= 0, H181 &lt; 3), 1,
AND(H181 &gt;= 3, H181 &lt; 4.8), 2,
AND(H181 &gt;= 4.8, H181 &lt; 8.525), 3,
AND(H181 &gt;= 8.525, H181 &lt;= 24.6), 
4)
)</f>
        <v/>
      </c>
    </row>
    <row r="181" ht="13" customHeight="1" s="54">
      <c r="A181" s="26" t="n"/>
      <c r="C181">
        <f>IF(COUNTIF(Keeper!B:B,D181)&gt;0,"x","")</f>
        <v/>
      </c>
      <c r="D181" s="40">
        <f>Fantasypro!C179</f>
        <v/>
      </c>
      <c r="E181" s="40">
        <f>Fantasypro!D179</f>
        <v/>
      </c>
      <c r="F181">
        <f>Fantasypro!K179</f>
        <v/>
      </c>
      <c r="G181" s="39">
        <f>Fantasypro!H179</f>
        <v/>
      </c>
      <c r="H181" s="39">
        <f>Fantasypro!I179</f>
        <v/>
      </c>
      <c r="I181" s="51">
        <f>_xludf.IFS(
F182 = "RB", _xludf.IFS(
AND(H182 &gt;= 0, H182 &lt; 2.55), 1,
AND(H182 &gt;= 2.55, H182 &lt; 4.7), 2,
AND(H182 &gt;= 4.7, H182 &lt; 8.4), 3,
AND(H182 &gt;= 8.4, H182 &lt;= 36), 
4),
F182 = "WR", _xludf.IFS(
AND(H182 &gt;= 0, H182 &lt; 2.55), 1,
AND(H182 &gt;= 2.55, H182 &lt; 4.2), 2,
AND(H182 &gt;= 4.2, H182 &lt; 8.55), 3,
AND(H182 &gt;= 8.55, H182 &lt;= 24.4), 
4),
F182 = "QB", _xludf.IFS(
AND(H182 &gt;= 0, H182 &lt; 2.95), 1,
AND(H182 &gt;= 2.95, H182 &lt; 5.4), 2,
AND(H182 &gt;= 5.4, H182 &lt; 7.2), 3,
AND(H182 &gt;= 7.2, H182 &lt;= 12.3), 
4),
F182 = "TE", _xludf.IFS(
AND(H182 &gt;= 0, H182 &lt; 3), 1,
AND(H182 &gt;= 3, H182 &lt; 4.8), 2,
AND(H182 &gt;= 4.8, H182 &lt; 8.525), 3,
AND(H182 &gt;= 8.525, H182 &lt;= 24.6), 
4)
)</f>
        <v/>
      </c>
    </row>
    <row r="182" ht="13" customHeight="1" s="54">
      <c r="C182">
        <f>IF(COUNTIF(Keeper!B:B,D182)&gt;0,"x","")</f>
        <v/>
      </c>
      <c r="D182" s="40">
        <f>Fantasypro!C180</f>
        <v/>
      </c>
      <c r="E182" s="40">
        <f>Fantasypro!D180</f>
        <v/>
      </c>
      <c r="F182">
        <f>Fantasypro!K180</f>
        <v/>
      </c>
      <c r="G182" s="39">
        <f>Fantasypro!H180</f>
        <v/>
      </c>
      <c r="H182" s="39">
        <f>Fantasypro!I180</f>
        <v/>
      </c>
      <c r="I182" s="51">
        <f>_xludf.IFS(
F183 = "RB", _xludf.IFS(
AND(H183 &gt;= 0, H183 &lt; 2.55), 1,
AND(H183 &gt;= 2.55, H183 &lt; 4.7), 2,
AND(H183 &gt;= 4.7, H183 &lt; 8.4), 3,
AND(H183 &gt;= 8.4, H183 &lt;= 36), 
4),
F183 = "WR", _xludf.IFS(
AND(H183 &gt;= 0, H183 &lt; 2.55), 1,
AND(H183 &gt;= 2.55, H183 &lt; 4.2), 2,
AND(H183 &gt;= 4.2, H183 &lt; 8.55), 3,
AND(H183 &gt;= 8.55, H183 &lt;= 24.4), 
4),
F183 = "QB", _xludf.IFS(
AND(H183 &gt;= 0, H183 &lt; 2.95), 1,
AND(H183 &gt;= 2.95, H183 &lt; 5.4), 2,
AND(H183 &gt;= 5.4, H183 &lt; 7.2), 3,
AND(H183 &gt;= 7.2, H183 &lt;= 12.3), 
4),
F183 = "TE", _xludf.IFS(
AND(H183 &gt;= 0, H183 &lt; 3), 1,
AND(H183 &gt;= 3, H183 &lt; 4.8), 2,
AND(H183 &gt;= 4.8, H183 &lt; 8.525), 3,
AND(H183 &gt;= 8.525, H183 &lt;= 24.6), 
4)
)</f>
        <v/>
      </c>
    </row>
    <row r="183" ht="13" customHeight="1" s="54">
      <c r="C183">
        <f>IF(COUNTIF(Keeper!B:B,D183)&gt;0,"x","")</f>
        <v/>
      </c>
      <c r="D183" s="40">
        <f>Fantasypro!C181</f>
        <v/>
      </c>
      <c r="E183" s="40">
        <f>Fantasypro!D181</f>
        <v/>
      </c>
      <c r="F183">
        <f>Fantasypro!K181</f>
        <v/>
      </c>
      <c r="G183" s="39">
        <f>Fantasypro!H181</f>
        <v/>
      </c>
      <c r="H183" s="39">
        <f>Fantasypro!I181</f>
        <v/>
      </c>
      <c r="I183" s="51">
        <f>_xludf.IFS(
F184 = "RB", _xludf.IFS(
AND(H184 &gt;= 0, H184 &lt; 2.55), 1,
AND(H184 &gt;= 2.55, H184 &lt; 4.7), 2,
AND(H184 &gt;= 4.7, H184 &lt; 8.4), 3,
AND(H184 &gt;= 8.4, H184 &lt;= 36), 
4),
F184 = "WR", _xludf.IFS(
AND(H184 &gt;= 0, H184 &lt; 2.55), 1,
AND(H184 &gt;= 2.55, H184 &lt; 4.2), 2,
AND(H184 &gt;= 4.2, H184 &lt; 8.55), 3,
AND(H184 &gt;= 8.55, H184 &lt;= 24.4), 
4),
F184 = "QB", _xludf.IFS(
AND(H184 &gt;= 0, H184 &lt; 2.95), 1,
AND(H184 &gt;= 2.95, H184 &lt; 5.4), 2,
AND(H184 &gt;= 5.4, H184 &lt; 7.2), 3,
AND(H184 &gt;= 7.2, H184 &lt;= 12.3), 
4),
F184 = "TE", _xludf.IFS(
AND(H184 &gt;= 0, H184 &lt; 3), 1,
AND(H184 &gt;= 3, H184 &lt; 4.8), 2,
AND(H184 &gt;= 4.8, H184 &lt; 8.525), 3,
AND(H184 &gt;= 8.525, H184 &lt;= 24.6), 
4)
)</f>
        <v/>
      </c>
    </row>
    <row r="184" ht="13" customHeight="1" s="54">
      <c r="C184">
        <f>IF(COUNTIF(Keeper!B:B,D184)&gt;0,"x","")</f>
        <v/>
      </c>
      <c r="D184" s="40">
        <f>Fantasypro!C182</f>
        <v/>
      </c>
      <c r="E184" s="40">
        <f>Fantasypro!D182</f>
        <v/>
      </c>
      <c r="F184">
        <f>Fantasypro!K182</f>
        <v/>
      </c>
      <c r="G184" s="39">
        <f>Fantasypro!H182</f>
        <v/>
      </c>
      <c r="H184" s="39">
        <f>Fantasypro!I182</f>
        <v/>
      </c>
      <c r="I184" s="51">
        <f>_xludf.IFS(
F185 = "RB", _xludf.IFS(
AND(H185 &gt;= 0, H185 &lt; 2.55), 1,
AND(H185 &gt;= 2.55, H185 &lt; 4.7), 2,
AND(H185 &gt;= 4.7, H185 &lt; 8.4), 3,
AND(H185 &gt;= 8.4, H185 &lt;= 36), 
4),
F185 = "WR", _xludf.IFS(
AND(H185 &gt;= 0, H185 &lt; 2.55), 1,
AND(H185 &gt;= 2.55, H185 &lt; 4.2), 2,
AND(H185 &gt;= 4.2, H185 &lt; 8.55), 3,
AND(H185 &gt;= 8.55, H185 &lt;= 24.4), 
4),
F185 = "QB", _xludf.IFS(
AND(H185 &gt;= 0, H185 &lt; 2.95), 1,
AND(H185 &gt;= 2.95, H185 &lt; 5.4), 2,
AND(H185 &gt;= 5.4, H185 &lt; 7.2), 3,
AND(H185 &gt;= 7.2, H185 &lt;= 12.3), 
4),
F185 = "TE", _xludf.IFS(
AND(H185 &gt;= 0, H185 &lt; 3), 1,
AND(H185 &gt;= 3, H185 &lt; 4.8), 2,
AND(H185 &gt;= 4.8, H185 &lt; 8.525), 3,
AND(H185 &gt;= 8.525, H185 &lt;= 24.6), 
4)
)</f>
        <v/>
      </c>
    </row>
    <row r="185" ht="13" customHeight="1" s="54">
      <c r="C185">
        <f>IF(COUNTIF(Keeper!B:B,D185)&gt;0,"x","")</f>
        <v/>
      </c>
      <c r="D185" s="40">
        <f>Fantasypro!C183</f>
        <v/>
      </c>
      <c r="E185" s="40">
        <f>Fantasypro!D183</f>
        <v/>
      </c>
      <c r="F185">
        <f>Fantasypro!K183</f>
        <v/>
      </c>
      <c r="G185" s="39">
        <f>Fantasypro!H183</f>
        <v/>
      </c>
      <c r="H185" s="39">
        <f>Fantasypro!I183</f>
        <v/>
      </c>
      <c r="I185" s="51">
        <f>_xludf.IFS(
F186 = "RB", _xludf.IFS(
AND(H186 &gt;= 0, H186 &lt; 2.55), 1,
AND(H186 &gt;= 2.55, H186 &lt; 4.7), 2,
AND(H186 &gt;= 4.7, H186 &lt; 8.4), 3,
AND(H186 &gt;= 8.4, H186 &lt;= 36), 
4),
F186 = "WR", _xludf.IFS(
AND(H186 &gt;= 0, H186 &lt; 2.55), 1,
AND(H186 &gt;= 2.55, H186 &lt; 4.2), 2,
AND(H186 &gt;= 4.2, H186 &lt; 8.55), 3,
AND(H186 &gt;= 8.55, H186 &lt;= 24.4), 
4),
F186 = "QB", _xludf.IFS(
AND(H186 &gt;= 0, H186 &lt; 2.95), 1,
AND(H186 &gt;= 2.95, H186 &lt; 5.4), 2,
AND(H186 &gt;= 5.4, H186 &lt; 7.2), 3,
AND(H186 &gt;= 7.2, H186 &lt;= 12.3), 
4),
F186 = "TE", _xludf.IFS(
AND(H186 &gt;= 0, H186 &lt; 3), 1,
AND(H186 &gt;= 3, H186 &lt; 4.8), 2,
AND(H186 &gt;= 4.8, H186 &lt; 8.525), 3,
AND(H186 &gt;= 8.525, H186 &lt;= 24.6), 
4)
)</f>
        <v/>
      </c>
    </row>
    <row r="186" ht="13" customHeight="1" s="54">
      <c r="C186">
        <f>IF(COUNTIF(Keeper!B:B,D186)&gt;0,"x","")</f>
        <v/>
      </c>
      <c r="D186" s="40">
        <f>Fantasypro!C184</f>
        <v/>
      </c>
      <c r="E186" s="40">
        <f>Fantasypro!D184</f>
        <v/>
      </c>
      <c r="F186">
        <f>Fantasypro!K184</f>
        <v/>
      </c>
      <c r="G186" s="39">
        <f>Fantasypro!H184</f>
        <v/>
      </c>
      <c r="H186" s="39">
        <f>Fantasypro!I184</f>
        <v/>
      </c>
      <c r="I186" s="51">
        <f>_xludf.IFS(
F187 = "RB", _xludf.IFS(
AND(H187 &gt;= 0, H187 &lt; 2.55), 1,
AND(H187 &gt;= 2.55, H187 &lt; 4.7), 2,
AND(H187 &gt;= 4.7, H187 &lt; 8.4), 3,
AND(H187 &gt;= 8.4, H187 &lt;= 36), 
4),
F187 = "WR", _xludf.IFS(
AND(H187 &gt;= 0, H187 &lt; 2.55), 1,
AND(H187 &gt;= 2.55, H187 &lt; 4.2), 2,
AND(H187 &gt;= 4.2, H187 &lt; 8.55), 3,
AND(H187 &gt;= 8.55, H187 &lt;= 24.4), 
4),
F187 = "QB", _xludf.IFS(
AND(H187 &gt;= 0, H187 &lt; 2.95), 1,
AND(H187 &gt;= 2.95, H187 &lt; 5.4), 2,
AND(H187 &gt;= 5.4, H187 &lt; 7.2), 3,
AND(H187 &gt;= 7.2, H187 &lt;= 12.3), 
4),
F187 = "TE", _xludf.IFS(
AND(H187 &gt;= 0, H187 &lt; 3), 1,
AND(H187 &gt;= 3, H187 &lt; 4.8), 2,
AND(H187 &gt;= 4.8, H187 &lt; 8.525), 3,
AND(H187 &gt;= 8.525, H187 &lt;= 24.6), 
4)
)</f>
        <v/>
      </c>
    </row>
    <row r="187" ht="13" customHeight="1" s="54">
      <c r="C187">
        <f>IF(COUNTIF(Keeper!B:B,D187)&gt;0,"x","")</f>
        <v/>
      </c>
      <c r="D187" s="40">
        <f>Fantasypro!C185</f>
        <v/>
      </c>
      <c r="E187" s="40">
        <f>Fantasypro!D185</f>
        <v/>
      </c>
      <c r="F187">
        <f>Fantasypro!K185</f>
        <v/>
      </c>
      <c r="G187" s="39">
        <f>Fantasypro!H185</f>
        <v/>
      </c>
      <c r="H187" s="39">
        <f>Fantasypro!I185</f>
        <v/>
      </c>
      <c r="I187" s="51">
        <f>_xludf.IFS(
F188 = "RB", _xludf.IFS(
AND(H188 &gt;= 0, H188 &lt; 2.55), 1,
AND(H188 &gt;= 2.55, H188 &lt; 4.7), 2,
AND(H188 &gt;= 4.7, H188 &lt; 8.4), 3,
AND(H188 &gt;= 8.4, H188 &lt;= 36), 
4),
F188 = "WR", _xludf.IFS(
AND(H188 &gt;= 0, H188 &lt; 2.55), 1,
AND(H188 &gt;= 2.55, H188 &lt; 4.2), 2,
AND(H188 &gt;= 4.2, H188 &lt; 8.55), 3,
AND(H188 &gt;= 8.55, H188 &lt;= 24.4), 
4),
F188 = "QB", _xludf.IFS(
AND(H188 &gt;= 0, H188 &lt; 2.95), 1,
AND(H188 &gt;= 2.95, H188 &lt; 5.4), 2,
AND(H188 &gt;= 5.4, H188 &lt; 7.2), 3,
AND(H188 &gt;= 7.2, H188 &lt;= 12.3), 
4),
F188 = "TE", _xludf.IFS(
AND(H188 &gt;= 0, H188 &lt; 3), 1,
AND(H188 &gt;= 3, H188 &lt; 4.8), 2,
AND(H188 &gt;= 4.8, H188 &lt; 8.525), 3,
AND(H188 &gt;= 8.525, H188 &lt;= 24.6), 
4)
)</f>
        <v/>
      </c>
    </row>
    <row r="188" ht="13" customHeight="1" s="54">
      <c r="C188">
        <f>IF(COUNTIF(Keeper!B:B,D188)&gt;0,"x","")</f>
        <v/>
      </c>
      <c r="D188" s="40">
        <f>Fantasypro!C186</f>
        <v/>
      </c>
      <c r="E188" s="40">
        <f>Fantasypro!D186</f>
        <v/>
      </c>
      <c r="F188">
        <f>Fantasypro!K186</f>
        <v/>
      </c>
      <c r="G188" s="39">
        <f>Fantasypro!H186</f>
        <v/>
      </c>
      <c r="H188" s="39">
        <f>Fantasypro!I186</f>
        <v/>
      </c>
      <c r="I188" s="51">
        <f>_xludf.IFS(
F189 = "RB", _xludf.IFS(
AND(H189 &gt;= 0, H189 &lt; 2.55), 1,
AND(H189 &gt;= 2.55, H189 &lt; 4.7), 2,
AND(H189 &gt;= 4.7, H189 &lt; 8.4), 3,
AND(H189 &gt;= 8.4, H189 &lt;= 36), 
4),
F189 = "WR", _xludf.IFS(
AND(H189 &gt;= 0, H189 &lt; 2.55), 1,
AND(H189 &gt;= 2.55, H189 &lt; 4.2), 2,
AND(H189 &gt;= 4.2, H189 &lt; 8.55), 3,
AND(H189 &gt;= 8.55, H189 &lt;= 24.4), 
4),
F189 = "QB", _xludf.IFS(
AND(H189 &gt;= 0, H189 &lt; 2.95), 1,
AND(H189 &gt;= 2.95, H189 &lt; 5.4), 2,
AND(H189 &gt;= 5.4, H189 &lt; 7.2), 3,
AND(H189 &gt;= 7.2, H189 &lt;= 12.3), 
4),
F189 = "TE", _xludf.IFS(
AND(H189 &gt;= 0, H189 &lt; 3), 1,
AND(H189 &gt;= 3, H189 &lt; 4.8), 2,
AND(H189 &gt;= 4.8, H189 &lt; 8.525), 3,
AND(H189 &gt;= 8.525, H189 &lt;= 24.6), 
4)
)</f>
        <v/>
      </c>
    </row>
    <row r="189" ht="13" customHeight="1" s="54">
      <c r="C189">
        <f>IF(COUNTIF(Keeper!B:B,D189)&gt;0,"x","")</f>
        <v/>
      </c>
      <c r="D189" s="40">
        <f>Fantasypro!C187</f>
        <v/>
      </c>
      <c r="E189" s="40">
        <f>Fantasypro!D187</f>
        <v/>
      </c>
      <c r="F189">
        <f>Fantasypro!K187</f>
        <v/>
      </c>
      <c r="G189" s="39">
        <f>Fantasypro!H187</f>
        <v/>
      </c>
      <c r="H189" s="39">
        <f>Fantasypro!I187</f>
        <v/>
      </c>
      <c r="I189" s="51">
        <f>_xludf.IFS(
F190 = "RB", _xludf.IFS(
AND(H190 &gt;= 0, H190 &lt; 2.55), 1,
AND(H190 &gt;= 2.55, H190 &lt; 4.7), 2,
AND(H190 &gt;= 4.7, H190 &lt; 8.4), 3,
AND(H190 &gt;= 8.4, H190 &lt;= 36), 
4),
F190 = "WR", _xludf.IFS(
AND(H190 &gt;= 0, H190 &lt; 2.55), 1,
AND(H190 &gt;= 2.55, H190 &lt; 4.2), 2,
AND(H190 &gt;= 4.2, H190 &lt; 8.55), 3,
AND(H190 &gt;= 8.55, H190 &lt;= 24.4), 
4),
F190 = "QB", _xludf.IFS(
AND(H190 &gt;= 0, H190 &lt; 2.95), 1,
AND(H190 &gt;= 2.95, H190 &lt; 5.4), 2,
AND(H190 &gt;= 5.4, H190 &lt; 7.2), 3,
AND(H190 &gt;= 7.2, H190 &lt;= 12.3), 
4),
F190 = "TE", _xludf.IFS(
AND(H190 &gt;= 0, H190 &lt; 3), 1,
AND(H190 &gt;= 3, H190 &lt; 4.8), 2,
AND(H190 &gt;= 4.8, H190 &lt; 8.525), 3,
AND(H190 &gt;= 8.525, H190 &lt;= 24.6), 
4)
)</f>
        <v/>
      </c>
    </row>
    <row r="190" ht="13" customHeight="1" s="54">
      <c r="C190">
        <f>IF(COUNTIF(Keeper!B:B,D190)&gt;0,"x","")</f>
        <v/>
      </c>
      <c r="D190" s="40">
        <f>Fantasypro!C188</f>
        <v/>
      </c>
      <c r="E190" s="40">
        <f>Fantasypro!D188</f>
        <v/>
      </c>
      <c r="F190">
        <f>Fantasypro!K188</f>
        <v/>
      </c>
      <c r="G190" s="39">
        <f>Fantasypro!H188</f>
        <v/>
      </c>
      <c r="H190" s="39">
        <f>Fantasypro!I188</f>
        <v/>
      </c>
      <c r="I190" s="51">
        <f>_xludf.IFS(
F191 = "RB", _xludf.IFS(
AND(H191 &gt;= 0, H191 &lt; 2.55), 1,
AND(H191 &gt;= 2.55, H191 &lt; 4.7), 2,
AND(H191 &gt;= 4.7, H191 &lt; 8.4), 3,
AND(H191 &gt;= 8.4, H191 &lt;= 36), 
4),
F191 = "WR", _xludf.IFS(
AND(H191 &gt;= 0, H191 &lt; 2.55), 1,
AND(H191 &gt;= 2.55, H191 &lt; 4.2), 2,
AND(H191 &gt;= 4.2, H191 &lt; 8.55), 3,
AND(H191 &gt;= 8.55, H191 &lt;= 24.4), 
4),
F191 = "QB", _xludf.IFS(
AND(H191 &gt;= 0, H191 &lt; 2.95), 1,
AND(H191 &gt;= 2.95, H191 &lt; 5.4), 2,
AND(H191 &gt;= 5.4, H191 &lt; 7.2), 3,
AND(H191 &gt;= 7.2, H191 &lt;= 12.3), 
4),
F191 = "TE", _xludf.IFS(
AND(H191 &gt;= 0, H191 &lt; 3), 1,
AND(H191 &gt;= 3, H191 &lt; 4.8), 2,
AND(H191 &gt;= 4.8, H191 &lt; 8.525), 3,
AND(H191 &gt;= 8.525, H191 &lt;= 24.6), 
4)
)</f>
        <v/>
      </c>
    </row>
    <row r="191" ht="13" customHeight="1" s="54">
      <c r="C191">
        <f>IF(COUNTIF(Keeper!B:B,D191)&gt;0,"x","")</f>
        <v/>
      </c>
      <c r="D191" s="40">
        <f>Fantasypro!C189</f>
        <v/>
      </c>
      <c r="E191" s="40">
        <f>Fantasypro!D189</f>
        <v/>
      </c>
      <c r="F191">
        <f>Fantasypro!K189</f>
        <v/>
      </c>
      <c r="G191" s="39">
        <f>Fantasypro!H189</f>
        <v/>
      </c>
      <c r="H191" s="39">
        <f>Fantasypro!I189</f>
        <v/>
      </c>
      <c r="I191" s="51">
        <f>_xludf.IFS(
F192 = "RB", _xludf.IFS(
AND(H192 &gt;= 0, H192 &lt; 2.55), 1,
AND(H192 &gt;= 2.55, H192 &lt; 4.7), 2,
AND(H192 &gt;= 4.7, H192 &lt; 8.4), 3,
AND(H192 &gt;= 8.4, H192 &lt;= 36), 
4),
F192 = "WR", _xludf.IFS(
AND(H192 &gt;= 0, H192 &lt; 2.55), 1,
AND(H192 &gt;= 2.55, H192 &lt; 4.2), 2,
AND(H192 &gt;= 4.2, H192 &lt; 8.55), 3,
AND(H192 &gt;= 8.55, H192 &lt;= 24.4), 
4),
F192 = "QB", _xludf.IFS(
AND(H192 &gt;= 0, H192 &lt; 2.95), 1,
AND(H192 &gt;= 2.95, H192 &lt; 5.4), 2,
AND(H192 &gt;= 5.4, H192 &lt; 7.2), 3,
AND(H192 &gt;= 7.2, H192 &lt;= 12.3), 
4),
F192 = "TE", _xludf.IFS(
AND(H192 &gt;= 0, H192 &lt; 3), 1,
AND(H192 &gt;= 3, H192 &lt; 4.8), 2,
AND(H192 &gt;= 4.8, H192 &lt; 8.525), 3,
AND(H192 &gt;= 8.525, H192 &lt;= 24.6), 
4)
)</f>
        <v/>
      </c>
    </row>
    <row r="192" ht="13" customHeight="1" s="54">
      <c r="C192">
        <f>IF(COUNTIF(Keeper!B:B,D192)&gt;0,"x","")</f>
        <v/>
      </c>
      <c r="D192" s="40">
        <f>Fantasypro!C190</f>
        <v/>
      </c>
      <c r="E192" s="40">
        <f>Fantasypro!D190</f>
        <v/>
      </c>
      <c r="F192">
        <f>Fantasypro!K190</f>
        <v/>
      </c>
      <c r="G192" s="39">
        <f>Fantasypro!H190</f>
        <v/>
      </c>
      <c r="H192" s="39">
        <f>Fantasypro!I190</f>
        <v/>
      </c>
      <c r="I192" s="51">
        <f>_xludf.IFS(
F193 = "RB", _xludf.IFS(
AND(H193 &gt;= 0, H193 &lt; 2.55), 1,
AND(H193 &gt;= 2.55, H193 &lt; 4.7), 2,
AND(H193 &gt;= 4.7, H193 &lt; 8.4), 3,
AND(H193 &gt;= 8.4, H193 &lt;= 36), 
4),
F193 = "WR", _xludf.IFS(
AND(H193 &gt;= 0, H193 &lt; 2.55), 1,
AND(H193 &gt;= 2.55, H193 &lt; 4.2), 2,
AND(H193 &gt;= 4.2, H193 &lt; 8.55), 3,
AND(H193 &gt;= 8.55, H193 &lt;= 24.4), 
4),
F193 = "QB", _xludf.IFS(
AND(H193 &gt;= 0, H193 &lt; 2.95), 1,
AND(H193 &gt;= 2.95, H193 &lt; 5.4), 2,
AND(H193 &gt;= 5.4, H193 &lt; 7.2), 3,
AND(H193 &gt;= 7.2, H193 &lt;= 12.3), 
4),
F193 = "TE", _xludf.IFS(
AND(H193 &gt;= 0, H193 &lt; 3), 1,
AND(H193 &gt;= 3, H193 &lt; 4.8), 2,
AND(H193 &gt;= 4.8, H193 &lt; 8.525), 3,
AND(H193 &gt;= 8.525, H193 &lt;= 24.6), 
4)
)</f>
        <v/>
      </c>
    </row>
    <row r="193" ht="13" customHeight="1" s="54">
      <c r="C193">
        <f>IF(COUNTIF(Keeper!B:B,D193)&gt;0,"x","")</f>
        <v/>
      </c>
      <c r="D193" s="40">
        <f>Fantasypro!C191</f>
        <v/>
      </c>
      <c r="E193" s="40">
        <f>Fantasypro!D191</f>
        <v/>
      </c>
      <c r="F193">
        <f>Fantasypro!K191</f>
        <v/>
      </c>
      <c r="G193" s="39">
        <f>Fantasypro!H191</f>
        <v/>
      </c>
      <c r="H193" s="39">
        <f>Fantasypro!I191</f>
        <v/>
      </c>
      <c r="I193" s="51">
        <f>_xludf.IFS(
F194 = "RB", _xludf.IFS(
AND(H194 &gt;= 0, H194 &lt; 2.55), 1,
AND(H194 &gt;= 2.55, H194 &lt; 4.7), 2,
AND(H194 &gt;= 4.7, H194 &lt; 8.4), 3,
AND(H194 &gt;= 8.4, H194 &lt;= 36), 
4),
F194 = "WR", _xludf.IFS(
AND(H194 &gt;= 0, H194 &lt; 2.55), 1,
AND(H194 &gt;= 2.55, H194 &lt; 4.2), 2,
AND(H194 &gt;= 4.2, H194 &lt; 8.55), 3,
AND(H194 &gt;= 8.55, H194 &lt;= 24.4), 
4),
F194 = "QB", _xludf.IFS(
AND(H194 &gt;= 0, H194 &lt; 2.95), 1,
AND(H194 &gt;= 2.95, H194 &lt; 5.4), 2,
AND(H194 &gt;= 5.4, H194 &lt; 7.2), 3,
AND(H194 &gt;= 7.2, H194 &lt;= 12.3), 
4),
F194 = "TE", _xludf.IFS(
AND(H194 &gt;= 0, H194 &lt; 3), 1,
AND(H194 &gt;= 3, H194 &lt; 4.8), 2,
AND(H194 &gt;= 4.8, H194 &lt; 8.525), 3,
AND(H194 &gt;= 8.525, H194 &lt;= 24.6), 
4)
)</f>
        <v/>
      </c>
    </row>
    <row r="194" ht="13" customHeight="1" s="54">
      <c r="C194">
        <f>IF(COUNTIF(Keeper!B:B,D194)&gt;0,"x","")</f>
        <v/>
      </c>
      <c r="D194" s="40">
        <f>Fantasypro!C192</f>
        <v/>
      </c>
      <c r="E194" s="40">
        <f>Fantasypro!D192</f>
        <v/>
      </c>
      <c r="F194">
        <f>Fantasypro!K192</f>
        <v/>
      </c>
      <c r="G194" s="39">
        <f>Fantasypro!H192</f>
        <v/>
      </c>
      <c r="H194" s="39">
        <f>Fantasypro!I192</f>
        <v/>
      </c>
      <c r="I194" s="51">
        <f>_xludf.IFS(
F195 = "RB", _xludf.IFS(
AND(H195 &gt;= 0, H195 &lt; 2.55), 1,
AND(H195 &gt;= 2.55, H195 &lt; 4.7), 2,
AND(H195 &gt;= 4.7, H195 &lt; 8.4), 3,
AND(H195 &gt;= 8.4, H195 &lt;= 36), 
4),
F195 = "WR", _xludf.IFS(
AND(H195 &gt;= 0, H195 &lt; 2.55), 1,
AND(H195 &gt;= 2.55, H195 &lt; 4.2), 2,
AND(H195 &gt;= 4.2, H195 &lt; 8.55), 3,
AND(H195 &gt;= 8.55, H195 &lt;= 24.4), 
4),
F195 = "QB", _xludf.IFS(
AND(H195 &gt;= 0, H195 &lt; 2.95), 1,
AND(H195 &gt;= 2.95, H195 &lt; 5.4), 2,
AND(H195 &gt;= 5.4, H195 &lt; 7.2), 3,
AND(H195 &gt;= 7.2, H195 &lt;= 12.3), 
4),
F195 = "TE", _xludf.IFS(
AND(H195 &gt;= 0, H195 &lt; 3), 1,
AND(H195 &gt;= 3, H195 &lt; 4.8), 2,
AND(H195 &gt;= 4.8, H195 &lt; 8.525), 3,
AND(H195 &gt;= 8.525, H195 &lt;= 24.6), 
4)
)</f>
        <v/>
      </c>
    </row>
    <row r="195" ht="13" customHeight="1" s="54">
      <c r="C195">
        <f>IF(COUNTIF(Keeper!B:B,D195)&gt;0,"x","")</f>
        <v/>
      </c>
      <c r="D195" s="40">
        <f>Fantasypro!C193</f>
        <v/>
      </c>
      <c r="E195" s="40">
        <f>Fantasypro!D193</f>
        <v/>
      </c>
      <c r="F195">
        <f>Fantasypro!K193</f>
        <v/>
      </c>
      <c r="G195" s="39">
        <f>Fantasypro!H193</f>
        <v/>
      </c>
      <c r="H195" s="39">
        <f>Fantasypro!I193</f>
        <v/>
      </c>
      <c r="I195" s="51">
        <f>_xludf.IFS(
F196 = "RB", _xludf.IFS(
AND(H196 &gt;= 0, H196 &lt; 2.55), 1,
AND(H196 &gt;= 2.55, H196 &lt; 4.7), 2,
AND(H196 &gt;= 4.7, H196 &lt; 8.4), 3,
AND(H196 &gt;= 8.4, H196 &lt;= 36), 
4),
F196 = "WR", _xludf.IFS(
AND(H196 &gt;= 0, H196 &lt; 2.55), 1,
AND(H196 &gt;= 2.55, H196 &lt; 4.2), 2,
AND(H196 &gt;= 4.2, H196 &lt; 8.55), 3,
AND(H196 &gt;= 8.55, H196 &lt;= 24.4), 
4),
F196 = "QB", _xludf.IFS(
AND(H196 &gt;= 0, H196 &lt; 2.95), 1,
AND(H196 &gt;= 2.95, H196 &lt; 5.4), 2,
AND(H196 &gt;= 5.4, H196 &lt; 7.2), 3,
AND(H196 &gt;= 7.2, H196 &lt;= 12.3), 
4),
F196 = "TE", _xludf.IFS(
AND(H196 &gt;= 0, H196 &lt; 3), 1,
AND(H196 &gt;= 3, H196 &lt; 4.8), 2,
AND(H196 &gt;= 4.8, H196 &lt; 8.525), 3,
AND(H196 &gt;= 8.525, H196 &lt;= 24.6), 
4)
)</f>
        <v/>
      </c>
    </row>
    <row r="196" ht="13" customHeight="1" s="54">
      <c r="C196">
        <f>IF(COUNTIF(Keeper!B:B,D196)&gt;0,"x","")</f>
        <v/>
      </c>
      <c r="D196" s="40">
        <f>Fantasypro!C194</f>
        <v/>
      </c>
      <c r="E196" s="40">
        <f>Fantasypro!D194</f>
        <v/>
      </c>
      <c r="F196">
        <f>Fantasypro!K194</f>
        <v/>
      </c>
      <c r="G196" s="39">
        <f>Fantasypro!H194</f>
        <v/>
      </c>
      <c r="H196" s="39">
        <f>Fantasypro!I194</f>
        <v/>
      </c>
      <c r="I196" s="51">
        <f>_xludf.IFS(
F197 = "RB", _xludf.IFS(
AND(H197 &gt;= 0, H197 &lt; 2.55), 1,
AND(H197 &gt;= 2.55, H197 &lt; 4.7), 2,
AND(H197 &gt;= 4.7, H197 &lt; 8.4), 3,
AND(H197 &gt;= 8.4, H197 &lt;= 36), 
4),
F197 = "WR", _xludf.IFS(
AND(H197 &gt;= 0, H197 &lt; 2.55), 1,
AND(H197 &gt;= 2.55, H197 &lt; 4.2), 2,
AND(H197 &gt;= 4.2, H197 &lt; 8.55), 3,
AND(H197 &gt;= 8.55, H197 &lt;= 24.4), 
4),
F197 = "QB", _xludf.IFS(
AND(H197 &gt;= 0, H197 &lt; 2.95), 1,
AND(H197 &gt;= 2.95, H197 &lt; 5.4), 2,
AND(H197 &gt;= 5.4, H197 &lt; 7.2), 3,
AND(H197 &gt;= 7.2, H197 &lt;= 12.3), 
4),
F197 = "TE", _xludf.IFS(
AND(H197 &gt;= 0, H197 &lt; 3), 1,
AND(H197 &gt;= 3, H197 &lt; 4.8), 2,
AND(H197 &gt;= 4.8, H197 &lt; 8.525), 3,
AND(H197 &gt;= 8.525, H197 &lt;= 24.6), 
4)
)</f>
        <v/>
      </c>
    </row>
    <row r="197" ht="13" customHeight="1" s="54">
      <c r="C197">
        <f>IF(COUNTIF(Keeper!B:B,D197)&gt;0,"x","")</f>
        <v/>
      </c>
      <c r="D197" s="40">
        <f>Fantasypro!C195</f>
        <v/>
      </c>
      <c r="E197" s="40">
        <f>Fantasypro!D195</f>
        <v/>
      </c>
      <c r="F197">
        <f>Fantasypro!K195</f>
        <v/>
      </c>
      <c r="G197" s="39">
        <f>Fantasypro!H195</f>
        <v/>
      </c>
      <c r="H197" s="39">
        <f>Fantasypro!I195</f>
        <v/>
      </c>
      <c r="I197" s="51">
        <f>_xludf.IFS(
F198 = "RB", _xludf.IFS(
AND(H198 &gt;= 0, H198 &lt; 2.55), 1,
AND(H198 &gt;= 2.55, H198 &lt; 4.7), 2,
AND(H198 &gt;= 4.7, H198 &lt; 8.4), 3,
AND(H198 &gt;= 8.4, H198 &lt;= 36), 
4),
F198 = "WR", _xludf.IFS(
AND(H198 &gt;= 0, H198 &lt; 2.55), 1,
AND(H198 &gt;= 2.55, H198 &lt; 4.2), 2,
AND(H198 &gt;= 4.2, H198 &lt; 8.55), 3,
AND(H198 &gt;= 8.55, H198 &lt;= 24.4), 
4),
F198 = "QB", _xludf.IFS(
AND(H198 &gt;= 0, H198 &lt; 2.95), 1,
AND(H198 &gt;= 2.95, H198 &lt; 5.4), 2,
AND(H198 &gt;= 5.4, H198 &lt; 7.2), 3,
AND(H198 &gt;= 7.2, H198 &lt;= 12.3), 
4),
F198 = "TE", _xludf.IFS(
AND(H198 &gt;= 0, H198 &lt; 3), 1,
AND(H198 &gt;= 3, H198 &lt; 4.8), 2,
AND(H198 &gt;= 4.8, H198 &lt; 8.525), 3,
AND(H198 &gt;= 8.525, H198 &lt;= 24.6), 
4)
)</f>
        <v/>
      </c>
    </row>
    <row r="198" ht="13" customHeight="1" s="54">
      <c r="C198">
        <f>IF(COUNTIF(Keeper!B:B,D198)&gt;0,"x","")</f>
        <v/>
      </c>
      <c r="D198" s="40">
        <f>Fantasypro!C196</f>
        <v/>
      </c>
      <c r="E198" s="40">
        <f>Fantasypro!D196</f>
        <v/>
      </c>
      <c r="F198">
        <f>Fantasypro!K196</f>
        <v/>
      </c>
      <c r="G198" s="39">
        <f>Fantasypro!H196</f>
        <v/>
      </c>
      <c r="H198" s="39">
        <f>Fantasypro!I196</f>
        <v/>
      </c>
      <c r="I198" s="51">
        <f>_xludf.IFS(
F199 = "RB", _xludf.IFS(
AND(H199 &gt;= 0, H199 &lt; 2.55), 1,
AND(H199 &gt;= 2.55, H199 &lt; 4.7), 2,
AND(H199 &gt;= 4.7, H199 &lt; 8.4), 3,
AND(H199 &gt;= 8.4, H199 &lt;= 36), 
4),
F199 = "WR", _xludf.IFS(
AND(H199 &gt;= 0, H199 &lt; 2.55), 1,
AND(H199 &gt;= 2.55, H199 &lt; 4.2), 2,
AND(H199 &gt;= 4.2, H199 &lt; 8.55), 3,
AND(H199 &gt;= 8.55, H199 &lt;= 24.4), 
4),
F199 = "QB", _xludf.IFS(
AND(H199 &gt;= 0, H199 &lt; 2.95), 1,
AND(H199 &gt;= 2.95, H199 &lt; 5.4), 2,
AND(H199 &gt;= 5.4, H199 &lt; 7.2), 3,
AND(H199 &gt;= 7.2, H199 &lt;= 12.3), 
4),
F199 = "TE", _xludf.IFS(
AND(H199 &gt;= 0, H199 &lt; 3), 1,
AND(H199 &gt;= 3, H199 &lt; 4.8), 2,
AND(H199 &gt;= 4.8, H199 &lt; 8.525), 3,
AND(H199 &gt;= 8.525, H199 &lt;= 24.6), 
4)
)</f>
        <v/>
      </c>
    </row>
    <row r="199" ht="13" customHeight="1" s="54">
      <c r="C199">
        <f>IF(COUNTIF(Keeper!B:B,D199)&gt;0,"x","")</f>
        <v/>
      </c>
      <c r="D199" s="40">
        <f>Fantasypro!C197</f>
        <v/>
      </c>
      <c r="E199" s="40">
        <f>Fantasypro!D197</f>
        <v/>
      </c>
      <c r="F199">
        <f>Fantasypro!K197</f>
        <v/>
      </c>
      <c r="G199" s="39">
        <f>Fantasypro!H197</f>
        <v/>
      </c>
      <c r="H199" s="39">
        <f>Fantasypro!I197</f>
        <v/>
      </c>
      <c r="I199" s="51">
        <f>_xludf.IFS(
F200 = "RB", _xludf.IFS(
AND(H200 &gt;= 0, H200 &lt; 2.55), 1,
AND(H200 &gt;= 2.55, H200 &lt; 4.7), 2,
AND(H200 &gt;= 4.7, H200 &lt; 8.4), 3,
AND(H200 &gt;= 8.4, H200 &lt;= 36), 
4),
F200 = "WR", _xludf.IFS(
AND(H200 &gt;= 0, H200 &lt; 2.55), 1,
AND(H200 &gt;= 2.55, H200 &lt; 4.2), 2,
AND(H200 &gt;= 4.2, H200 &lt; 8.55), 3,
AND(H200 &gt;= 8.55, H200 &lt;= 24.4), 
4),
F200 = "QB", _xludf.IFS(
AND(H200 &gt;= 0, H200 &lt; 2.95), 1,
AND(H200 &gt;= 2.95, H200 &lt; 5.4), 2,
AND(H200 &gt;= 5.4, H200 &lt; 7.2), 3,
AND(H200 &gt;= 7.2, H200 &lt;= 12.3), 
4),
F200 = "TE", _xludf.IFS(
AND(H200 &gt;= 0, H200 &lt; 3), 1,
AND(H200 &gt;= 3, H200 &lt; 4.8), 2,
AND(H200 &gt;= 4.8, H200 &lt; 8.525), 3,
AND(H200 &gt;= 8.525, H200 &lt;= 24.6), 
4)
)</f>
        <v/>
      </c>
    </row>
    <row r="200" ht="13" customHeight="1" s="54">
      <c r="C200">
        <f>IF(COUNTIF(Keeper!B:B,D200)&gt;0,"x","")</f>
        <v/>
      </c>
      <c r="D200" s="40">
        <f>Fantasypro!C198</f>
        <v/>
      </c>
      <c r="E200" s="40">
        <f>Fantasypro!D198</f>
        <v/>
      </c>
      <c r="F200">
        <f>Fantasypro!K198</f>
        <v/>
      </c>
      <c r="G200" s="39">
        <f>Fantasypro!H198</f>
        <v/>
      </c>
      <c r="H200" s="39">
        <f>Fantasypro!I198</f>
        <v/>
      </c>
      <c r="I200" s="51">
        <f>_xludf.IFS(
F201 = "RB", _xludf.IFS(
AND(H201 &gt;= 0, H201 &lt; 2.55), 1,
AND(H201 &gt;= 2.55, H201 &lt; 4.7), 2,
AND(H201 &gt;= 4.7, H201 &lt; 8.4), 3,
AND(H201 &gt;= 8.4, H201 &lt;= 36), 
4),
F201 = "WR", _xludf.IFS(
AND(H201 &gt;= 0, H201 &lt; 2.55), 1,
AND(H201 &gt;= 2.55, H201 &lt; 4.2), 2,
AND(H201 &gt;= 4.2, H201 &lt; 8.55), 3,
AND(H201 &gt;= 8.55, H201 &lt;= 24.4), 
4),
F201 = "QB", _xludf.IFS(
AND(H201 &gt;= 0, H201 &lt; 2.95), 1,
AND(H201 &gt;= 2.95, H201 &lt; 5.4), 2,
AND(H201 &gt;= 5.4, H201 &lt; 7.2), 3,
AND(H201 &gt;= 7.2, H201 &lt;= 12.3), 
4),
F201 = "TE", _xludf.IFS(
AND(H201 &gt;= 0, H201 &lt; 3), 1,
AND(H201 &gt;= 3, H201 &lt; 4.8), 2,
AND(H201 &gt;= 4.8, H201 &lt; 8.525), 3,
AND(H201 &gt;= 8.525, H201 &lt;= 24.6), 
4)
)</f>
        <v/>
      </c>
    </row>
    <row r="201" ht="13" customHeight="1" s="54">
      <c r="C201">
        <f>IF(COUNTIF(Keeper!B:B,D201)&gt;0,"x","")</f>
        <v/>
      </c>
      <c r="D201" s="40">
        <f>Fantasypro!C199</f>
        <v/>
      </c>
      <c r="E201" s="40">
        <f>Fantasypro!D199</f>
        <v/>
      </c>
      <c r="F201">
        <f>Fantasypro!K199</f>
        <v/>
      </c>
      <c r="G201" s="39">
        <f>Fantasypro!H199</f>
        <v/>
      </c>
      <c r="H201" s="39">
        <f>Fantasypro!I199</f>
        <v/>
      </c>
      <c r="I201" s="51">
        <f>_xludf.IFS(
F202 = "RB", _xludf.IFS(
AND(H202 &gt;= 0, H202 &lt; 2.55), 1,
AND(H202 &gt;= 2.55, H202 &lt; 4.7), 2,
AND(H202 &gt;= 4.7, H202 &lt; 8.4), 3,
AND(H202 &gt;= 8.4, H202 &lt;= 36), 
4),
F202 = "WR", _xludf.IFS(
AND(H202 &gt;= 0, H202 &lt; 2.55), 1,
AND(H202 &gt;= 2.55, H202 &lt; 4.2), 2,
AND(H202 &gt;= 4.2, H202 &lt; 8.55), 3,
AND(H202 &gt;= 8.55, H202 &lt;= 24.4), 
4),
F202 = "QB", _xludf.IFS(
AND(H202 &gt;= 0, H202 &lt; 2.95), 1,
AND(H202 &gt;= 2.95, H202 &lt; 5.4), 2,
AND(H202 &gt;= 5.4, H202 &lt; 7.2), 3,
AND(H202 &gt;= 7.2, H202 &lt;= 12.3), 
4),
F202 = "TE", _xludf.IFS(
AND(H202 &gt;= 0, H202 &lt; 3), 1,
AND(H202 &gt;= 3, H202 &lt; 4.8), 2,
AND(H202 &gt;= 4.8, H202 &lt; 8.525), 3,
AND(H202 &gt;= 8.525, H202 &lt;= 24.6), 
4)
)</f>
        <v/>
      </c>
    </row>
    <row r="202" ht="13" customHeight="1" s="54">
      <c r="C202">
        <f>IF(COUNTIF(Keeper!B:B,D202)&gt;0,"x","")</f>
        <v/>
      </c>
      <c r="D202" s="40">
        <f>Fantasypro!C200</f>
        <v/>
      </c>
      <c r="E202" s="40">
        <f>Fantasypro!D200</f>
        <v/>
      </c>
      <c r="F202">
        <f>Fantasypro!K200</f>
        <v/>
      </c>
      <c r="G202" s="39">
        <f>Fantasypro!H200</f>
        <v/>
      </c>
      <c r="H202" s="39">
        <f>Fantasypro!I200</f>
        <v/>
      </c>
      <c r="I202" s="51">
        <f>_xludf.IFS(
F203 = "RB", _xludf.IFS(
AND(H203 &gt;= 0, H203 &lt; 2.55), 1,
AND(H203 &gt;= 2.55, H203 &lt; 4.7), 2,
AND(H203 &gt;= 4.7, H203 &lt; 8.4), 3,
AND(H203 &gt;= 8.4, H203 &lt;= 36), 
4),
F203 = "WR", _xludf.IFS(
AND(H203 &gt;= 0, H203 &lt; 2.55), 1,
AND(H203 &gt;= 2.55, H203 &lt; 4.2), 2,
AND(H203 &gt;= 4.2, H203 &lt; 8.55), 3,
AND(H203 &gt;= 8.55, H203 &lt;= 24.4), 
4),
F203 = "QB", _xludf.IFS(
AND(H203 &gt;= 0, H203 &lt; 2.95), 1,
AND(H203 &gt;= 2.95, H203 &lt; 5.4), 2,
AND(H203 &gt;= 5.4, H203 &lt; 7.2), 3,
AND(H203 &gt;= 7.2, H203 &lt;= 12.3), 
4),
F203 = "TE", _xludf.IFS(
AND(H203 &gt;= 0, H203 &lt; 3), 1,
AND(H203 &gt;= 3, H203 &lt; 4.8), 2,
AND(H203 &gt;= 4.8, H203 &lt; 8.525), 3,
AND(H203 &gt;= 8.525, H203 &lt;= 24.6), 
4)
)</f>
        <v/>
      </c>
    </row>
    <row r="203" ht="13" customHeight="1" s="54">
      <c r="C203">
        <f>IF(COUNTIF(Keeper!B:B,D203)&gt;0,"x","")</f>
        <v/>
      </c>
      <c r="D203" s="40">
        <f>Fantasypro!C201</f>
        <v/>
      </c>
      <c r="E203" s="40">
        <f>Fantasypro!D201</f>
        <v/>
      </c>
      <c r="F203">
        <f>Fantasypro!K201</f>
        <v/>
      </c>
      <c r="G203" s="39">
        <f>Fantasypro!H201</f>
        <v/>
      </c>
      <c r="H203" s="39">
        <f>Fantasypro!I201</f>
        <v/>
      </c>
      <c r="I203" s="51">
        <f>_xludf.IFS(
F204 = "RB", _xludf.IFS(
AND(H204 &gt;= 0, H204 &lt; 2.55), 1,
AND(H204 &gt;= 2.55, H204 &lt; 4.7), 2,
AND(H204 &gt;= 4.7, H204 &lt; 8.4), 3,
AND(H204 &gt;= 8.4, H204 &lt;= 36), 
4),
F204 = "WR", _xludf.IFS(
AND(H204 &gt;= 0, H204 &lt; 2.55), 1,
AND(H204 &gt;= 2.55, H204 &lt; 4.2), 2,
AND(H204 &gt;= 4.2, H204 &lt; 8.55), 3,
AND(H204 &gt;= 8.55, H204 &lt;= 24.4), 
4),
F204 = "QB", _xludf.IFS(
AND(H204 &gt;= 0, H204 &lt; 2.95), 1,
AND(H204 &gt;= 2.95, H204 &lt; 5.4), 2,
AND(H204 &gt;= 5.4, H204 &lt; 7.2), 3,
AND(H204 &gt;= 7.2, H204 &lt;= 12.3), 
4),
F204 = "TE", _xludf.IFS(
AND(H204 &gt;= 0, H204 &lt; 3), 1,
AND(H204 &gt;= 3, H204 &lt; 4.8), 2,
AND(H204 &gt;= 4.8, H204 &lt; 8.525), 3,
AND(H204 &gt;= 8.525, H204 &lt;= 24.6), 
4)
)</f>
        <v/>
      </c>
    </row>
    <row r="204" ht="13" customHeight="1" s="54">
      <c r="C204">
        <f>IF(COUNTIF(Keeper!B:B,D204)&gt;0,"x","")</f>
        <v/>
      </c>
      <c r="D204" s="40">
        <f>Fantasypro!C202</f>
        <v/>
      </c>
      <c r="E204" s="40">
        <f>Fantasypro!D202</f>
        <v/>
      </c>
      <c r="F204">
        <f>Fantasypro!K202</f>
        <v/>
      </c>
      <c r="G204" s="39">
        <f>Fantasypro!H202</f>
        <v/>
      </c>
      <c r="H204" s="39">
        <f>Fantasypro!I202</f>
        <v/>
      </c>
      <c r="I204" s="51">
        <f>_xludf.IFS(
F205 = "RB", _xludf.IFS(
AND(H205 &gt;= 0, H205 &lt; 2.55), 1,
AND(H205 &gt;= 2.55, H205 &lt; 4.7), 2,
AND(H205 &gt;= 4.7, H205 &lt; 8.4), 3,
AND(H205 &gt;= 8.4, H205 &lt;= 36), 
4),
F205 = "WR", _xludf.IFS(
AND(H205 &gt;= 0, H205 &lt; 2.55), 1,
AND(H205 &gt;= 2.55, H205 &lt; 4.2), 2,
AND(H205 &gt;= 4.2, H205 &lt; 8.55), 3,
AND(H205 &gt;= 8.55, H205 &lt;= 24.4), 
4),
F205 = "QB", _xludf.IFS(
AND(H205 &gt;= 0, H205 &lt; 2.95), 1,
AND(H205 &gt;= 2.95, H205 &lt; 5.4), 2,
AND(H205 &gt;= 5.4, H205 &lt; 7.2), 3,
AND(H205 &gt;= 7.2, H205 &lt;= 12.3), 
4),
F205 = "TE", _xludf.IFS(
AND(H205 &gt;= 0, H205 &lt; 3), 1,
AND(H205 &gt;= 3, H205 &lt; 4.8), 2,
AND(H205 &gt;= 4.8, H205 &lt; 8.525), 3,
AND(H205 &gt;= 8.525, H205 &lt;= 24.6), 
4)
)</f>
        <v/>
      </c>
    </row>
    <row r="205" ht="13" customHeight="1" s="54">
      <c r="C205">
        <f>IF(COUNTIF(Keeper!B:B,D205)&gt;0,"x","")</f>
        <v/>
      </c>
      <c r="D205" s="40">
        <f>Fantasypro!C203</f>
        <v/>
      </c>
      <c r="E205" s="40">
        <f>Fantasypro!D203</f>
        <v/>
      </c>
      <c r="F205">
        <f>Fantasypro!K203</f>
        <v/>
      </c>
      <c r="G205" s="39">
        <f>Fantasypro!H203</f>
        <v/>
      </c>
      <c r="H205" s="39">
        <f>Fantasypro!I203</f>
        <v/>
      </c>
      <c r="I205" s="51">
        <f>_xludf.IFS(
F206 = "RB", _xludf.IFS(
AND(H206 &gt;= 0, H206 &lt; 2.55), 1,
AND(H206 &gt;= 2.55, H206 &lt; 4.7), 2,
AND(H206 &gt;= 4.7, H206 &lt; 8.4), 3,
AND(H206 &gt;= 8.4, H206 &lt;= 36), 
4),
F206 = "WR", _xludf.IFS(
AND(H206 &gt;= 0, H206 &lt; 2.55), 1,
AND(H206 &gt;= 2.55, H206 &lt; 4.2), 2,
AND(H206 &gt;= 4.2, H206 &lt; 8.55), 3,
AND(H206 &gt;= 8.55, H206 &lt;= 24.4), 
4),
F206 = "QB", _xludf.IFS(
AND(H206 &gt;= 0, H206 &lt; 2.95), 1,
AND(H206 &gt;= 2.95, H206 &lt; 5.4), 2,
AND(H206 &gt;= 5.4, H206 &lt; 7.2), 3,
AND(H206 &gt;= 7.2, H206 &lt;= 12.3), 
4),
F206 = "TE", _xludf.IFS(
AND(H206 &gt;= 0, H206 &lt; 3), 1,
AND(H206 &gt;= 3, H206 &lt; 4.8), 2,
AND(H206 &gt;= 4.8, H206 &lt; 8.525), 3,
AND(H206 &gt;= 8.525, H206 &lt;= 24.6), 
4)
)</f>
        <v/>
      </c>
    </row>
    <row r="206" ht="13" customHeight="1" s="54">
      <c r="C206">
        <f>IF(COUNTIF(Keeper!B:B,D206)&gt;0,"x","")</f>
        <v/>
      </c>
      <c r="D206" s="40">
        <f>Fantasypro!C204</f>
        <v/>
      </c>
      <c r="E206" s="40">
        <f>Fantasypro!D204</f>
        <v/>
      </c>
      <c r="F206">
        <f>Fantasypro!K204</f>
        <v/>
      </c>
      <c r="G206" s="39">
        <f>Fantasypro!H204</f>
        <v/>
      </c>
      <c r="H206" s="39">
        <f>Fantasypro!I204</f>
        <v/>
      </c>
      <c r="I206" s="51">
        <f>_xludf.IFS(
F207 = "RB", _xludf.IFS(
AND(H207 &gt;= 0, H207 &lt; 2.55), 1,
AND(H207 &gt;= 2.55, H207 &lt; 4.7), 2,
AND(H207 &gt;= 4.7, H207 &lt; 8.4), 3,
AND(H207 &gt;= 8.4, H207 &lt;= 36), 
4),
F207 = "WR", _xludf.IFS(
AND(H207 &gt;= 0, H207 &lt; 2.55), 1,
AND(H207 &gt;= 2.55, H207 &lt; 4.2), 2,
AND(H207 &gt;= 4.2, H207 &lt; 8.55), 3,
AND(H207 &gt;= 8.55, H207 &lt;= 24.4), 
4),
F207 = "QB", _xludf.IFS(
AND(H207 &gt;= 0, H207 &lt; 2.95), 1,
AND(H207 &gt;= 2.95, H207 &lt; 5.4), 2,
AND(H207 &gt;= 5.4, H207 &lt; 7.2), 3,
AND(H207 &gt;= 7.2, H207 &lt;= 12.3), 
4),
F207 = "TE", _xludf.IFS(
AND(H207 &gt;= 0, H207 &lt; 3), 1,
AND(H207 &gt;= 3, H207 &lt; 4.8), 2,
AND(H207 &gt;= 4.8, H207 &lt; 8.525), 3,
AND(H207 &gt;= 8.525, H207 &lt;= 24.6), 
4)
)</f>
        <v/>
      </c>
    </row>
    <row r="207" ht="13" customHeight="1" s="54">
      <c r="C207">
        <f>IF(COUNTIF(Keeper!B:B,D207)&gt;0,"x","")</f>
        <v/>
      </c>
      <c r="D207" s="40">
        <f>Fantasypro!C205</f>
        <v/>
      </c>
      <c r="E207" s="40">
        <f>Fantasypro!D205</f>
        <v/>
      </c>
      <c r="F207">
        <f>Fantasypro!K205</f>
        <v/>
      </c>
      <c r="G207" s="39">
        <f>Fantasypro!H205</f>
        <v/>
      </c>
      <c r="H207" s="39">
        <f>Fantasypro!I205</f>
        <v/>
      </c>
      <c r="I207" s="51">
        <f>_xludf.IFS(
F208 = "RB", _xludf.IFS(
AND(H208 &gt;= 0, H208 &lt; 2.55), 1,
AND(H208 &gt;= 2.55, H208 &lt; 4.7), 2,
AND(H208 &gt;= 4.7, H208 &lt; 8.4), 3,
AND(H208 &gt;= 8.4, H208 &lt;= 36), 
4),
F208 = "WR", _xludf.IFS(
AND(H208 &gt;= 0, H208 &lt; 2.55), 1,
AND(H208 &gt;= 2.55, H208 &lt; 4.2), 2,
AND(H208 &gt;= 4.2, H208 &lt; 8.55), 3,
AND(H208 &gt;= 8.55, H208 &lt;= 24.4), 
4),
F208 = "QB", _xludf.IFS(
AND(H208 &gt;= 0, H208 &lt; 2.95), 1,
AND(H208 &gt;= 2.95, H208 &lt; 5.4), 2,
AND(H208 &gt;= 5.4, H208 &lt; 7.2), 3,
AND(H208 &gt;= 7.2, H208 &lt;= 12.3), 
4),
F208 = "TE", _xludf.IFS(
AND(H208 &gt;= 0, H208 &lt; 3), 1,
AND(H208 &gt;= 3, H208 &lt; 4.8), 2,
AND(H208 &gt;= 4.8, H208 &lt; 8.525), 3,
AND(H208 &gt;= 8.525, H208 &lt;= 24.6), 
4)
)</f>
        <v/>
      </c>
    </row>
    <row r="208" ht="13" customHeight="1" s="54">
      <c r="C208">
        <f>IF(COUNTIF(Keeper!B:B,D208)&gt;0,"x","")</f>
        <v/>
      </c>
      <c r="D208" s="40">
        <f>Fantasypro!C206</f>
        <v/>
      </c>
      <c r="E208" s="40">
        <f>Fantasypro!D206</f>
        <v/>
      </c>
      <c r="F208">
        <f>Fantasypro!K206</f>
        <v/>
      </c>
      <c r="G208" s="39">
        <f>Fantasypro!H206</f>
        <v/>
      </c>
      <c r="H208" s="39">
        <f>Fantasypro!I206</f>
        <v/>
      </c>
      <c r="I208" s="51">
        <f>_xludf.IFS(
F209 = "RB", _xludf.IFS(
AND(H209 &gt;= 0, H209 &lt; 2.55), 1,
AND(H209 &gt;= 2.55, H209 &lt; 4.7), 2,
AND(H209 &gt;= 4.7, H209 &lt; 8.4), 3,
AND(H209 &gt;= 8.4, H209 &lt;= 36), 
4),
F209 = "WR", _xludf.IFS(
AND(H209 &gt;= 0, H209 &lt; 2.55), 1,
AND(H209 &gt;= 2.55, H209 &lt; 4.2), 2,
AND(H209 &gt;= 4.2, H209 &lt; 8.55), 3,
AND(H209 &gt;= 8.55, H209 &lt;= 24.4), 
4),
F209 = "QB", _xludf.IFS(
AND(H209 &gt;= 0, H209 &lt; 2.95), 1,
AND(H209 &gt;= 2.95, H209 &lt; 5.4), 2,
AND(H209 &gt;= 5.4, H209 &lt; 7.2), 3,
AND(H209 &gt;= 7.2, H209 &lt;= 12.3), 
4),
F209 = "TE", _xludf.IFS(
AND(H209 &gt;= 0, H209 &lt; 3), 1,
AND(H209 &gt;= 3, H209 &lt; 4.8), 2,
AND(H209 &gt;= 4.8, H209 &lt; 8.525), 3,
AND(H209 &gt;= 8.525, H209 &lt;= 24.6), 
4)
)</f>
        <v/>
      </c>
    </row>
    <row r="209" ht="13" customHeight="1" s="54">
      <c r="C209">
        <f>IF(COUNTIF(Keeper!B:B,D209)&gt;0,"x","")</f>
        <v/>
      </c>
      <c r="D209" s="40">
        <f>Fantasypro!C207</f>
        <v/>
      </c>
      <c r="E209" s="40">
        <f>Fantasypro!D207</f>
        <v/>
      </c>
      <c r="F209">
        <f>Fantasypro!K207</f>
        <v/>
      </c>
      <c r="G209" s="39">
        <f>Fantasypro!H207</f>
        <v/>
      </c>
      <c r="H209" s="39">
        <f>Fantasypro!I207</f>
        <v/>
      </c>
      <c r="I209" s="51">
        <f>_xludf.IFS(
F210 = "RB", _xludf.IFS(
AND(H210 &gt;= 0, H210 &lt; 2.55), 1,
AND(H210 &gt;= 2.55, H210 &lt; 4.7), 2,
AND(H210 &gt;= 4.7, H210 &lt; 8.4), 3,
AND(H210 &gt;= 8.4, H210 &lt;= 36), 
4),
F210 = "WR", _xludf.IFS(
AND(H210 &gt;= 0, H210 &lt; 2.55), 1,
AND(H210 &gt;= 2.55, H210 &lt; 4.2), 2,
AND(H210 &gt;= 4.2, H210 &lt; 8.55), 3,
AND(H210 &gt;= 8.55, H210 &lt;= 24.4), 
4),
F210 = "QB", _xludf.IFS(
AND(H210 &gt;= 0, H210 &lt; 2.95), 1,
AND(H210 &gt;= 2.95, H210 &lt; 5.4), 2,
AND(H210 &gt;= 5.4, H210 &lt; 7.2), 3,
AND(H210 &gt;= 7.2, H210 &lt;= 12.3), 
4),
F210 = "TE", _xludf.IFS(
AND(H210 &gt;= 0, H210 &lt; 3), 1,
AND(H210 &gt;= 3, H210 &lt; 4.8), 2,
AND(H210 &gt;= 4.8, H210 &lt; 8.525), 3,
AND(H210 &gt;= 8.525, H210 &lt;= 24.6), 
4)
)</f>
        <v/>
      </c>
    </row>
    <row r="210" ht="13" customHeight="1" s="54">
      <c r="C210">
        <f>IF(COUNTIF(Keeper!B:B,D210)&gt;0,"x","")</f>
        <v/>
      </c>
      <c r="D210" s="40">
        <f>Fantasypro!C208</f>
        <v/>
      </c>
      <c r="E210" s="40">
        <f>Fantasypro!D208</f>
        <v/>
      </c>
      <c r="F210">
        <f>Fantasypro!K208</f>
        <v/>
      </c>
      <c r="G210" s="39">
        <f>Fantasypro!H208</f>
        <v/>
      </c>
      <c r="H210" s="39">
        <f>Fantasypro!I208</f>
        <v/>
      </c>
      <c r="I210" s="51">
        <f>_xludf.IFS(
F211 = "RB", _xludf.IFS(
AND(H211 &gt;= 0, H211 &lt; 2.55), 1,
AND(H211 &gt;= 2.55, H211 &lt; 4.7), 2,
AND(H211 &gt;= 4.7, H211 &lt; 8.4), 3,
AND(H211 &gt;= 8.4, H211 &lt;= 36), 
4),
F211 = "WR", _xludf.IFS(
AND(H211 &gt;= 0, H211 &lt; 2.55), 1,
AND(H211 &gt;= 2.55, H211 &lt; 4.2), 2,
AND(H211 &gt;= 4.2, H211 &lt; 8.55), 3,
AND(H211 &gt;= 8.55, H211 &lt;= 24.4), 
4),
F211 = "QB", _xludf.IFS(
AND(H211 &gt;= 0, H211 &lt; 2.95), 1,
AND(H211 &gt;= 2.95, H211 &lt; 5.4), 2,
AND(H211 &gt;= 5.4, H211 &lt; 7.2), 3,
AND(H211 &gt;= 7.2, H211 &lt;= 12.3), 
4),
F211 = "TE", _xludf.IFS(
AND(H211 &gt;= 0, H211 &lt; 3), 1,
AND(H211 &gt;= 3, H211 &lt; 4.8), 2,
AND(H211 &gt;= 4.8, H211 &lt; 8.525), 3,
AND(H211 &gt;= 8.525, H211 &lt;= 24.6), 
4)
)</f>
        <v/>
      </c>
    </row>
    <row r="211" ht="13" customHeight="1" s="54">
      <c r="C211">
        <f>IF(COUNTIF(Keeper!B:B,D211)&gt;0,"x","")</f>
        <v/>
      </c>
      <c r="D211" s="40">
        <f>Fantasypro!C209</f>
        <v/>
      </c>
      <c r="E211" s="40">
        <f>Fantasypro!D209</f>
        <v/>
      </c>
      <c r="F211">
        <f>Fantasypro!K209</f>
        <v/>
      </c>
      <c r="G211" s="39">
        <f>Fantasypro!H209</f>
        <v/>
      </c>
      <c r="H211" s="39">
        <f>Fantasypro!I209</f>
        <v/>
      </c>
      <c r="I211" s="51">
        <f>_xludf.IFS(
F212 = "RB", _xludf.IFS(
AND(H212 &gt;= 0, H212 &lt; 2.55), 1,
AND(H212 &gt;= 2.55, H212 &lt; 4.7), 2,
AND(H212 &gt;= 4.7, H212 &lt; 8.4), 3,
AND(H212 &gt;= 8.4, H212 &lt;= 36), 
4),
F212 = "WR", _xludf.IFS(
AND(H212 &gt;= 0, H212 &lt; 2.55), 1,
AND(H212 &gt;= 2.55, H212 &lt; 4.2), 2,
AND(H212 &gt;= 4.2, H212 &lt; 8.55), 3,
AND(H212 &gt;= 8.55, H212 &lt;= 24.4), 
4),
F212 = "QB", _xludf.IFS(
AND(H212 &gt;= 0, H212 &lt; 2.95), 1,
AND(H212 &gt;= 2.95, H212 &lt; 5.4), 2,
AND(H212 &gt;= 5.4, H212 &lt; 7.2), 3,
AND(H212 &gt;= 7.2, H212 &lt;= 12.3), 
4),
F212 = "TE", _xludf.IFS(
AND(H212 &gt;= 0, H212 &lt; 3), 1,
AND(H212 &gt;= 3, H212 &lt; 4.8), 2,
AND(H212 &gt;= 4.8, H212 &lt; 8.525), 3,
AND(H212 &gt;= 8.525, H212 &lt;= 24.6), 
4)
)</f>
        <v/>
      </c>
    </row>
    <row r="212" ht="13" customHeight="1" s="54">
      <c r="C212">
        <f>IF(COUNTIF(Keeper!B:B,D212)&gt;0,"x","")</f>
        <v/>
      </c>
      <c r="D212" s="40">
        <f>Fantasypro!C210</f>
        <v/>
      </c>
      <c r="E212" s="40">
        <f>Fantasypro!D210</f>
        <v/>
      </c>
      <c r="F212">
        <f>Fantasypro!K210</f>
        <v/>
      </c>
      <c r="G212" s="39">
        <f>Fantasypro!H210</f>
        <v/>
      </c>
      <c r="H212" s="39">
        <f>Fantasypro!I210</f>
        <v/>
      </c>
      <c r="I212" s="51">
        <f>_xludf.IFS(
F213 = "RB", _xludf.IFS(
AND(H213 &gt;= 0, H213 &lt; 2.55), 1,
AND(H213 &gt;= 2.55, H213 &lt; 4.7), 2,
AND(H213 &gt;= 4.7, H213 &lt; 8.4), 3,
AND(H213 &gt;= 8.4, H213 &lt;= 36), 
4),
F213 = "WR", _xludf.IFS(
AND(H213 &gt;= 0, H213 &lt; 2.55), 1,
AND(H213 &gt;= 2.55, H213 &lt; 4.2), 2,
AND(H213 &gt;= 4.2, H213 &lt; 8.55), 3,
AND(H213 &gt;= 8.55, H213 &lt;= 24.4), 
4),
F213 = "QB", _xludf.IFS(
AND(H213 &gt;= 0, H213 &lt; 2.95), 1,
AND(H213 &gt;= 2.95, H213 &lt; 5.4), 2,
AND(H213 &gt;= 5.4, H213 &lt; 7.2), 3,
AND(H213 &gt;= 7.2, H213 &lt;= 12.3), 
4),
F213 = "TE", _xludf.IFS(
AND(H213 &gt;= 0, H213 &lt; 3), 1,
AND(H213 &gt;= 3, H213 &lt; 4.8), 2,
AND(H213 &gt;= 4.8, H213 &lt; 8.525), 3,
AND(H213 &gt;= 8.525, H213 &lt;= 24.6), 
4)
)</f>
        <v/>
      </c>
    </row>
    <row r="213" ht="13" customHeight="1" s="54">
      <c r="C213">
        <f>IF(COUNTIF(Keeper!B:B,D213)&gt;0,"x","")</f>
        <v/>
      </c>
      <c r="D213" s="40">
        <f>Fantasypro!C211</f>
        <v/>
      </c>
      <c r="E213" s="40">
        <f>Fantasypro!D211</f>
        <v/>
      </c>
      <c r="F213">
        <f>Fantasypro!K211</f>
        <v/>
      </c>
      <c r="G213" s="39">
        <f>Fantasypro!H211</f>
        <v/>
      </c>
      <c r="H213" s="39">
        <f>Fantasypro!I211</f>
        <v/>
      </c>
      <c r="I213" s="51">
        <f>_xludf.IFS(
F214 = "RB", _xludf.IFS(
AND(H214 &gt;= 0, H214 &lt; 2.55), 1,
AND(H214 &gt;= 2.55, H214 &lt; 4.7), 2,
AND(H214 &gt;= 4.7, H214 &lt; 8.4), 3,
AND(H214 &gt;= 8.4, H214 &lt;= 36), 
4),
F214 = "WR", _xludf.IFS(
AND(H214 &gt;= 0, H214 &lt; 2.55), 1,
AND(H214 &gt;= 2.55, H214 &lt; 4.2), 2,
AND(H214 &gt;= 4.2, H214 &lt; 8.55), 3,
AND(H214 &gt;= 8.55, H214 &lt;= 24.4), 
4),
F214 = "QB", _xludf.IFS(
AND(H214 &gt;= 0, H214 &lt; 2.95), 1,
AND(H214 &gt;= 2.95, H214 &lt; 5.4), 2,
AND(H214 &gt;= 5.4, H214 &lt; 7.2), 3,
AND(H214 &gt;= 7.2, H214 &lt;= 12.3), 
4),
F214 = "TE", _xludf.IFS(
AND(H214 &gt;= 0, H214 &lt; 3), 1,
AND(H214 &gt;= 3, H214 &lt; 4.8), 2,
AND(H214 &gt;= 4.8, H214 &lt; 8.525), 3,
AND(H214 &gt;= 8.525, H214 &lt;= 24.6), 
4)
)</f>
        <v/>
      </c>
    </row>
    <row r="214" ht="13" customHeight="1" s="54">
      <c r="C214">
        <f>IF(COUNTIF(Keeper!B:B,D214)&gt;0,"x","")</f>
        <v/>
      </c>
      <c r="D214" s="40">
        <f>Fantasypro!C212</f>
        <v/>
      </c>
      <c r="E214" s="40">
        <f>Fantasypro!D212</f>
        <v/>
      </c>
      <c r="F214">
        <f>Fantasypro!K212</f>
        <v/>
      </c>
      <c r="G214" s="39">
        <f>Fantasypro!H212</f>
        <v/>
      </c>
      <c r="H214" s="39">
        <f>Fantasypro!I212</f>
        <v/>
      </c>
      <c r="I214" s="51">
        <f>_xludf.IFS(
F215 = "RB", _xludf.IFS(
AND(H215 &gt;= 0, H215 &lt; 2.55), 1,
AND(H215 &gt;= 2.55, H215 &lt; 4.7), 2,
AND(H215 &gt;= 4.7, H215 &lt; 8.4), 3,
AND(H215 &gt;= 8.4, H215 &lt;= 36), 
4),
F215 = "WR", _xludf.IFS(
AND(H215 &gt;= 0, H215 &lt; 2.55), 1,
AND(H215 &gt;= 2.55, H215 &lt; 4.2), 2,
AND(H215 &gt;= 4.2, H215 &lt; 8.55), 3,
AND(H215 &gt;= 8.55, H215 &lt;= 24.4), 
4),
F215 = "QB", _xludf.IFS(
AND(H215 &gt;= 0, H215 &lt; 2.95), 1,
AND(H215 &gt;= 2.95, H215 &lt; 5.4), 2,
AND(H215 &gt;= 5.4, H215 &lt; 7.2), 3,
AND(H215 &gt;= 7.2, H215 &lt;= 12.3), 
4),
F215 = "TE", _xludf.IFS(
AND(H215 &gt;= 0, H215 &lt; 3), 1,
AND(H215 &gt;= 3, H215 &lt; 4.8), 2,
AND(H215 &gt;= 4.8, H215 &lt; 8.525), 3,
AND(H215 &gt;= 8.525, H215 &lt;= 24.6), 
4)
)</f>
        <v/>
      </c>
    </row>
    <row r="215" ht="13" customHeight="1" s="54">
      <c r="C215">
        <f>IF(COUNTIF(Keeper!B:B,D215)&gt;0,"x","")</f>
        <v/>
      </c>
      <c r="D215" s="40">
        <f>Fantasypro!C213</f>
        <v/>
      </c>
      <c r="E215" s="40">
        <f>Fantasypro!D213</f>
        <v/>
      </c>
      <c r="F215">
        <f>Fantasypro!K213</f>
        <v/>
      </c>
      <c r="G215" s="39">
        <f>Fantasypro!H213</f>
        <v/>
      </c>
      <c r="H215" s="39">
        <f>Fantasypro!I213</f>
        <v/>
      </c>
      <c r="I215" s="51">
        <f>_xludf.IFS(
F216 = "RB", _xludf.IFS(
AND(H216 &gt;= 0, H216 &lt; 2.55), 1,
AND(H216 &gt;= 2.55, H216 &lt; 4.7), 2,
AND(H216 &gt;= 4.7, H216 &lt; 8.4), 3,
AND(H216 &gt;= 8.4, H216 &lt;= 36), 
4),
F216 = "WR", _xludf.IFS(
AND(H216 &gt;= 0, H216 &lt; 2.55), 1,
AND(H216 &gt;= 2.55, H216 &lt; 4.2), 2,
AND(H216 &gt;= 4.2, H216 &lt; 8.55), 3,
AND(H216 &gt;= 8.55, H216 &lt;= 24.4), 
4),
F216 = "QB", _xludf.IFS(
AND(H216 &gt;= 0, H216 &lt; 2.95), 1,
AND(H216 &gt;= 2.95, H216 &lt; 5.4), 2,
AND(H216 &gt;= 5.4, H216 &lt; 7.2), 3,
AND(H216 &gt;= 7.2, H216 &lt;= 12.3), 
4),
F216 = "TE", _xludf.IFS(
AND(H216 &gt;= 0, H216 &lt; 3), 1,
AND(H216 &gt;= 3, H216 &lt; 4.8), 2,
AND(H216 &gt;= 4.8, H216 &lt; 8.525), 3,
AND(H216 &gt;= 8.525, H216 &lt;= 24.6), 
4)
)</f>
        <v/>
      </c>
    </row>
    <row r="216" ht="13" customHeight="1" s="54">
      <c r="C216">
        <f>IF(COUNTIF(Keeper!B:B,D216)&gt;0,"x","")</f>
        <v/>
      </c>
      <c r="D216" s="40">
        <f>Fantasypro!C214</f>
        <v/>
      </c>
      <c r="E216" s="40">
        <f>Fantasypro!D214</f>
        <v/>
      </c>
      <c r="F216">
        <f>Fantasypro!K214</f>
        <v/>
      </c>
      <c r="G216" s="39">
        <f>Fantasypro!H214</f>
        <v/>
      </c>
      <c r="H216" s="39">
        <f>Fantasypro!I214</f>
        <v/>
      </c>
      <c r="I216" s="51">
        <f>_xludf.IFS(
F217 = "RB", _xludf.IFS(
AND(H217 &gt;= 0, H217 &lt; 2.55), 1,
AND(H217 &gt;= 2.55, H217 &lt; 4.7), 2,
AND(H217 &gt;= 4.7, H217 &lt; 8.4), 3,
AND(H217 &gt;= 8.4, H217 &lt;= 36), 
4),
F217 = "WR", _xludf.IFS(
AND(H217 &gt;= 0, H217 &lt; 2.55), 1,
AND(H217 &gt;= 2.55, H217 &lt; 4.2), 2,
AND(H217 &gt;= 4.2, H217 &lt; 8.55), 3,
AND(H217 &gt;= 8.55, H217 &lt;= 24.4), 
4),
F217 = "QB", _xludf.IFS(
AND(H217 &gt;= 0, H217 &lt; 2.95), 1,
AND(H217 &gt;= 2.95, H217 &lt; 5.4), 2,
AND(H217 &gt;= 5.4, H217 &lt; 7.2), 3,
AND(H217 &gt;= 7.2, H217 &lt;= 12.3), 
4),
F217 = "TE", _xludf.IFS(
AND(H217 &gt;= 0, H217 &lt; 3), 1,
AND(H217 &gt;= 3, H217 &lt; 4.8), 2,
AND(H217 &gt;= 4.8, H217 &lt; 8.525), 3,
AND(H217 &gt;= 8.525, H217 &lt;= 24.6), 
4)
)</f>
        <v/>
      </c>
    </row>
    <row r="217" ht="13" customHeight="1" s="54">
      <c r="C217">
        <f>IF(COUNTIF(Keeper!B:B,D217)&gt;0,"x","")</f>
        <v/>
      </c>
      <c r="D217" s="40">
        <f>Fantasypro!C215</f>
        <v/>
      </c>
      <c r="E217" s="40">
        <f>Fantasypro!D215</f>
        <v/>
      </c>
      <c r="F217">
        <f>Fantasypro!K215</f>
        <v/>
      </c>
      <c r="G217" s="39">
        <f>Fantasypro!H215</f>
        <v/>
      </c>
      <c r="H217" s="39">
        <f>Fantasypro!I215</f>
        <v/>
      </c>
      <c r="I217" s="51">
        <f>_xludf.IFS(
F218 = "RB", _xludf.IFS(
AND(H218 &gt;= 0, H218 &lt; 2.55), 1,
AND(H218 &gt;= 2.55, H218 &lt; 4.7), 2,
AND(H218 &gt;= 4.7, H218 &lt; 8.4), 3,
AND(H218 &gt;= 8.4, H218 &lt;= 36), 
4),
F218 = "WR", _xludf.IFS(
AND(H218 &gt;= 0, H218 &lt; 2.55), 1,
AND(H218 &gt;= 2.55, H218 &lt; 4.2), 2,
AND(H218 &gt;= 4.2, H218 &lt; 8.55), 3,
AND(H218 &gt;= 8.55, H218 &lt;= 24.4), 
4),
F218 = "QB", _xludf.IFS(
AND(H218 &gt;= 0, H218 &lt; 2.95), 1,
AND(H218 &gt;= 2.95, H218 &lt; 5.4), 2,
AND(H218 &gt;= 5.4, H218 &lt; 7.2), 3,
AND(H218 &gt;= 7.2, H218 &lt;= 12.3), 
4),
F218 = "TE", _xludf.IFS(
AND(H218 &gt;= 0, H218 &lt; 3), 1,
AND(H218 &gt;= 3, H218 &lt; 4.8), 2,
AND(H218 &gt;= 4.8, H218 &lt; 8.525), 3,
AND(H218 &gt;= 8.525, H218 &lt;= 24.6), 
4)
)</f>
        <v/>
      </c>
    </row>
    <row r="218" ht="13" customHeight="1" s="54">
      <c r="C218">
        <f>IF(COUNTIF(Keeper!B:B,D218)&gt;0,"x","")</f>
        <v/>
      </c>
      <c r="D218" s="40">
        <f>Fantasypro!C216</f>
        <v/>
      </c>
      <c r="E218" s="40">
        <f>Fantasypro!D216</f>
        <v/>
      </c>
      <c r="F218">
        <f>Fantasypro!K216</f>
        <v/>
      </c>
      <c r="G218" s="39">
        <f>Fantasypro!H216</f>
        <v/>
      </c>
      <c r="H218" s="39">
        <f>Fantasypro!I216</f>
        <v/>
      </c>
      <c r="I218" s="51">
        <f>_xludf.IFS(
F219 = "RB", _xludf.IFS(
AND(H219 &gt;= 0, H219 &lt; 2.55), 1,
AND(H219 &gt;= 2.55, H219 &lt; 4.7), 2,
AND(H219 &gt;= 4.7, H219 &lt; 8.4), 3,
AND(H219 &gt;= 8.4, H219 &lt;= 36), 
4),
F219 = "WR", _xludf.IFS(
AND(H219 &gt;= 0, H219 &lt; 2.55), 1,
AND(H219 &gt;= 2.55, H219 &lt; 4.2), 2,
AND(H219 &gt;= 4.2, H219 &lt; 8.55), 3,
AND(H219 &gt;= 8.55, H219 &lt;= 24.4), 
4),
F219 = "QB", _xludf.IFS(
AND(H219 &gt;= 0, H219 &lt; 2.95), 1,
AND(H219 &gt;= 2.95, H219 &lt; 5.4), 2,
AND(H219 &gt;= 5.4, H219 &lt; 7.2), 3,
AND(H219 &gt;= 7.2, H219 &lt;= 12.3), 
4),
F219 = "TE", _xludf.IFS(
AND(H219 &gt;= 0, H219 &lt; 3), 1,
AND(H219 &gt;= 3, H219 &lt; 4.8), 2,
AND(H219 &gt;= 4.8, H219 &lt; 8.525), 3,
AND(H219 &gt;= 8.525, H219 &lt;= 24.6), 
4)
)</f>
        <v/>
      </c>
    </row>
    <row r="219" ht="13" customHeight="1" s="54">
      <c r="C219">
        <f>IF(COUNTIF(Keeper!B:B,D219)&gt;0,"x","")</f>
        <v/>
      </c>
      <c r="D219" s="40">
        <f>Fantasypro!C217</f>
        <v/>
      </c>
      <c r="E219" s="40">
        <f>Fantasypro!D217</f>
        <v/>
      </c>
      <c r="F219">
        <f>Fantasypro!K217</f>
        <v/>
      </c>
      <c r="G219" s="39">
        <f>Fantasypro!H217</f>
        <v/>
      </c>
      <c r="H219" s="39">
        <f>Fantasypro!I217</f>
        <v/>
      </c>
      <c r="I219" s="51">
        <f>_xludf.IFS(
F220 = "RB", _xludf.IFS(
AND(H220 &gt;= 0, H220 &lt; 2.55), 1,
AND(H220 &gt;= 2.55, H220 &lt; 4.7), 2,
AND(H220 &gt;= 4.7, H220 &lt; 8.4), 3,
AND(H220 &gt;= 8.4, H220 &lt;= 36), 
4),
F220 = "WR", _xludf.IFS(
AND(H220 &gt;= 0, H220 &lt; 2.55), 1,
AND(H220 &gt;= 2.55, H220 &lt; 4.2), 2,
AND(H220 &gt;= 4.2, H220 &lt; 8.55), 3,
AND(H220 &gt;= 8.55, H220 &lt;= 24.4), 
4),
F220 = "QB", _xludf.IFS(
AND(H220 &gt;= 0, H220 &lt; 2.95), 1,
AND(H220 &gt;= 2.95, H220 &lt; 5.4), 2,
AND(H220 &gt;= 5.4, H220 &lt; 7.2), 3,
AND(H220 &gt;= 7.2, H220 &lt;= 12.3), 
4),
F220 = "TE", _xludf.IFS(
AND(H220 &gt;= 0, H220 &lt; 3), 1,
AND(H220 &gt;= 3, H220 &lt; 4.8), 2,
AND(H220 &gt;= 4.8, H220 &lt; 8.525), 3,
AND(H220 &gt;= 8.525, H220 &lt;= 24.6), 
4)
)</f>
        <v/>
      </c>
    </row>
    <row r="220" ht="13" customHeight="1" s="54">
      <c r="C220">
        <f>IF(COUNTIF(Keeper!B:B,D220)&gt;0,"x","")</f>
        <v/>
      </c>
      <c r="D220" s="40">
        <f>Fantasypro!C218</f>
        <v/>
      </c>
      <c r="E220" s="40">
        <f>Fantasypro!D218</f>
        <v/>
      </c>
      <c r="F220">
        <f>Fantasypro!K218</f>
        <v/>
      </c>
      <c r="G220" s="39">
        <f>Fantasypro!H218</f>
        <v/>
      </c>
      <c r="H220" s="39">
        <f>Fantasypro!I218</f>
        <v/>
      </c>
      <c r="I220" s="51">
        <f>_xludf.IFS(
F221 = "RB", _xludf.IFS(
AND(H221 &gt;= 0, H221 &lt; 2.55), 1,
AND(H221 &gt;= 2.55, H221 &lt; 4.7), 2,
AND(H221 &gt;= 4.7, H221 &lt; 8.4), 3,
AND(H221 &gt;= 8.4, H221 &lt;= 36), 
4),
F221 = "WR", _xludf.IFS(
AND(H221 &gt;= 0, H221 &lt; 2.55), 1,
AND(H221 &gt;= 2.55, H221 &lt; 4.2), 2,
AND(H221 &gt;= 4.2, H221 &lt; 8.55), 3,
AND(H221 &gt;= 8.55, H221 &lt;= 24.4), 
4),
F221 = "QB", _xludf.IFS(
AND(H221 &gt;= 0, H221 &lt; 2.95), 1,
AND(H221 &gt;= 2.95, H221 &lt; 5.4), 2,
AND(H221 &gt;= 5.4, H221 &lt; 7.2), 3,
AND(H221 &gt;= 7.2, H221 &lt;= 12.3), 
4),
F221 = "TE", _xludf.IFS(
AND(H221 &gt;= 0, H221 &lt; 3), 1,
AND(H221 &gt;= 3, H221 &lt; 4.8), 2,
AND(H221 &gt;= 4.8, H221 &lt; 8.525), 3,
AND(H221 &gt;= 8.525, H221 &lt;= 24.6), 
4)
)</f>
        <v/>
      </c>
    </row>
    <row r="221" ht="13" customHeight="1" s="54">
      <c r="C221">
        <f>IF(COUNTIF(Keeper!B:B,D221)&gt;0,"x","")</f>
        <v/>
      </c>
      <c r="D221" s="40">
        <f>Fantasypro!C219</f>
        <v/>
      </c>
      <c r="E221" s="40">
        <f>Fantasypro!D219</f>
        <v/>
      </c>
      <c r="F221">
        <f>Fantasypro!K219</f>
        <v/>
      </c>
      <c r="G221" s="39">
        <f>Fantasypro!H219</f>
        <v/>
      </c>
      <c r="H221" s="39">
        <f>Fantasypro!I219</f>
        <v/>
      </c>
      <c r="I221" s="51">
        <f>_xludf.IFS(
F222 = "RB", _xludf.IFS(
AND(H222 &gt;= 0, H222 &lt; 2.55), 1,
AND(H222 &gt;= 2.55, H222 &lt; 4.7), 2,
AND(H222 &gt;= 4.7, H222 &lt; 8.4), 3,
AND(H222 &gt;= 8.4, H222 &lt;= 36), 
4),
F222 = "WR", _xludf.IFS(
AND(H222 &gt;= 0, H222 &lt; 2.55), 1,
AND(H222 &gt;= 2.55, H222 &lt; 4.2), 2,
AND(H222 &gt;= 4.2, H222 &lt; 8.55), 3,
AND(H222 &gt;= 8.55, H222 &lt;= 24.4), 
4),
F222 = "QB", _xludf.IFS(
AND(H222 &gt;= 0, H222 &lt; 2.95), 1,
AND(H222 &gt;= 2.95, H222 &lt; 5.4), 2,
AND(H222 &gt;= 5.4, H222 &lt; 7.2), 3,
AND(H222 &gt;= 7.2, H222 &lt;= 12.3), 
4),
F222 = "TE", _xludf.IFS(
AND(H222 &gt;= 0, H222 &lt; 3), 1,
AND(H222 &gt;= 3, H222 &lt; 4.8), 2,
AND(H222 &gt;= 4.8, H222 &lt; 8.525), 3,
AND(H222 &gt;= 8.525, H222 &lt;= 24.6), 
4)
)</f>
        <v/>
      </c>
    </row>
    <row r="222" ht="13" customHeight="1" s="54">
      <c r="C222">
        <f>IF(COUNTIF(Keeper!B:B,D222)&gt;0,"x","")</f>
        <v/>
      </c>
      <c r="D222" s="40">
        <f>Fantasypro!C220</f>
        <v/>
      </c>
      <c r="E222" s="40">
        <f>Fantasypro!D220</f>
        <v/>
      </c>
      <c r="F222">
        <f>Fantasypro!K220</f>
        <v/>
      </c>
      <c r="G222" s="39">
        <f>Fantasypro!H220</f>
        <v/>
      </c>
      <c r="H222" s="39">
        <f>Fantasypro!I220</f>
        <v/>
      </c>
      <c r="I222" s="51">
        <f>_xludf.IFS(
F223 = "RB", _xludf.IFS(
AND(H223 &gt;= 0, H223 &lt; 2.55), 1,
AND(H223 &gt;= 2.55, H223 &lt; 4.7), 2,
AND(H223 &gt;= 4.7, H223 &lt; 8.4), 3,
AND(H223 &gt;= 8.4, H223 &lt;= 36), 
4),
F223 = "WR", _xludf.IFS(
AND(H223 &gt;= 0, H223 &lt; 2.55), 1,
AND(H223 &gt;= 2.55, H223 &lt; 4.2), 2,
AND(H223 &gt;= 4.2, H223 &lt; 8.55), 3,
AND(H223 &gt;= 8.55, H223 &lt;= 24.4), 
4),
F223 = "QB", _xludf.IFS(
AND(H223 &gt;= 0, H223 &lt; 2.95), 1,
AND(H223 &gt;= 2.95, H223 &lt; 5.4), 2,
AND(H223 &gt;= 5.4, H223 &lt; 7.2), 3,
AND(H223 &gt;= 7.2, H223 &lt;= 12.3), 
4),
F223 = "TE", _xludf.IFS(
AND(H223 &gt;= 0, H223 &lt; 3), 1,
AND(H223 &gt;= 3, H223 &lt; 4.8), 2,
AND(H223 &gt;= 4.8, H223 &lt; 8.525), 3,
AND(H223 &gt;= 8.525, H223 &lt;= 24.6), 
4)
)</f>
        <v/>
      </c>
    </row>
    <row r="223" ht="13" customHeight="1" s="54">
      <c r="C223">
        <f>IF(COUNTIF(Keeper!B:B,D223)&gt;0,"x","")</f>
        <v/>
      </c>
      <c r="D223" s="40">
        <f>Fantasypro!C221</f>
        <v/>
      </c>
      <c r="E223" s="40">
        <f>Fantasypro!D221</f>
        <v/>
      </c>
      <c r="F223">
        <f>Fantasypro!K221</f>
        <v/>
      </c>
      <c r="G223" s="39">
        <f>Fantasypro!H221</f>
        <v/>
      </c>
      <c r="H223" s="39">
        <f>Fantasypro!I221</f>
        <v/>
      </c>
      <c r="I223" s="51">
        <f>_xludf.IFS(
F224 = "RB", _xludf.IFS(
AND(H224 &gt;= 0, H224 &lt; 2.55), 1,
AND(H224 &gt;= 2.55, H224 &lt; 4.7), 2,
AND(H224 &gt;= 4.7, H224 &lt; 8.4), 3,
AND(H224 &gt;= 8.4, H224 &lt;= 36), 
4),
F224 = "WR", _xludf.IFS(
AND(H224 &gt;= 0, H224 &lt; 2.55), 1,
AND(H224 &gt;= 2.55, H224 &lt; 4.2), 2,
AND(H224 &gt;= 4.2, H224 &lt; 8.55), 3,
AND(H224 &gt;= 8.55, H224 &lt;= 24.4), 
4),
F224 = "QB", _xludf.IFS(
AND(H224 &gt;= 0, H224 &lt; 2.95), 1,
AND(H224 &gt;= 2.95, H224 &lt; 5.4), 2,
AND(H224 &gt;= 5.4, H224 &lt; 7.2), 3,
AND(H224 &gt;= 7.2, H224 &lt;= 12.3), 
4),
F224 = "TE", _xludf.IFS(
AND(H224 &gt;= 0, H224 &lt; 3), 1,
AND(H224 &gt;= 3, H224 &lt; 4.8), 2,
AND(H224 &gt;= 4.8, H224 &lt; 8.525), 3,
AND(H224 &gt;= 8.525, H224 &lt;= 24.6), 
4)
)</f>
        <v/>
      </c>
    </row>
    <row r="224" ht="13" customHeight="1" s="54">
      <c r="C224">
        <f>IF(COUNTIF(Keeper!B:B,D224)&gt;0,"x","")</f>
        <v/>
      </c>
      <c r="D224" s="40">
        <f>Fantasypro!C222</f>
        <v/>
      </c>
      <c r="E224" s="40">
        <f>Fantasypro!D222</f>
        <v/>
      </c>
      <c r="F224">
        <f>Fantasypro!K222</f>
        <v/>
      </c>
      <c r="G224" s="39">
        <f>Fantasypro!H222</f>
        <v/>
      </c>
      <c r="H224" s="39">
        <f>Fantasypro!I222</f>
        <v/>
      </c>
      <c r="I224" s="51">
        <f>_xludf.IFS(
F225 = "RB", _xludf.IFS(
AND(H225 &gt;= 0, H225 &lt; 2.55), 1,
AND(H225 &gt;= 2.55, H225 &lt; 4.7), 2,
AND(H225 &gt;= 4.7, H225 &lt; 8.4), 3,
AND(H225 &gt;= 8.4, H225 &lt;= 36), 
4),
F225 = "WR", _xludf.IFS(
AND(H225 &gt;= 0, H225 &lt; 2.55), 1,
AND(H225 &gt;= 2.55, H225 &lt; 4.2), 2,
AND(H225 &gt;= 4.2, H225 &lt; 8.55), 3,
AND(H225 &gt;= 8.55, H225 &lt;= 24.4), 
4),
F225 = "QB", _xludf.IFS(
AND(H225 &gt;= 0, H225 &lt; 2.95), 1,
AND(H225 &gt;= 2.95, H225 &lt; 5.4), 2,
AND(H225 &gt;= 5.4, H225 &lt; 7.2), 3,
AND(H225 &gt;= 7.2, H225 &lt;= 12.3), 
4),
F225 = "TE", _xludf.IFS(
AND(H225 &gt;= 0, H225 &lt; 3), 1,
AND(H225 &gt;= 3, H225 &lt; 4.8), 2,
AND(H225 &gt;= 4.8, H225 &lt; 8.525), 3,
AND(H225 &gt;= 8.525, H225 &lt;= 24.6), 
4)
)</f>
        <v/>
      </c>
    </row>
    <row r="225" ht="13" customHeight="1" s="54">
      <c r="C225">
        <f>IF(COUNTIF(Keeper!B:B,D225)&gt;0,"x","")</f>
        <v/>
      </c>
      <c r="D225" s="40">
        <f>Fantasypro!C223</f>
        <v/>
      </c>
      <c r="E225" s="40">
        <f>Fantasypro!D223</f>
        <v/>
      </c>
      <c r="F225">
        <f>Fantasypro!K223</f>
        <v/>
      </c>
      <c r="G225" s="39">
        <f>Fantasypro!H223</f>
        <v/>
      </c>
      <c r="H225" s="39">
        <f>Fantasypro!I223</f>
        <v/>
      </c>
      <c r="I225" s="51">
        <f>_xludf.IFS(
F226 = "RB", _xludf.IFS(
AND(H226 &gt;= 0, H226 &lt; 2.55), 1,
AND(H226 &gt;= 2.55, H226 &lt; 4.7), 2,
AND(H226 &gt;= 4.7, H226 &lt; 8.4), 3,
AND(H226 &gt;= 8.4, H226 &lt;= 36), 
4),
F226 = "WR", _xludf.IFS(
AND(H226 &gt;= 0, H226 &lt; 2.55), 1,
AND(H226 &gt;= 2.55, H226 &lt; 4.2), 2,
AND(H226 &gt;= 4.2, H226 &lt; 8.55), 3,
AND(H226 &gt;= 8.55, H226 &lt;= 24.4), 
4),
F226 = "QB", _xludf.IFS(
AND(H226 &gt;= 0, H226 &lt; 2.95), 1,
AND(H226 &gt;= 2.95, H226 &lt; 5.4), 2,
AND(H226 &gt;= 5.4, H226 &lt; 7.2), 3,
AND(H226 &gt;= 7.2, H226 &lt;= 12.3), 
4),
F226 = "TE", _xludf.IFS(
AND(H226 &gt;= 0, H226 &lt; 3), 1,
AND(H226 &gt;= 3, H226 &lt; 4.8), 2,
AND(H226 &gt;= 4.8, H226 &lt; 8.525), 3,
AND(H226 &gt;= 8.525, H226 &lt;= 24.6), 
4)
)</f>
        <v/>
      </c>
    </row>
    <row r="226" ht="13" customHeight="1" s="54">
      <c r="C226">
        <f>IF(COUNTIF(Keeper!B:B,D226)&gt;0,"x","")</f>
        <v/>
      </c>
      <c r="D226" s="40">
        <f>Fantasypro!C224</f>
        <v/>
      </c>
      <c r="E226" s="40">
        <f>Fantasypro!D224</f>
        <v/>
      </c>
      <c r="F226">
        <f>Fantasypro!K224</f>
        <v/>
      </c>
      <c r="G226" s="39">
        <f>Fantasypro!H224</f>
        <v/>
      </c>
      <c r="H226" s="39">
        <f>Fantasypro!I224</f>
        <v/>
      </c>
      <c r="I226" s="51">
        <f>_xludf.IFS(
F227 = "RB", _xludf.IFS(
AND(H227 &gt;= 0, H227 &lt; 2.55), 1,
AND(H227 &gt;= 2.55, H227 &lt; 4.7), 2,
AND(H227 &gt;= 4.7, H227 &lt; 8.4), 3,
AND(H227 &gt;= 8.4, H227 &lt;= 36), 
4),
F227 = "WR", _xludf.IFS(
AND(H227 &gt;= 0, H227 &lt; 2.55), 1,
AND(H227 &gt;= 2.55, H227 &lt; 4.2), 2,
AND(H227 &gt;= 4.2, H227 &lt; 8.55), 3,
AND(H227 &gt;= 8.55, H227 &lt;= 24.4), 
4),
F227 = "QB", _xludf.IFS(
AND(H227 &gt;= 0, H227 &lt; 2.95), 1,
AND(H227 &gt;= 2.95, H227 &lt; 5.4), 2,
AND(H227 &gt;= 5.4, H227 &lt; 7.2), 3,
AND(H227 &gt;= 7.2, H227 &lt;= 12.3), 
4),
F227 = "TE", _xludf.IFS(
AND(H227 &gt;= 0, H227 &lt; 3), 1,
AND(H227 &gt;= 3, H227 &lt; 4.8), 2,
AND(H227 &gt;= 4.8, H227 &lt; 8.525), 3,
AND(H227 &gt;= 8.525, H227 &lt;= 24.6), 
4)
)</f>
        <v/>
      </c>
    </row>
    <row r="227" ht="13" customHeight="1" s="54">
      <c r="C227">
        <f>IF(COUNTIF(Keeper!B:B,D227)&gt;0,"x","")</f>
        <v/>
      </c>
      <c r="D227" s="40">
        <f>Fantasypro!C225</f>
        <v/>
      </c>
      <c r="E227" s="40">
        <f>Fantasypro!D225</f>
        <v/>
      </c>
      <c r="F227">
        <f>Fantasypro!K225</f>
        <v/>
      </c>
      <c r="G227" s="39">
        <f>Fantasypro!H225</f>
        <v/>
      </c>
      <c r="H227" s="39">
        <f>Fantasypro!I225</f>
        <v/>
      </c>
      <c r="I227" s="51">
        <f>_xludf.IFS(
F228 = "RB", _xludf.IFS(
AND(H228 &gt;= 0, H228 &lt; 2.55), 1,
AND(H228 &gt;= 2.55, H228 &lt; 4.7), 2,
AND(H228 &gt;= 4.7, H228 &lt; 8.4), 3,
AND(H228 &gt;= 8.4, H228 &lt;= 36), 
4),
F228 = "WR", _xludf.IFS(
AND(H228 &gt;= 0, H228 &lt; 2.55), 1,
AND(H228 &gt;= 2.55, H228 &lt; 4.2), 2,
AND(H228 &gt;= 4.2, H228 &lt; 8.55), 3,
AND(H228 &gt;= 8.55, H228 &lt;= 24.4), 
4),
F228 = "QB", _xludf.IFS(
AND(H228 &gt;= 0, H228 &lt; 2.95), 1,
AND(H228 &gt;= 2.95, H228 &lt; 5.4), 2,
AND(H228 &gt;= 5.4, H228 &lt; 7.2), 3,
AND(H228 &gt;= 7.2, H228 &lt;= 12.3), 
4),
F228 = "TE", _xludf.IFS(
AND(H228 &gt;= 0, H228 &lt; 3), 1,
AND(H228 &gt;= 3, H228 &lt; 4.8), 2,
AND(H228 &gt;= 4.8, H228 &lt; 8.525), 3,
AND(H228 &gt;= 8.525, H228 &lt;= 24.6), 
4)
)</f>
        <v/>
      </c>
    </row>
    <row r="228" ht="13" customHeight="1" s="54">
      <c r="C228">
        <f>IF(COUNTIF(Keeper!B:B,D228)&gt;0,"x","")</f>
        <v/>
      </c>
      <c r="D228" s="40">
        <f>Fantasypro!C226</f>
        <v/>
      </c>
      <c r="E228" s="40">
        <f>Fantasypro!D226</f>
        <v/>
      </c>
      <c r="F228">
        <f>Fantasypro!K226</f>
        <v/>
      </c>
      <c r="G228" s="39">
        <f>Fantasypro!H226</f>
        <v/>
      </c>
      <c r="H228" s="39">
        <f>Fantasypro!I226</f>
        <v/>
      </c>
      <c r="I228" s="51">
        <f>_xludf.IFS(
F229 = "RB", _xludf.IFS(
AND(H229 &gt;= 0, H229 &lt; 2.55), 1,
AND(H229 &gt;= 2.55, H229 &lt; 4.7), 2,
AND(H229 &gt;= 4.7, H229 &lt; 8.4), 3,
AND(H229 &gt;= 8.4, H229 &lt;= 36), 
4),
F229 = "WR", _xludf.IFS(
AND(H229 &gt;= 0, H229 &lt; 2.55), 1,
AND(H229 &gt;= 2.55, H229 &lt; 4.2), 2,
AND(H229 &gt;= 4.2, H229 &lt; 8.55), 3,
AND(H229 &gt;= 8.55, H229 &lt;= 24.4), 
4),
F229 = "QB", _xludf.IFS(
AND(H229 &gt;= 0, H229 &lt; 2.95), 1,
AND(H229 &gt;= 2.95, H229 &lt; 5.4), 2,
AND(H229 &gt;= 5.4, H229 &lt; 7.2), 3,
AND(H229 &gt;= 7.2, H229 &lt;= 12.3), 
4),
F229 = "TE", _xludf.IFS(
AND(H229 &gt;= 0, H229 &lt; 3), 1,
AND(H229 &gt;= 3, H229 &lt; 4.8), 2,
AND(H229 &gt;= 4.8, H229 &lt; 8.525), 3,
AND(H229 &gt;= 8.525, H229 &lt;= 24.6), 
4)
)</f>
        <v/>
      </c>
    </row>
    <row r="229" ht="13" customHeight="1" s="54">
      <c r="C229">
        <f>IF(COUNTIF(Keeper!B:B,D229)&gt;0,"x","")</f>
        <v/>
      </c>
      <c r="D229" s="40">
        <f>Fantasypro!C227</f>
        <v/>
      </c>
      <c r="E229" s="40">
        <f>Fantasypro!D227</f>
        <v/>
      </c>
      <c r="F229">
        <f>Fantasypro!K227</f>
        <v/>
      </c>
      <c r="G229" s="39">
        <f>Fantasypro!H227</f>
        <v/>
      </c>
      <c r="H229" s="39">
        <f>Fantasypro!I227</f>
        <v/>
      </c>
      <c r="I229" s="51">
        <f>_xludf.IFS(
F230 = "RB", _xludf.IFS(
AND(H230 &gt;= 0, H230 &lt; 2.55), 1,
AND(H230 &gt;= 2.55, H230 &lt; 4.7), 2,
AND(H230 &gt;= 4.7, H230 &lt; 8.4), 3,
AND(H230 &gt;= 8.4, H230 &lt;= 36), 
4),
F230 = "WR", _xludf.IFS(
AND(H230 &gt;= 0, H230 &lt; 2.55), 1,
AND(H230 &gt;= 2.55, H230 &lt; 4.2), 2,
AND(H230 &gt;= 4.2, H230 &lt; 8.55), 3,
AND(H230 &gt;= 8.55, H230 &lt;= 24.4), 
4),
F230 = "QB", _xludf.IFS(
AND(H230 &gt;= 0, H230 &lt; 2.95), 1,
AND(H230 &gt;= 2.95, H230 &lt; 5.4), 2,
AND(H230 &gt;= 5.4, H230 &lt; 7.2), 3,
AND(H230 &gt;= 7.2, H230 &lt;= 12.3), 
4),
F230 = "TE", _xludf.IFS(
AND(H230 &gt;= 0, H230 &lt; 3), 1,
AND(H230 &gt;= 3, H230 &lt; 4.8), 2,
AND(H230 &gt;= 4.8, H230 &lt; 8.525), 3,
AND(H230 &gt;= 8.525, H230 &lt;= 24.6), 
4)
)</f>
        <v/>
      </c>
    </row>
    <row r="230" ht="13" customHeight="1" s="54">
      <c r="C230">
        <f>IF(COUNTIF(Keeper!B:B,D230)&gt;0,"x","")</f>
        <v/>
      </c>
      <c r="D230" s="40">
        <f>Fantasypro!C228</f>
        <v/>
      </c>
      <c r="E230" s="40">
        <f>Fantasypro!D228</f>
        <v/>
      </c>
      <c r="F230">
        <f>Fantasypro!K228</f>
        <v/>
      </c>
      <c r="G230" s="39">
        <f>Fantasypro!H228</f>
        <v/>
      </c>
      <c r="H230" s="39">
        <f>Fantasypro!I228</f>
        <v/>
      </c>
      <c r="I230" s="51">
        <f>_xludf.IFS(
F231 = "RB", _xludf.IFS(
AND(H231 &gt;= 0, H231 &lt; 2.55), 1,
AND(H231 &gt;= 2.55, H231 &lt; 4.7), 2,
AND(H231 &gt;= 4.7, H231 &lt; 8.4), 3,
AND(H231 &gt;= 8.4, H231 &lt;= 36), 
4),
F231 = "WR", _xludf.IFS(
AND(H231 &gt;= 0, H231 &lt; 2.55), 1,
AND(H231 &gt;= 2.55, H231 &lt; 4.2), 2,
AND(H231 &gt;= 4.2, H231 &lt; 8.55), 3,
AND(H231 &gt;= 8.55, H231 &lt;= 24.4), 
4),
F231 = "QB", _xludf.IFS(
AND(H231 &gt;= 0, H231 &lt; 2.95), 1,
AND(H231 &gt;= 2.95, H231 &lt; 5.4), 2,
AND(H231 &gt;= 5.4, H231 &lt; 7.2), 3,
AND(H231 &gt;= 7.2, H231 &lt;= 12.3), 
4),
F231 = "TE", _xludf.IFS(
AND(H231 &gt;= 0, H231 &lt; 3), 1,
AND(H231 &gt;= 3, H231 &lt; 4.8), 2,
AND(H231 &gt;= 4.8, H231 &lt; 8.525), 3,
AND(H231 &gt;= 8.525, H231 &lt;= 24.6), 
4)
)</f>
        <v/>
      </c>
    </row>
    <row r="231" ht="13" customHeight="1" s="54">
      <c r="C231">
        <f>IF(COUNTIF(Keeper!B:B,D231)&gt;0,"x","")</f>
        <v/>
      </c>
      <c r="D231" s="40">
        <f>Fantasypro!C229</f>
        <v/>
      </c>
      <c r="E231" s="40">
        <f>Fantasypro!D229</f>
        <v/>
      </c>
      <c r="F231">
        <f>Fantasypro!K229</f>
        <v/>
      </c>
      <c r="G231" s="39">
        <f>Fantasypro!H229</f>
        <v/>
      </c>
      <c r="H231" s="39">
        <f>Fantasypro!I229</f>
        <v/>
      </c>
      <c r="I231" s="51">
        <f>_xludf.IFS(
F232 = "RB", _xludf.IFS(
AND(H232 &gt;= 0, H232 &lt; 2.55), 1,
AND(H232 &gt;= 2.55, H232 &lt; 4.7), 2,
AND(H232 &gt;= 4.7, H232 &lt; 8.4), 3,
AND(H232 &gt;= 8.4, H232 &lt;= 36), 
4),
F232 = "WR", _xludf.IFS(
AND(H232 &gt;= 0, H232 &lt; 2.55), 1,
AND(H232 &gt;= 2.55, H232 &lt; 4.2), 2,
AND(H232 &gt;= 4.2, H232 &lt; 8.55), 3,
AND(H232 &gt;= 8.55, H232 &lt;= 24.4), 
4),
F232 = "QB", _xludf.IFS(
AND(H232 &gt;= 0, H232 &lt; 2.95), 1,
AND(H232 &gt;= 2.95, H232 &lt; 5.4), 2,
AND(H232 &gt;= 5.4, H232 &lt; 7.2), 3,
AND(H232 &gt;= 7.2, H232 &lt;= 12.3), 
4),
F232 = "TE", _xludf.IFS(
AND(H232 &gt;= 0, H232 &lt; 3), 1,
AND(H232 &gt;= 3, H232 &lt; 4.8), 2,
AND(H232 &gt;= 4.8, H232 &lt; 8.525), 3,
AND(H232 &gt;= 8.525, H232 &lt;= 24.6), 
4)
)</f>
        <v/>
      </c>
    </row>
    <row r="232" ht="13" customHeight="1" s="54">
      <c r="C232">
        <f>IF(COUNTIF(Keeper!B:B,D232)&gt;0,"x","")</f>
        <v/>
      </c>
      <c r="D232" s="40">
        <f>Fantasypro!C230</f>
        <v/>
      </c>
      <c r="E232" s="40">
        <f>Fantasypro!D230</f>
        <v/>
      </c>
      <c r="F232">
        <f>Fantasypro!K230</f>
        <v/>
      </c>
      <c r="G232" s="39">
        <f>Fantasypro!H230</f>
        <v/>
      </c>
      <c r="H232" s="39">
        <f>Fantasypro!I230</f>
        <v/>
      </c>
      <c r="I232" s="51">
        <f>_xludf.IFS(
F233 = "RB", _xludf.IFS(
AND(H233 &gt;= 0, H233 &lt; 2.55), 1,
AND(H233 &gt;= 2.55, H233 &lt; 4.7), 2,
AND(H233 &gt;= 4.7, H233 &lt; 8.4), 3,
AND(H233 &gt;= 8.4, H233 &lt;= 36), 
4),
F233 = "WR", _xludf.IFS(
AND(H233 &gt;= 0, H233 &lt; 2.55), 1,
AND(H233 &gt;= 2.55, H233 &lt; 4.2), 2,
AND(H233 &gt;= 4.2, H233 &lt; 8.55), 3,
AND(H233 &gt;= 8.55, H233 &lt;= 24.4), 
4),
F233 = "QB", _xludf.IFS(
AND(H233 &gt;= 0, H233 &lt; 2.95), 1,
AND(H233 &gt;= 2.95, H233 &lt; 5.4), 2,
AND(H233 &gt;= 5.4, H233 &lt; 7.2), 3,
AND(H233 &gt;= 7.2, H233 &lt;= 12.3), 
4),
F233 = "TE", _xludf.IFS(
AND(H233 &gt;= 0, H233 &lt; 3), 1,
AND(H233 &gt;= 3, H233 &lt; 4.8), 2,
AND(H233 &gt;= 4.8, H233 &lt; 8.525), 3,
AND(H233 &gt;= 8.525, H233 &lt;= 24.6), 
4)
)</f>
        <v/>
      </c>
    </row>
    <row r="233" ht="13" customHeight="1" s="54">
      <c r="C233">
        <f>IF(COUNTIF(Keeper!B:B,D233)&gt;0,"x","")</f>
        <v/>
      </c>
      <c r="D233" s="40">
        <f>Fantasypro!C231</f>
        <v/>
      </c>
      <c r="E233" s="40">
        <f>Fantasypro!D231</f>
        <v/>
      </c>
      <c r="F233">
        <f>Fantasypro!K231</f>
        <v/>
      </c>
      <c r="G233" s="39">
        <f>Fantasypro!H231</f>
        <v/>
      </c>
      <c r="H233" s="39">
        <f>Fantasypro!I231</f>
        <v/>
      </c>
      <c r="I233" s="51">
        <f>_xludf.IFS(
F234 = "RB", _xludf.IFS(
AND(H234 &gt;= 0, H234 &lt; 2.55), 1,
AND(H234 &gt;= 2.55, H234 &lt; 4.7), 2,
AND(H234 &gt;= 4.7, H234 &lt; 8.4), 3,
AND(H234 &gt;= 8.4, H234 &lt;= 36), 
4),
F234 = "WR", _xludf.IFS(
AND(H234 &gt;= 0, H234 &lt; 2.55), 1,
AND(H234 &gt;= 2.55, H234 &lt; 4.2), 2,
AND(H234 &gt;= 4.2, H234 &lt; 8.55), 3,
AND(H234 &gt;= 8.55, H234 &lt;= 24.4), 
4),
F234 = "QB", _xludf.IFS(
AND(H234 &gt;= 0, H234 &lt; 2.95), 1,
AND(H234 &gt;= 2.95, H234 &lt; 5.4), 2,
AND(H234 &gt;= 5.4, H234 &lt; 7.2), 3,
AND(H234 &gt;= 7.2, H234 &lt;= 12.3), 
4),
F234 = "TE", _xludf.IFS(
AND(H234 &gt;= 0, H234 &lt; 3), 1,
AND(H234 &gt;= 3, H234 &lt; 4.8), 2,
AND(H234 &gt;= 4.8, H234 &lt; 8.525), 3,
AND(H234 &gt;= 8.525, H234 &lt;= 24.6), 
4)
)</f>
        <v/>
      </c>
    </row>
    <row r="234" ht="13" customHeight="1" s="54">
      <c r="C234">
        <f>IF(COUNTIF(Keeper!B:B,D234)&gt;0,"x","")</f>
        <v/>
      </c>
      <c r="D234" s="40">
        <f>Fantasypro!C232</f>
        <v/>
      </c>
      <c r="E234" s="40">
        <f>Fantasypro!D232</f>
        <v/>
      </c>
      <c r="F234">
        <f>Fantasypro!K232</f>
        <v/>
      </c>
      <c r="G234" s="39">
        <f>Fantasypro!H232</f>
        <v/>
      </c>
      <c r="H234" s="39">
        <f>Fantasypro!I232</f>
        <v/>
      </c>
      <c r="I234" s="51">
        <f>_xludf.IFS(
F235 = "RB", _xludf.IFS(
AND(H235 &gt;= 0, H235 &lt; 2.55), 1,
AND(H235 &gt;= 2.55, H235 &lt; 4.7), 2,
AND(H235 &gt;= 4.7, H235 &lt; 8.4), 3,
AND(H235 &gt;= 8.4, H235 &lt;= 36), 
4),
F235 = "WR", _xludf.IFS(
AND(H235 &gt;= 0, H235 &lt; 2.55), 1,
AND(H235 &gt;= 2.55, H235 &lt; 4.2), 2,
AND(H235 &gt;= 4.2, H235 &lt; 8.55), 3,
AND(H235 &gt;= 8.55, H235 &lt;= 24.4), 
4),
F235 = "QB", _xludf.IFS(
AND(H235 &gt;= 0, H235 &lt; 2.95), 1,
AND(H235 &gt;= 2.95, H235 &lt; 5.4), 2,
AND(H235 &gt;= 5.4, H235 &lt; 7.2), 3,
AND(H235 &gt;= 7.2, H235 &lt;= 12.3), 
4),
F235 = "TE", _xludf.IFS(
AND(H235 &gt;= 0, H235 &lt; 3), 1,
AND(H235 &gt;= 3, H235 &lt; 4.8), 2,
AND(H235 &gt;= 4.8, H235 &lt; 8.525), 3,
AND(H235 &gt;= 8.525, H235 &lt;= 24.6), 
4)
)</f>
        <v/>
      </c>
    </row>
    <row r="235" ht="13" customHeight="1" s="54">
      <c r="C235">
        <f>IF(COUNTIF(Keeper!B:B,D235)&gt;0,"x","")</f>
        <v/>
      </c>
      <c r="D235" s="40">
        <f>Fantasypro!C233</f>
        <v/>
      </c>
      <c r="E235" s="40">
        <f>Fantasypro!D233</f>
        <v/>
      </c>
      <c r="F235">
        <f>Fantasypro!K233</f>
        <v/>
      </c>
      <c r="G235" s="39">
        <f>Fantasypro!H233</f>
        <v/>
      </c>
      <c r="H235" s="39">
        <f>Fantasypro!I233</f>
        <v/>
      </c>
      <c r="I235" s="51">
        <f>_xludf.IFS(
F236 = "RB", _xludf.IFS(
AND(H236 &gt;= 0, H236 &lt; 2.55), 1,
AND(H236 &gt;= 2.55, H236 &lt; 4.7), 2,
AND(H236 &gt;= 4.7, H236 &lt; 8.4), 3,
AND(H236 &gt;= 8.4, H236 &lt;= 36), 
4),
F236 = "WR", _xludf.IFS(
AND(H236 &gt;= 0, H236 &lt; 2.55), 1,
AND(H236 &gt;= 2.55, H236 &lt; 4.2), 2,
AND(H236 &gt;= 4.2, H236 &lt; 8.55), 3,
AND(H236 &gt;= 8.55, H236 &lt;= 24.4), 
4),
F236 = "QB", _xludf.IFS(
AND(H236 &gt;= 0, H236 &lt; 2.95), 1,
AND(H236 &gt;= 2.95, H236 &lt; 5.4), 2,
AND(H236 &gt;= 5.4, H236 &lt; 7.2), 3,
AND(H236 &gt;= 7.2, H236 &lt;= 12.3), 
4),
F236 = "TE", _xludf.IFS(
AND(H236 &gt;= 0, H236 &lt; 3), 1,
AND(H236 &gt;= 3, H236 &lt; 4.8), 2,
AND(H236 &gt;= 4.8, H236 &lt; 8.525), 3,
AND(H236 &gt;= 8.525, H236 &lt;= 24.6), 
4)
)</f>
        <v/>
      </c>
    </row>
    <row r="236" ht="13" customHeight="1" s="54">
      <c r="C236">
        <f>IF(COUNTIF(Keeper!B:B,D236)&gt;0,"x","")</f>
        <v/>
      </c>
      <c r="D236" s="40">
        <f>Fantasypro!C234</f>
        <v/>
      </c>
      <c r="E236" s="40">
        <f>Fantasypro!D234</f>
        <v/>
      </c>
      <c r="F236">
        <f>Fantasypro!K234</f>
        <v/>
      </c>
      <c r="G236" s="39">
        <f>Fantasypro!H234</f>
        <v/>
      </c>
      <c r="H236" s="39">
        <f>Fantasypro!I234</f>
        <v/>
      </c>
      <c r="I236" s="50" t="n"/>
    </row>
    <row r="237" ht="13" customHeight="1" s="54">
      <c r="C237">
        <f>IF(COUNTIF(Keeper!B:B,D237)&gt;0,"x","")</f>
        <v/>
      </c>
      <c r="D237" s="40">
        <f>Fantasypro!C235</f>
        <v/>
      </c>
      <c r="E237" s="40">
        <f>Fantasypro!D235</f>
        <v/>
      </c>
      <c r="F237">
        <f>Fantasypro!K235</f>
        <v/>
      </c>
      <c r="G237" s="39">
        <f>Fantasypro!H235</f>
        <v/>
      </c>
      <c r="H237" s="39">
        <f>Fantasypro!I235</f>
        <v/>
      </c>
      <c r="I237" s="50" t="n"/>
    </row>
    <row r="238" ht="13" customHeight="1" s="54">
      <c r="C238">
        <f>IF(COUNTIF(Keeper!B:B,D238)&gt;0,"x","")</f>
        <v/>
      </c>
      <c r="D238" s="40">
        <f>Fantasypro!C236</f>
        <v/>
      </c>
      <c r="E238" s="40">
        <f>Fantasypro!D236</f>
        <v/>
      </c>
      <c r="F238">
        <f>Fantasypro!K236</f>
        <v/>
      </c>
      <c r="G238" s="39">
        <f>Fantasypro!H236</f>
        <v/>
      </c>
      <c r="H238" s="39">
        <f>Fantasypro!I236</f>
        <v/>
      </c>
      <c r="I238" s="50" t="n"/>
    </row>
    <row r="239" ht="13" customHeight="1" s="54">
      <c r="C239">
        <f>IF(COUNTIF(Keeper!B:B,D239)&gt;0,"x","")</f>
        <v/>
      </c>
      <c r="D239" s="40">
        <f>Fantasypro!C237</f>
        <v/>
      </c>
      <c r="E239" s="40">
        <f>Fantasypro!D237</f>
        <v/>
      </c>
      <c r="F239">
        <f>Fantasypro!K237</f>
        <v/>
      </c>
      <c r="G239" s="39">
        <f>Fantasypro!H237</f>
        <v/>
      </c>
      <c r="H239" s="39">
        <f>Fantasypro!I237</f>
        <v/>
      </c>
      <c r="I239" s="50" t="n"/>
    </row>
    <row r="240" ht="13" customHeight="1" s="54">
      <c r="C240">
        <f>IF(COUNTIF(Keeper!B:B,D240)&gt;0,"x","")</f>
        <v/>
      </c>
      <c r="D240" s="40">
        <f>Fantasypro!C238</f>
        <v/>
      </c>
      <c r="E240" s="40">
        <f>Fantasypro!D238</f>
        <v/>
      </c>
      <c r="F240">
        <f>Fantasypro!K238</f>
        <v/>
      </c>
      <c r="G240" s="39">
        <f>Fantasypro!H238</f>
        <v/>
      </c>
      <c r="H240" s="39">
        <f>Fantasypro!I238</f>
        <v/>
      </c>
      <c r="I240" s="50" t="n"/>
    </row>
    <row r="241" ht="13" customHeight="1" s="54">
      <c r="C241">
        <f>IF(COUNTIF(Keeper!B:B,D241)&gt;0,"x","")</f>
        <v/>
      </c>
      <c r="D241" s="40">
        <f>Fantasypro!C239</f>
        <v/>
      </c>
      <c r="E241" s="40">
        <f>Fantasypro!D239</f>
        <v/>
      </c>
      <c r="F241">
        <f>Fantasypro!K239</f>
        <v/>
      </c>
      <c r="G241" s="39">
        <f>Fantasypro!H239</f>
        <v/>
      </c>
      <c r="H241" s="39">
        <f>Fantasypro!I239</f>
        <v/>
      </c>
      <c r="I241" s="50" t="n"/>
    </row>
    <row r="242" ht="13" customHeight="1" s="54">
      <c r="C242">
        <f>IF(COUNTIF(Keeper!B:B,D242)&gt;0,"x","")</f>
        <v/>
      </c>
      <c r="D242" s="40">
        <f>Fantasypro!C240</f>
        <v/>
      </c>
      <c r="E242" s="40">
        <f>Fantasypro!D240</f>
        <v/>
      </c>
      <c r="F242">
        <f>Fantasypro!K240</f>
        <v/>
      </c>
      <c r="G242" s="39">
        <f>Fantasypro!H240</f>
        <v/>
      </c>
      <c r="H242" s="39">
        <f>Fantasypro!I240</f>
        <v/>
      </c>
      <c r="I242" s="50" t="n"/>
    </row>
    <row r="243" ht="13" customHeight="1" s="54">
      <c r="C243">
        <f>IF(COUNTIF(Keeper!B:B,D243)&gt;0,"x","")</f>
        <v/>
      </c>
      <c r="D243" s="40">
        <f>Fantasypro!C241</f>
        <v/>
      </c>
      <c r="E243" s="40">
        <f>Fantasypro!D241</f>
        <v/>
      </c>
      <c r="F243">
        <f>Fantasypro!K241</f>
        <v/>
      </c>
      <c r="G243" s="39">
        <f>Fantasypro!H241</f>
        <v/>
      </c>
      <c r="H243" s="39">
        <f>Fantasypro!I241</f>
        <v/>
      </c>
      <c r="I243" s="50" t="n"/>
    </row>
    <row r="244" ht="13" customHeight="1" s="54">
      <c r="C244">
        <f>IF(COUNTIF(Keeper!B:B,D244)&gt;0,"x","")</f>
        <v/>
      </c>
      <c r="D244" s="40">
        <f>Fantasypro!C242</f>
        <v/>
      </c>
      <c r="E244" s="40">
        <f>Fantasypro!D242</f>
        <v/>
      </c>
      <c r="F244">
        <f>Fantasypro!K242</f>
        <v/>
      </c>
      <c r="G244" s="39">
        <f>Fantasypro!H242</f>
        <v/>
      </c>
      <c r="H244" s="39">
        <f>Fantasypro!I242</f>
        <v/>
      </c>
      <c r="I244" s="50" t="n"/>
    </row>
    <row r="245" ht="13" customHeight="1" s="54">
      <c r="C245">
        <f>IF(COUNTIF(Keeper!B:B,D245)&gt;0,"x","")</f>
        <v/>
      </c>
      <c r="D245" s="40">
        <f>Fantasypro!C243</f>
        <v/>
      </c>
      <c r="E245" s="40">
        <f>Fantasypro!D243</f>
        <v/>
      </c>
      <c r="F245">
        <f>Fantasypro!K243</f>
        <v/>
      </c>
      <c r="G245" s="39">
        <f>Fantasypro!H243</f>
        <v/>
      </c>
      <c r="H245" s="39">
        <f>Fantasypro!I243</f>
        <v/>
      </c>
      <c r="I245" s="50" t="n"/>
    </row>
    <row r="246" ht="13" customHeight="1" s="54">
      <c r="C246">
        <f>IF(COUNTIF(Keeper!B:B,D246)&gt;0,"x","")</f>
        <v/>
      </c>
      <c r="D246" s="40">
        <f>Fantasypro!C244</f>
        <v/>
      </c>
      <c r="E246" s="40">
        <f>Fantasypro!D244</f>
        <v/>
      </c>
      <c r="F246">
        <f>Fantasypro!K244</f>
        <v/>
      </c>
      <c r="G246" s="39">
        <f>Fantasypro!H244</f>
        <v/>
      </c>
      <c r="H246" s="39">
        <f>Fantasypro!I244</f>
        <v/>
      </c>
      <c r="I246" s="50" t="n"/>
    </row>
    <row r="247" ht="13" customHeight="1" s="54">
      <c r="C247">
        <f>IF(COUNTIF(Keeper!B:B,D247)&gt;0,"x","")</f>
        <v/>
      </c>
      <c r="D247" s="40">
        <f>Fantasypro!C245</f>
        <v/>
      </c>
      <c r="E247" s="40">
        <f>Fantasypro!D245</f>
        <v/>
      </c>
      <c r="F247">
        <f>Fantasypro!K245</f>
        <v/>
      </c>
      <c r="G247" s="39">
        <f>Fantasypro!H245</f>
        <v/>
      </c>
      <c r="H247" s="39">
        <f>Fantasypro!I245</f>
        <v/>
      </c>
      <c r="I247" s="50" t="n"/>
    </row>
    <row r="248" ht="13" customHeight="1" s="54">
      <c r="C248">
        <f>IF(COUNTIF(Keeper!B:B,D248)&gt;0,"x","")</f>
        <v/>
      </c>
      <c r="D248" s="40">
        <f>Fantasypro!C246</f>
        <v/>
      </c>
      <c r="E248" s="40">
        <f>Fantasypro!D246</f>
        <v/>
      </c>
      <c r="F248">
        <f>Fantasypro!K246</f>
        <v/>
      </c>
      <c r="G248" s="39">
        <f>Fantasypro!H246</f>
        <v/>
      </c>
      <c r="H248" s="39">
        <f>Fantasypro!I246</f>
        <v/>
      </c>
      <c r="I248" s="50" t="n"/>
    </row>
    <row r="249" ht="13" customHeight="1" s="54">
      <c r="C249">
        <f>IF(COUNTIF(Keeper!B:B,D249)&gt;0,"x","")</f>
        <v/>
      </c>
      <c r="D249" s="40">
        <f>Fantasypro!C247</f>
        <v/>
      </c>
      <c r="E249" s="40">
        <f>Fantasypro!D247</f>
        <v/>
      </c>
      <c r="F249">
        <f>Fantasypro!K247</f>
        <v/>
      </c>
      <c r="G249" s="39">
        <f>Fantasypro!H247</f>
        <v/>
      </c>
      <c r="H249" s="39">
        <f>Fantasypro!I247</f>
        <v/>
      </c>
      <c r="I249" s="50" t="n"/>
    </row>
    <row r="250" ht="13" customHeight="1" s="54">
      <c r="C250">
        <f>IF(COUNTIF(Keeper!B:B,D250)&gt;0,"x","")</f>
        <v/>
      </c>
      <c r="D250" s="40">
        <f>Fantasypro!C248</f>
        <v/>
      </c>
      <c r="E250" s="40">
        <f>Fantasypro!D248</f>
        <v/>
      </c>
      <c r="F250">
        <f>Fantasypro!K248</f>
        <v/>
      </c>
      <c r="G250" s="39">
        <f>Fantasypro!H248</f>
        <v/>
      </c>
      <c r="H250" s="39">
        <f>Fantasypro!I248</f>
        <v/>
      </c>
      <c r="I250" s="50" t="n"/>
    </row>
    <row r="251" ht="13" customHeight="1" s="54">
      <c r="C251">
        <f>IF(COUNTIF(Keeper!B:B,D251)&gt;0,"x","")</f>
        <v/>
      </c>
      <c r="D251" s="40">
        <f>Fantasypro!C249</f>
        <v/>
      </c>
      <c r="E251" s="40">
        <f>Fantasypro!D249</f>
        <v/>
      </c>
      <c r="F251">
        <f>Fantasypro!K249</f>
        <v/>
      </c>
      <c r="G251" s="39">
        <f>Fantasypro!H249</f>
        <v/>
      </c>
      <c r="H251" s="39">
        <f>Fantasypro!I249</f>
        <v/>
      </c>
      <c r="I251" s="50" t="n"/>
    </row>
    <row r="252" ht="13" customHeight="1" s="54">
      <c r="C252">
        <f>IF(COUNTIF(Keeper!B:B,D252)&gt;0,"x","")</f>
        <v/>
      </c>
      <c r="D252" s="40">
        <f>Fantasypro!C250</f>
        <v/>
      </c>
      <c r="E252" s="40">
        <f>Fantasypro!D250</f>
        <v/>
      </c>
      <c r="F252">
        <f>Fantasypro!K250</f>
        <v/>
      </c>
      <c r="G252" s="39">
        <f>Fantasypro!H250</f>
        <v/>
      </c>
      <c r="H252" s="39">
        <f>Fantasypro!I250</f>
        <v/>
      </c>
      <c r="I252" s="50" t="n"/>
    </row>
    <row r="253" ht="13" customHeight="1" s="54">
      <c r="C253">
        <f>IF(COUNTIF(Keeper!B:B,D253)&gt;0,"x","")</f>
        <v/>
      </c>
      <c r="D253" s="40">
        <f>Fantasypro!C251</f>
        <v/>
      </c>
      <c r="E253" s="40">
        <f>Fantasypro!D251</f>
        <v/>
      </c>
      <c r="F253">
        <f>Fantasypro!K251</f>
        <v/>
      </c>
      <c r="G253" s="39">
        <f>Fantasypro!H251</f>
        <v/>
      </c>
      <c r="H253" s="39">
        <f>Fantasypro!I251</f>
        <v/>
      </c>
      <c r="I253" s="50" t="n"/>
    </row>
    <row r="254" ht="13" customHeight="1" s="54">
      <c r="C254">
        <f>IF(COUNTIF(Keeper!B:B,D254)&gt;0,"x","")</f>
        <v/>
      </c>
      <c r="D254" s="40">
        <f>Fantasypro!C252</f>
        <v/>
      </c>
      <c r="E254" s="40">
        <f>Fantasypro!D252</f>
        <v/>
      </c>
      <c r="F254">
        <f>Fantasypro!K252</f>
        <v/>
      </c>
      <c r="G254" s="39">
        <f>Fantasypro!H252</f>
        <v/>
      </c>
      <c r="H254" s="39">
        <f>Fantasypro!I252</f>
        <v/>
      </c>
      <c r="I254" s="50" t="n"/>
    </row>
    <row r="255" ht="13" customHeight="1" s="54">
      <c r="C255">
        <f>IF(COUNTIF(Keeper!B:B,D255)&gt;0,"x","")</f>
        <v/>
      </c>
      <c r="D255" s="40">
        <f>Fantasypro!C253</f>
        <v/>
      </c>
      <c r="E255" s="40">
        <f>Fantasypro!D253</f>
        <v/>
      </c>
      <c r="F255">
        <f>Fantasypro!K253</f>
        <v/>
      </c>
      <c r="G255" s="39">
        <f>Fantasypro!H253</f>
        <v/>
      </c>
      <c r="H255" s="39">
        <f>Fantasypro!I253</f>
        <v/>
      </c>
      <c r="I255" s="50" t="n"/>
    </row>
    <row r="256" ht="13" customHeight="1" s="54">
      <c r="C256">
        <f>IF(COUNTIF(Keeper!B:B,D256)&gt;0,"x","")</f>
        <v/>
      </c>
      <c r="D256" s="40">
        <f>Fantasypro!C254</f>
        <v/>
      </c>
      <c r="E256" s="40">
        <f>Fantasypro!D254</f>
        <v/>
      </c>
      <c r="F256">
        <f>Fantasypro!K254</f>
        <v/>
      </c>
      <c r="G256" s="39">
        <f>Fantasypro!H254</f>
        <v/>
      </c>
      <c r="H256" s="39">
        <f>Fantasypro!I254</f>
        <v/>
      </c>
      <c r="I256" s="50" t="n"/>
    </row>
    <row r="257" ht="13" customHeight="1" s="54">
      <c r="C257">
        <f>IF(COUNTIF(Keeper!B:B,D257)&gt;0,"x","")</f>
        <v/>
      </c>
      <c r="D257" s="40">
        <f>Fantasypro!C255</f>
        <v/>
      </c>
      <c r="E257" s="40">
        <f>Fantasypro!D255</f>
        <v/>
      </c>
      <c r="F257">
        <f>Fantasypro!K255</f>
        <v/>
      </c>
      <c r="G257" s="39">
        <f>Fantasypro!H255</f>
        <v/>
      </c>
      <c r="H257" s="39">
        <f>Fantasypro!I255</f>
        <v/>
      </c>
      <c r="I257" s="50" t="n"/>
    </row>
    <row r="258" ht="13" customHeight="1" s="54">
      <c r="C258">
        <f>IF(COUNTIF(Keeper!B:B,D258)&gt;0,"x","")</f>
        <v/>
      </c>
      <c r="D258" s="40">
        <f>Fantasypro!C256</f>
        <v/>
      </c>
      <c r="E258" s="40">
        <f>Fantasypro!D256</f>
        <v/>
      </c>
      <c r="F258">
        <f>Fantasypro!K256</f>
        <v/>
      </c>
      <c r="G258" s="39">
        <f>Fantasypro!H256</f>
        <v/>
      </c>
      <c r="H258" s="39">
        <f>Fantasypro!I256</f>
        <v/>
      </c>
      <c r="I258" s="50" t="n"/>
    </row>
    <row r="259" ht="13" customHeight="1" s="54">
      <c r="C259">
        <f>IF(COUNTIF(Keeper!B:B,D259)&gt;0,"x","")</f>
        <v/>
      </c>
      <c r="D259" s="40">
        <f>Fantasypro!C257</f>
        <v/>
      </c>
      <c r="E259" s="40">
        <f>Fantasypro!D257</f>
        <v/>
      </c>
      <c r="F259">
        <f>Fantasypro!K257</f>
        <v/>
      </c>
      <c r="G259" s="39">
        <f>Fantasypro!H257</f>
        <v/>
      </c>
      <c r="H259" s="39">
        <f>Fantasypro!I257</f>
        <v/>
      </c>
      <c r="I259" s="50" t="n"/>
    </row>
    <row r="260" ht="13" customHeight="1" s="54">
      <c r="C260">
        <f>IF(COUNTIF(Keeper!B:B,D260)&gt;0,"x","")</f>
        <v/>
      </c>
      <c r="D260" s="40">
        <f>Fantasypro!C258</f>
        <v/>
      </c>
      <c r="E260" s="40">
        <f>Fantasypro!D258</f>
        <v/>
      </c>
      <c r="F260">
        <f>Fantasypro!K258</f>
        <v/>
      </c>
      <c r="G260" s="39">
        <f>Fantasypro!H258</f>
        <v/>
      </c>
      <c r="H260" s="39">
        <f>Fantasypro!I258</f>
        <v/>
      </c>
      <c r="I260" s="50" t="n"/>
    </row>
    <row r="261" ht="13" customHeight="1" s="54">
      <c r="C261">
        <f>IF(COUNTIF(Keeper!B:B,D261)&gt;0,"x","")</f>
        <v/>
      </c>
      <c r="D261" s="40">
        <f>Fantasypro!C259</f>
        <v/>
      </c>
      <c r="E261" s="40">
        <f>Fantasypro!D259</f>
        <v/>
      </c>
      <c r="F261">
        <f>Fantasypro!K259</f>
        <v/>
      </c>
      <c r="G261" s="39">
        <f>Fantasypro!H259</f>
        <v/>
      </c>
      <c r="H261" s="39">
        <f>Fantasypro!I259</f>
        <v/>
      </c>
      <c r="I261" s="50" t="n"/>
    </row>
    <row r="262" ht="13" customHeight="1" s="54">
      <c r="C262">
        <f>IF(COUNTIF(Keeper!B:B,D262)&gt;0,"x","")</f>
        <v/>
      </c>
      <c r="D262" s="40">
        <f>Fantasypro!C260</f>
        <v/>
      </c>
      <c r="E262" s="40">
        <f>Fantasypro!D260</f>
        <v/>
      </c>
      <c r="F262">
        <f>Fantasypro!K260</f>
        <v/>
      </c>
      <c r="G262" s="39">
        <f>Fantasypro!H260</f>
        <v/>
      </c>
      <c r="H262" s="39">
        <f>Fantasypro!I260</f>
        <v/>
      </c>
      <c r="I262" s="50" t="n"/>
    </row>
    <row r="263" ht="13" customHeight="1" s="54">
      <c r="C263">
        <f>IF(COUNTIF(Keeper!B:B,D263)&gt;0,"x","")</f>
        <v/>
      </c>
      <c r="D263" s="40">
        <f>Fantasypro!C261</f>
        <v/>
      </c>
      <c r="E263" s="40">
        <f>Fantasypro!D261</f>
        <v/>
      </c>
      <c r="F263">
        <f>Fantasypro!K261</f>
        <v/>
      </c>
      <c r="G263" s="39">
        <f>Fantasypro!H261</f>
        <v/>
      </c>
      <c r="H263" s="39">
        <f>Fantasypro!I261</f>
        <v/>
      </c>
      <c r="I263" s="50" t="n"/>
    </row>
    <row r="264" ht="13" customHeight="1" s="54">
      <c r="C264">
        <f>IF(COUNTIF(Keeper!B:B,D264)&gt;0,"x","")</f>
        <v/>
      </c>
      <c r="D264" s="40">
        <f>Fantasypro!C262</f>
        <v/>
      </c>
      <c r="E264" s="40">
        <f>Fantasypro!D262</f>
        <v/>
      </c>
      <c r="F264">
        <f>Fantasypro!K262</f>
        <v/>
      </c>
      <c r="G264" s="39">
        <f>Fantasypro!H262</f>
        <v/>
      </c>
      <c r="H264" s="39">
        <f>Fantasypro!I262</f>
        <v/>
      </c>
      <c r="I264" s="50" t="n"/>
    </row>
    <row r="265" ht="13" customHeight="1" s="54">
      <c r="C265">
        <f>IF(COUNTIF(Keeper!B:B,D265)&gt;0,"x","")</f>
        <v/>
      </c>
      <c r="D265" s="40">
        <f>Fantasypro!C263</f>
        <v/>
      </c>
      <c r="E265" s="40">
        <f>Fantasypro!D263</f>
        <v/>
      </c>
      <c r="F265">
        <f>Fantasypro!K263</f>
        <v/>
      </c>
      <c r="G265" s="39">
        <f>Fantasypro!H263</f>
        <v/>
      </c>
      <c r="H265" s="39">
        <f>Fantasypro!I263</f>
        <v/>
      </c>
      <c r="I265" s="50" t="n"/>
    </row>
    <row r="266" ht="13" customHeight="1" s="54">
      <c r="C266">
        <f>IF(COUNTIF(Keeper!B:B,D266)&gt;0,"x","")</f>
        <v/>
      </c>
      <c r="D266" s="40">
        <f>Fantasypro!C264</f>
        <v/>
      </c>
      <c r="E266" s="40">
        <f>Fantasypro!D264</f>
        <v/>
      </c>
      <c r="F266">
        <f>Fantasypro!K264</f>
        <v/>
      </c>
      <c r="G266" s="39">
        <f>Fantasypro!H264</f>
        <v/>
      </c>
      <c r="H266" s="39">
        <f>Fantasypro!I264</f>
        <v/>
      </c>
      <c r="I266" s="50" t="n"/>
    </row>
    <row r="267" ht="13" customHeight="1" s="54">
      <c r="C267">
        <f>IF(COUNTIF(Keeper!B:B,D267)&gt;0,"x","")</f>
        <v/>
      </c>
      <c r="D267" s="40">
        <f>Fantasypro!C265</f>
        <v/>
      </c>
      <c r="E267" s="40">
        <f>Fantasypro!D265</f>
        <v/>
      </c>
      <c r="F267">
        <f>Fantasypro!K265</f>
        <v/>
      </c>
      <c r="G267" s="39">
        <f>Fantasypro!H265</f>
        <v/>
      </c>
      <c r="H267" s="39">
        <f>Fantasypro!I265</f>
        <v/>
      </c>
      <c r="I267" s="50" t="n"/>
    </row>
    <row r="268" ht="13" customHeight="1" s="54">
      <c r="C268">
        <f>IF(COUNTIF(Keeper!B:B,D268)&gt;0,"x","")</f>
        <v/>
      </c>
      <c r="D268" s="40">
        <f>Fantasypro!C266</f>
        <v/>
      </c>
      <c r="E268" s="40">
        <f>Fantasypro!D266</f>
        <v/>
      </c>
      <c r="F268">
        <f>Fantasypro!K266</f>
        <v/>
      </c>
      <c r="G268" s="39">
        <f>Fantasypro!H266</f>
        <v/>
      </c>
      <c r="H268" s="39">
        <f>Fantasypro!I266</f>
        <v/>
      </c>
      <c r="I268" s="50" t="n"/>
    </row>
    <row r="269" ht="13" customHeight="1" s="54">
      <c r="C269">
        <f>IF(COUNTIF(Keeper!B:B,D269)&gt;0,"x","")</f>
        <v/>
      </c>
      <c r="D269" s="40">
        <f>Fantasypro!C267</f>
        <v/>
      </c>
      <c r="E269" s="40">
        <f>Fantasypro!D267</f>
        <v/>
      </c>
      <c r="F269">
        <f>Fantasypro!K267</f>
        <v/>
      </c>
      <c r="G269" s="39">
        <f>Fantasypro!H267</f>
        <v/>
      </c>
      <c r="H269" s="39">
        <f>Fantasypro!I267</f>
        <v/>
      </c>
      <c r="I269" s="50" t="n"/>
    </row>
    <row r="270" ht="13" customHeight="1" s="54">
      <c r="C270">
        <f>IF(COUNTIF(Keeper!B:B,D270)&gt;0,"x","")</f>
        <v/>
      </c>
      <c r="D270" s="40">
        <f>Fantasypro!C268</f>
        <v/>
      </c>
      <c r="E270" s="40">
        <f>Fantasypro!D268</f>
        <v/>
      </c>
      <c r="F270">
        <f>Fantasypro!K268</f>
        <v/>
      </c>
      <c r="G270" s="39">
        <f>Fantasypro!H268</f>
        <v/>
      </c>
      <c r="H270" s="39">
        <f>Fantasypro!I268</f>
        <v/>
      </c>
      <c r="I270" s="50" t="n"/>
    </row>
    <row r="271" ht="13" customHeight="1" s="54">
      <c r="C271">
        <f>IF(COUNTIF(Keeper!B:B,D271)&gt;0,"x","")</f>
        <v/>
      </c>
      <c r="D271" s="40">
        <f>Fantasypro!C269</f>
        <v/>
      </c>
      <c r="E271" s="40">
        <f>Fantasypro!D269</f>
        <v/>
      </c>
      <c r="F271">
        <f>Fantasypro!K269</f>
        <v/>
      </c>
      <c r="G271" s="39">
        <f>Fantasypro!H269</f>
        <v/>
      </c>
      <c r="H271" s="39">
        <f>Fantasypro!I269</f>
        <v/>
      </c>
      <c r="I271" s="50" t="n"/>
    </row>
    <row r="272" ht="13" customHeight="1" s="54">
      <c r="C272">
        <f>IF(COUNTIF(Keeper!B:B,D272)&gt;0,"x","")</f>
        <v/>
      </c>
      <c r="D272" s="40">
        <f>Fantasypro!C270</f>
        <v/>
      </c>
      <c r="E272" s="40">
        <f>Fantasypro!D270</f>
        <v/>
      </c>
      <c r="F272">
        <f>Fantasypro!K270</f>
        <v/>
      </c>
      <c r="G272" s="39">
        <f>Fantasypro!H270</f>
        <v/>
      </c>
      <c r="H272" s="39">
        <f>Fantasypro!I270</f>
        <v/>
      </c>
      <c r="I272" s="50" t="n"/>
    </row>
    <row r="273" ht="13" customHeight="1" s="54">
      <c r="C273">
        <f>IF(COUNTIF(Keeper!B:B,D273)&gt;0,"x","")</f>
        <v/>
      </c>
      <c r="D273" s="40">
        <f>Fantasypro!C271</f>
        <v/>
      </c>
      <c r="E273" s="40">
        <f>Fantasypro!D271</f>
        <v/>
      </c>
      <c r="F273">
        <f>Fantasypro!K271</f>
        <v/>
      </c>
      <c r="G273" s="39">
        <f>Fantasypro!H271</f>
        <v/>
      </c>
      <c r="H273" s="39">
        <f>Fantasypro!I271</f>
        <v/>
      </c>
      <c r="I273" s="50" t="n"/>
    </row>
    <row r="274" ht="13" customHeight="1" s="54">
      <c r="C274">
        <f>IF(COUNTIF(Keeper!B:B,D274)&gt;0,"x","")</f>
        <v/>
      </c>
      <c r="D274" s="40">
        <f>Fantasypro!C272</f>
        <v/>
      </c>
      <c r="E274" s="40">
        <f>Fantasypro!D272</f>
        <v/>
      </c>
      <c r="F274">
        <f>Fantasypro!K272</f>
        <v/>
      </c>
      <c r="G274" s="39">
        <f>Fantasypro!H272</f>
        <v/>
      </c>
      <c r="H274" s="39">
        <f>Fantasypro!I272</f>
        <v/>
      </c>
      <c r="I274" s="50" t="n"/>
    </row>
    <row r="275" ht="13" customHeight="1" s="54">
      <c r="C275">
        <f>IF(COUNTIF(Keeper!B:B,D275)&gt;0,"x","")</f>
        <v/>
      </c>
      <c r="D275" s="40">
        <f>Fantasypro!C273</f>
        <v/>
      </c>
      <c r="E275" s="40">
        <f>Fantasypro!D273</f>
        <v/>
      </c>
      <c r="F275">
        <f>Fantasypro!K273</f>
        <v/>
      </c>
      <c r="G275" s="39">
        <f>Fantasypro!H273</f>
        <v/>
      </c>
      <c r="H275" s="39">
        <f>Fantasypro!I273</f>
        <v/>
      </c>
      <c r="I275" s="50" t="n"/>
    </row>
    <row r="276" ht="13" customHeight="1" s="54">
      <c r="C276">
        <f>IF(COUNTIF(Keeper!B:B,D276)&gt;0,"x","")</f>
        <v/>
      </c>
      <c r="D276" s="40">
        <f>Fantasypro!C274</f>
        <v/>
      </c>
      <c r="E276" s="40">
        <f>Fantasypro!D274</f>
        <v/>
      </c>
      <c r="F276">
        <f>Fantasypro!K274</f>
        <v/>
      </c>
      <c r="G276" s="39">
        <f>Fantasypro!H274</f>
        <v/>
      </c>
      <c r="H276" s="39">
        <f>Fantasypro!I274</f>
        <v/>
      </c>
      <c r="I276" s="50" t="n"/>
    </row>
    <row r="277" ht="13" customHeight="1" s="54">
      <c r="C277">
        <f>IF(COUNTIF(Keeper!B:B,D277)&gt;0,"x","")</f>
        <v/>
      </c>
      <c r="D277" s="40">
        <f>Fantasypro!C275</f>
        <v/>
      </c>
      <c r="E277" s="40">
        <f>Fantasypro!D275</f>
        <v/>
      </c>
      <c r="F277">
        <f>Fantasypro!K275</f>
        <v/>
      </c>
      <c r="G277" s="39">
        <f>Fantasypro!H275</f>
        <v/>
      </c>
      <c r="H277" s="39">
        <f>Fantasypro!I275</f>
        <v/>
      </c>
      <c r="I277" s="50" t="n"/>
    </row>
    <row r="278" ht="13" customHeight="1" s="54">
      <c r="C278">
        <f>IF(COUNTIF(Keeper!B:B,D278)&gt;0,"x","")</f>
        <v/>
      </c>
      <c r="D278" s="40">
        <f>Fantasypro!C276</f>
        <v/>
      </c>
      <c r="E278" s="40">
        <f>Fantasypro!D276</f>
        <v/>
      </c>
      <c r="F278">
        <f>Fantasypro!K276</f>
        <v/>
      </c>
      <c r="G278" s="39">
        <f>Fantasypro!H276</f>
        <v/>
      </c>
      <c r="H278" s="39">
        <f>Fantasypro!I276</f>
        <v/>
      </c>
      <c r="I278" s="50" t="n"/>
    </row>
    <row r="279" ht="13" customHeight="1" s="54">
      <c r="C279">
        <f>IF(COUNTIF(Keeper!B:B,D279)&gt;0,"x","")</f>
        <v/>
      </c>
      <c r="D279" s="40">
        <f>Fantasypro!C277</f>
        <v/>
      </c>
      <c r="E279" s="40">
        <f>Fantasypro!D277</f>
        <v/>
      </c>
      <c r="F279">
        <f>Fantasypro!K277</f>
        <v/>
      </c>
      <c r="G279" s="39">
        <f>Fantasypro!H277</f>
        <v/>
      </c>
      <c r="H279" s="39">
        <f>Fantasypro!I277</f>
        <v/>
      </c>
      <c r="I279" s="50" t="n"/>
    </row>
    <row r="280" ht="13" customHeight="1" s="54">
      <c r="C280">
        <f>IF(COUNTIF(Keeper!B:B,D280)&gt;0,"x","")</f>
        <v/>
      </c>
      <c r="D280" s="40">
        <f>Fantasypro!C278</f>
        <v/>
      </c>
      <c r="E280" s="40">
        <f>Fantasypro!D278</f>
        <v/>
      </c>
      <c r="F280">
        <f>Fantasypro!K278</f>
        <v/>
      </c>
      <c r="G280" s="39">
        <f>Fantasypro!H278</f>
        <v/>
      </c>
      <c r="H280" s="39">
        <f>Fantasypro!I278</f>
        <v/>
      </c>
      <c r="I280" s="50" t="n"/>
    </row>
    <row r="281" ht="13" customHeight="1" s="54">
      <c r="C281">
        <f>IF(COUNTIF(Keeper!B:B,D281)&gt;0,"x","")</f>
        <v/>
      </c>
      <c r="D281" s="40">
        <f>Fantasypro!C279</f>
        <v/>
      </c>
      <c r="E281" s="40">
        <f>Fantasypro!D279</f>
        <v/>
      </c>
      <c r="F281">
        <f>Fantasypro!K279</f>
        <v/>
      </c>
      <c r="G281" s="39">
        <f>Fantasypro!H279</f>
        <v/>
      </c>
      <c r="H281" s="39">
        <f>Fantasypro!I279</f>
        <v/>
      </c>
      <c r="I281" s="50" t="n"/>
    </row>
    <row r="282" ht="13" customHeight="1" s="54">
      <c r="C282">
        <f>IF(COUNTIF(Keeper!B:B,D282)&gt;0,"x","")</f>
        <v/>
      </c>
      <c r="D282" s="40">
        <f>Fantasypro!C280</f>
        <v/>
      </c>
      <c r="E282" s="40">
        <f>Fantasypro!D280</f>
        <v/>
      </c>
      <c r="F282">
        <f>Fantasypro!K280</f>
        <v/>
      </c>
      <c r="G282" s="39">
        <f>Fantasypro!H280</f>
        <v/>
      </c>
      <c r="H282" s="39">
        <f>Fantasypro!I280</f>
        <v/>
      </c>
      <c r="I282" s="50" t="n"/>
    </row>
    <row r="283" ht="13" customHeight="1" s="54">
      <c r="C283">
        <f>IF(COUNTIF(Keeper!B:B,D283)&gt;0,"x","")</f>
        <v/>
      </c>
      <c r="D283" s="40">
        <f>Fantasypro!C281</f>
        <v/>
      </c>
      <c r="E283" s="40">
        <f>Fantasypro!D281</f>
        <v/>
      </c>
      <c r="F283">
        <f>Fantasypro!K281</f>
        <v/>
      </c>
      <c r="G283" s="39">
        <f>Fantasypro!H281</f>
        <v/>
      </c>
      <c r="H283" s="39">
        <f>Fantasypro!I281</f>
        <v/>
      </c>
      <c r="I283" s="50" t="n"/>
    </row>
    <row r="284" ht="13" customHeight="1" s="54">
      <c r="C284">
        <f>IF(COUNTIF(Keeper!B:B,D284)&gt;0,"x","")</f>
        <v/>
      </c>
      <c r="D284" s="40">
        <f>Fantasypro!C282</f>
        <v/>
      </c>
      <c r="E284" s="40">
        <f>Fantasypro!D282</f>
        <v/>
      </c>
      <c r="F284">
        <f>Fantasypro!K282</f>
        <v/>
      </c>
      <c r="G284" s="39">
        <f>Fantasypro!H282</f>
        <v/>
      </c>
      <c r="H284" s="39">
        <f>Fantasypro!I282</f>
        <v/>
      </c>
      <c r="I284" s="50" t="n"/>
    </row>
    <row r="285" ht="13" customHeight="1" s="54">
      <c r="C285">
        <f>IF(COUNTIF(Keeper!B:B,D285)&gt;0,"x","")</f>
        <v/>
      </c>
      <c r="D285" s="40">
        <f>Fantasypro!C283</f>
        <v/>
      </c>
      <c r="E285" s="40">
        <f>Fantasypro!D283</f>
        <v/>
      </c>
      <c r="F285">
        <f>Fantasypro!K283</f>
        <v/>
      </c>
      <c r="G285" s="39">
        <f>Fantasypro!H283</f>
        <v/>
      </c>
      <c r="H285" s="39">
        <f>Fantasypro!I283</f>
        <v/>
      </c>
      <c r="I285" s="50" t="n"/>
    </row>
    <row r="286" ht="13" customHeight="1" s="54">
      <c r="C286">
        <f>IF(COUNTIF(Keeper!B:B,D286)&gt;0,"x","")</f>
        <v/>
      </c>
      <c r="D286" s="40">
        <f>Fantasypro!C284</f>
        <v/>
      </c>
      <c r="E286" s="40">
        <f>Fantasypro!D284</f>
        <v/>
      </c>
      <c r="F286">
        <f>Fantasypro!K284</f>
        <v/>
      </c>
      <c r="G286" s="39">
        <f>Fantasypro!H284</f>
        <v/>
      </c>
      <c r="H286" s="39">
        <f>Fantasypro!I284</f>
        <v/>
      </c>
      <c r="I286" s="50" t="n"/>
    </row>
    <row r="287" ht="13" customHeight="1" s="54">
      <c r="C287">
        <f>IF(COUNTIF(Keeper!B:B,D287)&gt;0,"x","")</f>
        <v/>
      </c>
      <c r="D287" s="40">
        <f>Fantasypro!C285</f>
        <v/>
      </c>
      <c r="E287" s="40">
        <f>Fantasypro!D285</f>
        <v/>
      </c>
      <c r="F287">
        <f>Fantasypro!K285</f>
        <v/>
      </c>
      <c r="G287" s="39">
        <f>Fantasypro!H285</f>
        <v/>
      </c>
      <c r="H287" s="39">
        <f>Fantasypro!I285</f>
        <v/>
      </c>
      <c r="I287" s="50" t="n"/>
    </row>
    <row r="288" ht="13" customHeight="1" s="54">
      <c r="C288">
        <f>IF(COUNTIF(Keeper!B:B,D288)&gt;0,"x","")</f>
        <v/>
      </c>
      <c r="D288" s="40">
        <f>Fantasypro!C286</f>
        <v/>
      </c>
      <c r="E288" s="40">
        <f>Fantasypro!D286</f>
        <v/>
      </c>
      <c r="F288">
        <f>Fantasypro!K286</f>
        <v/>
      </c>
      <c r="G288" s="39">
        <f>Fantasypro!H286</f>
        <v/>
      </c>
      <c r="H288" s="39">
        <f>Fantasypro!I286</f>
        <v/>
      </c>
      <c r="I288" s="50" t="n"/>
    </row>
    <row r="289" ht="13" customHeight="1" s="54">
      <c r="C289">
        <f>IF(COUNTIF(Keeper!B:B,D289)&gt;0,"x","")</f>
        <v/>
      </c>
      <c r="D289" s="40">
        <f>Fantasypro!C287</f>
        <v/>
      </c>
      <c r="E289" s="40">
        <f>Fantasypro!D287</f>
        <v/>
      </c>
      <c r="F289">
        <f>Fantasypro!K287</f>
        <v/>
      </c>
      <c r="G289" s="39">
        <f>Fantasypro!H287</f>
        <v/>
      </c>
      <c r="H289" s="39">
        <f>Fantasypro!I287</f>
        <v/>
      </c>
      <c r="I289" s="50" t="n"/>
    </row>
    <row r="290" ht="13" customHeight="1" s="54">
      <c r="C290">
        <f>IF(COUNTIF(Keeper!B:B,D290)&gt;0,"x","")</f>
        <v/>
      </c>
      <c r="D290" s="40">
        <f>Fantasypro!C288</f>
        <v/>
      </c>
      <c r="E290" s="40">
        <f>Fantasypro!D288</f>
        <v/>
      </c>
      <c r="F290">
        <f>Fantasypro!K288</f>
        <v/>
      </c>
      <c r="G290" s="39">
        <f>Fantasypro!H288</f>
        <v/>
      </c>
      <c r="H290" s="39">
        <f>Fantasypro!I288</f>
        <v/>
      </c>
      <c r="I290" s="50" t="n"/>
    </row>
    <row r="291" ht="13" customHeight="1" s="54">
      <c r="C291">
        <f>IF(COUNTIF(Keeper!B:B,D291)&gt;0,"x","")</f>
        <v/>
      </c>
      <c r="D291" s="40">
        <f>Fantasypro!C289</f>
        <v/>
      </c>
      <c r="E291" s="40">
        <f>Fantasypro!D289</f>
        <v/>
      </c>
      <c r="F291">
        <f>Fantasypro!K289</f>
        <v/>
      </c>
      <c r="G291" s="39">
        <f>Fantasypro!H289</f>
        <v/>
      </c>
      <c r="H291" s="39">
        <f>Fantasypro!I289</f>
        <v/>
      </c>
      <c r="I291" s="50" t="n"/>
    </row>
    <row r="292" ht="13" customHeight="1" s="54">
      <c r="C292">
        <f>IF(COUNTIF(Keeper!B:B,D292)&gt;0,"x","")</f>
        <v/>
      </c>
      <c r="D292" s="40">
        <f>Fantasypro!C290</f>
        <v/>
      </c>
      <c r="E292" s="40">
        <f>Fantasypro!D290</f>
        <v/>
      </c>
      <c r="F292">
        <f>Fantasypro!K290</f>
        <v/>
      </c>
      <c r="G292" s="39">
        <f>Fantasypro!H290</f>
        <v/>
      </c>
      <c r="H292" s="39">
        <f>Fantasypro!I290</f>
        <v/>
      </c>
      <c r="I292" s="50" t="n"/>
    </row>
    <row r="293" ht="13" customHeight="1" s="54">
      <c r="C293">
        <f>IF(COUNTIF(Keeper!B:B,D293)&gt;0,"x","")</f>
        <v/>
      </c>
      <c r="D293" s="40">
        <f>Fantasypro!C291</f>
        <v/>
      </c>
      <c r="E293" s="40">
        <f>Fantasypro!D291</f>
        <v/>
      </c>
      <c r="F293">
        <f>Fantasypro!K291</f>
        <v/>
      </c>
      <c r="G293" s="39">
        <f>Fantasypro!H291</f>
        <v/>
      </c>
      <c r="H293" s="39">
        <f>Fantasypro!I291</f>
        <v/>
      </c>
      <c r="I293" s="50" t="n"/>
    </row>
    <row r="294" ht="13" customHeight="1" s="54">
      <c r="C294">
        <f>IF(COUNTIF(Keeper!B:B,D294)&gt;0,"x","")</f>
        <v/>
      </c>
      <c r="D294" s="40">
        <f>Fantasypro!C292</f>
        <v/>
      </c>
      <c r="E294" s="40">
        <f>Fantasypro!D292</f>
        <v/>
      </c>
      <c r="F294">
        <f>Fantasypro!K292</f>
        <v/>
      </c>
      <c r="G294" s="39">
        <f>Fantasypro!H292</f>
        <v/>
      </c>
      <c r="H294" s="39">
        <f>Fantasypro!I292</f>
        <v/>
      </c>
      <c r="I294" s="50" t="n"/>
    </row>
    <row r="295" ht="13" customHeight="1" s="54">
      <c r="C295">
        <f>IF(COUNTIF(Keeper!B:B,D295)&gt;0,"x","")</f>
        <v/>
      </c>
      <c r="D295" s="40">
        <f>Fantasypro!C293</f>
        <v/>
      </c>
      <c r="E295" s="40">
        <f>Fantasypro!D293</f>
        <v/>
      </c>
      <c r="F295">
        <f>Fantasypro!K293</f>
        <v/>
      </c>
      <c r="G295" s="39">
        <f>Fantasypro!H293</f>
        <v/>
      </c>
      <c r="H295" s="39">
        <f>Fantasypro!I293</f>
        <v/>
      </c>
      <c r="I295" s="50" t="n"/>
    </row>
    <row r="296" ht="13" customHeight="1" s="54">
      <c r="C296">
        <f>IF(COUNTIF(Keeper!B:B,D296)&gt;0,"x","")</f>
        <v/>
      </c>
      <c r="D296" s="40">
        <f>Fantasypro!C294</f>
        <v/>
      </c>
      <c r="E296" s="40">
        <f>Fantasypro!D294</f>
        <v/>
      </c>
      <c r="F296">
        <f>Fantasypro!K294</f>
        <v/>
      </c>
      <c r="G296" s="39">
        <f>Fantasypro!H294</f>
        <v/>
      </c>
      <c r="H296" s="39">
        <f>Fantasypro!I294</f>
        <v/>
      </c>
      <c r="I296" s="50" t="n"/>
    </row>
    <row r="297" ht="13" customHeight="1" s="54">
      <c r="C297">
        <f>IF(COUNTIF(Keeper!B:B,D297)&gt;0,"x","")</f>
        <v/>
      </c>
      <c r="D297" s="40">
        <f>Fantasypro!C295</f>
        <v/>
      </c>
      <c r="E297" s="40">
        <f>Fantasypro!D295</f>
        <v/>
      </c>
      <c r="F297">
        <f>Fantasypro!K295</f>
        <v/>
      </c>
      <c r="G297" s="39">
        <f>Fantasypro!H295</f>
        <v/>
      </c>
      <c r="H297" s="39">
        <f>Fantasypro!I295</f>
        <v/>
      </c>
      <c r="I297" s="50" t="n"/>
    </row>
    <row r="298" ht="13" customHeight="1" s="54">
      <c r="C298">
        <f>IF(COUNTIF(Keeper!B:B,D298)&gt;0,"x","")</f>
        <v/>
      </c>
      <c r="D298" s="40">
        <f>Fantasypro!C296</f>
        <v/>
      </c>
      <c r="E298" s="40">
        <f>Fantasypro!D296</f>
        <v/>
      </c>
      <c r="F298">
        <f>Fantasypro!K296</f>
        <v/>
      </c>
      <c r="G298" s="39">
        <f>Fantasypro!H296</f>
        <v/>
      </c>
      <c r="H298" s="39">
        <f>Fantasypro!I296</f>
        <v/>
      </c>
      <c r="I298" s="50" t="n"/>
    </row>
    <row r="299" ht="13" customHeight="1" s="54">
      <c r="C299">
        <f>IF(COUNTIF(Keeper!B:B,D299)&gt;0,"x","")</f>
        <v/>
      </c>
      <c r="D299" s="40">
        <f>Fantasypro!C297</f>
        <v/>
      </c>
      <c r="E299" s="40">
        <f>Fantasypro!D297</f>
        <v/>
      </c>
      <c r="F299">
        <f>Fantasypro!K297</f>
        <v/>
      </c>
      <c r="G299" s="39">
        <f>Fantasypro!H297</f>
        <v/>
      </c>
      <c r="H299" s="39">
        <f>Fantasypro!I297</f>
        <v/>
      </c>
      <c r="I299" s="50" t="n"/>
    </row>
    <row r="300" ht="13" customHeight="1" s="54">
      <c r="C300">
        <f>IF(COUNTIF(Keeper!B:B,D300)&gt;0,"x","")</f>
        <v/>
      </c>
      <c r="D300" s="40">
        <f>Fantasypro!C298</f>
        <v/>
      </c>
      <c r="E300" s="40">
        <f>Fantasypro!D298</f>
        <v/>
      </c>
      <c r="F300">
        <f>Fantasypro!K298</f>
        <v/>
      </c>
      <c r="G300" s="39">
        <f>Fantasypro!H298</f>
        <v/>
      </c>
      <c r="H300" s="39">
        <f>Fantasypro!I298</f>
        <v/>
      </c>
      <c r="I300" s="50" t="n"/>
    </row>
    <row r="301" ht="13" customHeight="1" s="54">
      <c r="C301">
        <f>IF(COUNTIF(Keeper!B:B,D301)&gt;0,"x","")</f>
        <v/>
      </c>
      <c r="D301" s="40">
        <f>Fantasypro!C299</f>
        <v/>
      </c>
      <c r="E301" s="40">
        <f>Fantasypro!D299</f>
        <v/>
      </c>
      <c r="F301">
        <f>Fantasypro!K299</f>
        <v/>
      </c>
      <c r="G301" s="39">
        <f>Fantasypro!H299</f>
        <v/>
      </c>
      <c r="H301" s="39">
        <f>Fantasypro!I299</f>
        <v/>
      </c>
      <c r="I301" s="50" t="n"/>
    </row>
    <row r="302" ht="13" customHeight="1" s="54">
      <c r="C302">
        <f>IF(COUNTIF(Keeper!B:B,D302)&gt;0,"x","")</f>
        <v/>
      </c>
      <c r="D302" s="40">
        <f>Fantasypro!C300</f>
        <v/>
      </c>
      <c r="E302" s="40">
        <f>Fantasypro!D300</f>
        <v/>
      </c>
      <c r="F302">
        <f>Fantasypro!K300</f>
        <v/>
      </c>
      <c r="G302" s="39">
        <f>Fantasypro!H300</f>
        <v/>
      </c>
      <c r="H302" s="39">
        <f>Fantasypro!I300</f>
        <v/>
      </c>
      <c r="I302" s="50" t="n"/>
    </row>
    <row r="303" ht="13" customHeight="1" s="54">
      <c r="C303">
        <f>IF(COUNTIF(Keeper!B:B,D303)&gt;0,"x","")</f>
        <v/>
      </c>
      <c r="D303" s="40">
        <f>Fantasypro!C301</f>
        <v/>
      </c>
      <c r="E303" s="40">
        <f>Fantasypro!D301</f>
        <v/>
      </c>
      <c r="F303">
        <f>Fantasypro!K301</f>
        <v/>
      </c>
      <c r="G303" s="39">
        <f>Fantasypro!H301</f>
        <v/>
      </c>
      <c r="H303" s="39">
        <f>Fantasypro!I301</f>
        <v/>
      </c>
      <c r="I303" s="50" t="n"/>
    </row>
    <row r="304" ht="13" customHeight="1" s="54">
      <c r="C304">
        <f>IF(COUNTIF(Keeper!B:B,D304)&gt;0,"x","")</f>
        <v/>
      </c>
      <c r="D304" s="40">
        <f>Fantasypro!C302</f>
        <v/>
      </c>
      <c r="E304" s="40">
        <f>Fantasypro!D302</f>
        <v/>
      </c>
      <c r="F304">
        <f>Fantasypro!K302</f>
        <v/>
      </c>
      <c r="G304" s="39">
        <f>Fantasypro!H302</f>
        <v/>
      </c>
      <c r="H304" s="39">
        <f>Fantasypro!I302</f>
        <v/>
      </c>
      <c r="I304" s="50" t="n"/>
    </row>
    <row r="305" ht="13" customHeight="1" s="54">
      <c r="C305">
        <f>IF(COUNTIF(Keeper!B:B,D305)&gt;0,"x","")</f>
        <v/>
      </c>
      <c r="D305" s="40">
        <f>Fantasypro!C303</f>
        <v/>
      </c>
      <c r="E305" s="40">
        <f>Fantasypro!D303</f>
        <v/>
      </c>
      <c r="F305">
        <f>Fantasypro!K303</f>
        <v/>
      </c>
      <c r="G305" s="39">
        <f>Fantasypro!H303</f>
        <v/>
      </c>
      <c r="H305" s="39">
        <f>Fantasypro!I303</f>
        <v/>
      </c>
      <c r="I305" s="50" t="n"/>
    </row>
    <row r="306" ht="13" customHeight="1" s="54">
      <c r="C306">
        <f>IF(COUNTIF(Keeper!B:B,D306)&gt;0,"x","")</f>
        <v/>
      </c>
      <c r="D306" s="40">
        <f>Fantasypro!C304</f>
        <v/>
      </c>
      <c r="E306" s="40">
        <f>Fantasypro!D304</f>
        <v/>
      </c>
      <c r="F306">
        <f>Fantasypro!K304</f>
        <v/>
      </c>
      <c r="G306" s="39">
        <f>Fantasypro!H304</f>
        <v/>
      </c>
      <c r="H306" s="39">
        <f>Fantasypro!I304</f>
        <v/>
      </c>
      <c r="I306" s="50" t="n"/>
    </row>
    <row r="307" ht="13" customHeight="1" s="54">
      <c r="C307">
        <f>IF(COUNTIF(Keeper!B:B,D307)&gt;0,"x","")</f>
        <v/>
      </c>
      <c r="D307" s="40">
        <f>Fantasypro!C305</f>
        <v/>
      </c>
      <c r="E307" s="40">
        <f>Fantasypro!D305</f>
        <v/>
      </c>
      <c r="F307">
        <f>Fantasypro!K305</f>
        <v/>
      </c>
      <c r="G307" s="39">
        <f>Fantasypro!H305</f>
        <v/>
      </c>
      <c r="H307" s="39">
        <f>Fantasypro!I305</f>
        <v/>
      </c>
      <c r="I307" s="50" t="n"/>
    </row>
    <row r="308" ht="13" customHeight="1" s="54">
      <c r="C308">
        <f>IF(COUNTIF(Keeper!B:B,D308)&gt;0,"x","")</f>
        <v/>
      </c>
      <c r="D308" s="40">
        <f>Fantasypro!C306</f>
        <v/>
      </c>
      <c r="E308" s="40">
        <f>Fantasypro!D306</f>
        <v/>
      </c>
      <c r="F308">
        <f>Fantasypro!K306</f>
        <v/>
      </c>
      <c r="G308" s="39">
        <f>Fantasypro!H306</f>
        <v/>
      </c>
      <c r="H308" s="39">
        <f>Fantasypro!I306</f>
        <v/>
      </c>
      <c r="I308" s="50" t="n"/>
    </row>
    <row r="309" ht="13" customHeight="1" s="54">
      <c r="C309">
        <f>IF(COUNTIF(Keeper!B:B,D309)&gt;0,"x","")</f>
        <v/>
      </c>
      <c r="D309" s="40">
        <f>Fantasypro!C307</f>
        <v/>
      </c>
      <c r="E309" s="40">
        <f>Fantasypro!D307</f>
        <v/>
      </c>
      <c r="F309">
        <f>Fantasypro!K307</f>
        <v/>
      </c>
      <c r="G309" s="39">
        <f>Fantasypro!H307</f>
        <v/>
      </c>
      <c r="H309" s="39">
        <f>Fantasypro!I307</f>
        <v/>
      </c>
      <c r="I309" s="50" t="n"/>
    </row>
    <row r="310" ht="13" customHeight="1" s="54">
      <c r="C310">
        <f>IF(COUNTIF(Keeper!B:B,D310)&gt;0,"x","")</f>
        <v/>
      </c>
      <c r="D310" s="40">
        <f>Fantasypro!C308</f>
        <v/>
      </c>
      <c r="E310" s="40">
        <f>Fantasypro!D308</f>
        <v/>
      </c>
      <c r="F310">
        <f>Fantasypro!K308</f>
        <v/>
      </c>
      <c r="G310" s="39">
        <f>Fantasypro!H308</f>
        <v/>
      </c>
      <c r="H310" s="39">
        <f>Fantasypro!I308</f>
        <v/>
      </c>
      <c r="I310" s="50" t="n"/>
    </row>
    <row r="311" ht="13" customHeight="1" s="54">
      <c r="C311">
        <f>IF(COUNTIF(Keeper!B:B,D311)&gt;0,"x","")</f>
        <v/>
      </c>
      <c r="D311" s="40">
        <f>Fantasypro!C309</f>
        <v/>
      </c>
      <c r="E311" s="40">
        <f>Fantasypro!D309</f>
        <v/>
      </c>
      <c r="F311">
        <f>Fantasypro!K309</f>
        <v/>
      </c>
      <c r="G311" s="39">
        <f>Fantasypro!H309</f>
        <v/>
      </c>
      <c r="H311" s="39">
        <f>Fantasypro!I309</f>
        <v/>
      </c>
      <c r="I311" s="50" t="n"/>
    </row>
    <row r="312" ht="13" customHeight="1" s="54">
      <c r="C312">
        <f>IF(COUNTIF(Keeper!B:B,D312)&gt;0,"x","")</f>
        <v/>
      </c>
      <c r="D312" s="40">
        <f>Fantasypro!C310</f>
        <v/>
      </c>
      <c r="E312" s="40">
        <f>Fantasypro!D310</f>
        <v/>
      </c>
      <c r="F312">
        <f>Fantasypro!K310</f>
        <v/>
      </c>
      <c r="G312" s="39">
        <f>Fantasypro!H310</f>
        <v/>
      </c>
      <c r="H312" s="39">
        <f>Fantasypro!I310</f>
        <v/>
      </c>
      <c r="I312" s="50" t="n"/>
    </row>
    <row r="313" ht="13" customHeight="1" s="54">
      <c r="C313">
        <f>IF(COUNTIF(Keeper!B:B,D313)&gt;0,"x","")</f>
        <v/>
      </c>
      <c r="D313" s="40">
        <f>Fantasypro!C311</f>
        <v/>
      </c>
      <c r="E313" s="40">
        <f>Fantasypro!D311</f>
        <v/>
      </c>
      <c r="F313">
        <f>Fantasypro!K311</f>
        <v/>
      </c>
      <c r="G313" s="39">
        <f>Fantasypro!H311</f>
        <v/>
      </c>
      <c r="H313" s="39">
        <f>Fantasypro!I311</f>
        <v/>
      </c>
      <c r="I313" s="50" t="n"/>
    </row>
    <row r="314" ht="13" customHeight="1" s="54">
      <c r="C314">
        <f>IF(COUNTIF(Keeper!B:B,D314)&gt;0,"x","")</f>
        <v/>
      </c>
      <c r="D314" s="40">
        <f>Fantasypro!C312</f>
        <v/>
      </c>
      <c r="E314" s="40">
        <f>Fantasypro!D312</f>
        <v/>
      </c>
      <c r="F314">
        <f>Fantasypro!K312</f>
        <v/>
      </c>
      <c r="G314" s="39">
        <f>Fantasypro!H312</f>
        <v/>
      </c>
      <c r="H314" s="39">
        <f>Fantasypro!I312</f>
        <v/>
      </c>
      <c r="I314" s="50" t="n"/>
    </row>
    <row r="315" ht="13" customHeight="1" s="54">
      <c r="C315">
        <f>IF(COUNTIF(Keeper!B:B,D315)&gt;0,"x","")</f>
        <v/>
      </c>
      <c r="D315" s="40">
        <f>Fantasypro!C313</f>
        <v/>
      </c>
      <c r="E315" s="40">
        <f>Fantasypro!D313</f>
        <v/>
      </c>
      <c r="F315">
        <f>Fantasypro!K313</f>
        <v/>
      </c>
      <c r="G315" s="39">
        <f>Fantasypro!H313</f>
        <v/>
      </c>
      <c r="H315" s="39">
        <f>Fantasypro!I313</f>
        <v/>
      </c>
      <c r="I315" s="50" t="n"/>
    </row>
    <row r="316" ht="13" customHeight="1" s="54">
      <c r="C316">
        <f>IF(COUNTIF(Keeper!B:B,D316)&gt;0,"x","")</f>
        <v/>
      </c>
      <c r="D316" s="40">
        <f>Fantasypro!C314</f>
        <v/>
      </c>
      <c r="E316" s="40">
        <f>Fantasypro!D314</f>
        <v/>
      </c>
      <c r="F316">
        <f>Fantasypro!K314</f>
        <v/>
      </c>
      <c r="G316" s="39">
        <f>Fantasypro!H314</f>
        <v/>
      </c>
      <c r="H316" s="39">
        <f>Fantasypro!I314</f>
        <v/>
      </c>
      <c r="I316" s="50" t="n"/>
    </row>
    <row r="317" ht="13" customHeight="1" s="54">
      <c r="C317">
        <f>IF(COUNTIF(Keeper!B:B,D317)&gt;0,"x","")</f>
        <v/>
      </c>
      <c r="D317" s="40">
        <f>Fantasypro!C315</f>
        <v/>
      </c>
      <c r="E317" s="40">
        <f>Fantasypro!D315</f>
        <v/>
      </c>
      <c r="F317">
        <f>Fantasypro!K315</f>
        <v/>
      </c>
      <c r="G317" s="39">
        <f>Fantasypro!H315</f>
        <v/>
      </c>
      <c r="H317" s="39">
        <f>Fantasypro!I315</f>
        <v/>
      </c>
      <c r="I317" s="50" t="n"/>
    </row>
    <row r="318" ht="13" customHeight="1" s="54">
      <c r="C318">
        <f>IF(COUNTIF(Keeper!B:B,D318)&gt;0,"x","")</f>
        <v/>
      </c>
      <c r="D318" s="40">
        <f>Fantasypro!C316</f>
        <v/>
      </c>
      <c r="E318" s="40">
        <f>Fantasypro!D316</f>
        <v/>
      </c>
      <c r="F318">
        <f>Fantasypro!K316</f>
        <v/>
      </c>
      <c r="G318" s="39">
        <f>Fantasypro!H316</f>
        <v/>
      </c>
      <c r="H318" s="39">
        <f>Fantasypro!I316</f>
        <v/>
      </c>
      <c r="I318" s="50" t="n"/>
    </row>
    <row r="319" ht="13" customHeight="1" s="54">
      <c r="C319">
        <f>IF(COUNTIF(Keeper!B:B,D319)&gt;0,"x","")</f>
        <v/>
      </c>
      <c r="D319" s="40">
        <f>Fantasypro!C317</f>
        <v/>
      </c>
      <c r="E319" s="40">
        <f>Fantasypro!D317</f>
        <v/>
      </c>
      <c r="F319">
        <f>Fantasypro!K317</f>
        <v/>
      </c>
      <c r="G319" s="39">
        <f>Fantasypro!H317</f>
        <v/>
      </c>
      <c r="H319" s="39">
        <f>Fantasypro!I317</f>
        <v/>
      </c>
      <c r="I319" s="50" t="n"/>
    </row>
    <row r="320" ht="13" customHeight="1" s="54">
      <c r="C320">
        <f>IF(COUNTIF(Keeper!B:B,D320)&gt;0,"x","")</f>
        <v/>
      </c>
      <c r="D320" s="40">
        <f>Fantasypro!C318</f>
        <v/>
      </c>
      <c r="E320" s="40">
        <f>Fantasypro!D318</f>
        <v/>
      </c>
      <c r="F320">
        <f>Fantasypro!K318</f>
        <v/>
      </c>
      <c r="G320" s="39">
        <f>Fantasypro!H318</f>
        <v/>
      </c>
      <c r="H320" s="39">
        <f>Fantasypro!I318</f>
        <v/>
      </c>
      <c r="I320" s="50" t="n"/>
    </row>
    <row r="321" ht="13" customHeight="1" s="54">
      <c r="C321">
        <f>IF(COUNTIF(Keeper!B:B,D321)&gt;0,"x","")</f>
        <v/>
      </c>
      <c r="D321" s="40">
        <f>Fantasypro!C319</f>
        <v/>
      </c>
      <c r="E321" s="40">
        <f>Fantasypro!D319</f>
        <v/>
      </c>
      <c r="F321">
        <f>Fantasypro!K319</f>
        <v/>
      </c>
      <c r="G321" s="39">
        <f>Fantasypro!H319</f>
        <v/>
      </c>
      <c r="H321" s="39">
        <f>Fantasypro!I319</f>
        <v/>
      </c>
      <c r="I321" s="50" t="n"/>
    </row>
    <row r="322" ht="13" customHeight="1" s="54">
      <c r="C322">
        <f>IF(COUNTIF(Keeper!B:B,D322)&gt;0,"x","")</f>
        <v/>
      </c>
      <c r="D322" s="40">
        <f>Fantasypro!C320</f>
        <v/>
      </c>
      <c r="E322" s="40">
        <f>Fantasypro!D320</f>
        <v/>
      </c>
      <c r="F322">
        <f>Fantasypro!K320</f>
        <v/>
      </c>
      <c r="G322" s="39">
        <f>Fantasypro!H320</f>
        <v/>
      </c>
      <c r="H322" s="39">
        <f>Fantasypro!I320</f>
        <v/>
      </c>
      <c r="I322" s="50" t="n"/>
    </row>
    <row r="323" ht="13" customHeight="1" s="54">
      <c r="C323">
        <f>IF(COUNTIF(Keeper!B:B,D323)&gt;0,"x","")</f>
        <v/>
      </c>
      <c r="D323" s="40">
        <f>Fantasypro!C321</f>
        <v/>
      </c>
      <c r="E323" s="40">
        <f>Fantasypro!D321</f>
        <v/>
      </c>
      <c r="F323">
        <f>Fantasypro!K321</f>
        <v/>
      </c>
      <c r="G323" s="39">
        <f>Fantasypro!H321</f>
        <v/>
      </c>
      <c r="H323" s="39">
        <f>Fantasypro!I321</f>
        <v/>
      </c>
      <c r="I323" s="50" t="n"/>
    </row>
    <row r="324" ht="13" customHeight="1" s="54">
      <c r="C324">
        <f>IF(COUNTIF(Keeper!B:B,D324)&gt;0,"x","")</f>
        <v/>
      </c>
      <c r="D324" s="40">
        <f>Fantasypro!C322</f>
        <v/>
      </c>
      <c r="E324" s="40">
        <f>Fantasypro!D322</f>
        <v/>
      </c>
      <c r="F324">
        <f>Fantasypro!K322</f>
        <v/>
      </c>
      <c r="G324" s="39">
        <f>Fantasypro!H322</f>
        <v/>
      </c>
      <c r="H324" s="39">
        <f>Fantasypro!I322</f>
        <v/>
      </c>
      <c r="I324" s="50" t="n"/>
    </row>
    <row r="325" ht="13" customHeight="1" s="54">
      <c r="C325">
        <f>IF(COUNTIF(Keeper!B:B,D325)&gt;0,"x","")</f>
        <v/>
      </c>
      <c r="D325" s="40">
        <f>Fantasypro!C323</f>
        <v/>
      </c>
      <c r="E325" s="40">
        <f>Fantasypro!D323</f>
        <v/>
      </c>
      <c r="F325">
        <f>Fantasypro!K323</f>
        <v/>
      </c>
      <c r="G325" s="39">
        <f>Fantasypro!H323</f>
        <v/>
      </c>
      <c r="H325" s="39">
        <f>Fantasypro!I323</f>
        <v/>
      </c>
      <c r="I325" s="50" t="n"/>
    </row>
    <row r="326" ht="13" customHeight="1" s="54">
      <c r="C326">
        <f>IF(COUNTIF(Keeper!B:B,D326)&gt;0,"x","")</f>
        <v/>
      </c>
      <c r="D326" s="40">
        <f>Fantasypro!C324</f>
        <v/>
      </c>
      <c r="E326" s="40">
        <f>Fantasypro!D324</f>
        <v/>
      </c>
      <c r="F326">
        <f>Fantasypro!K324</f>
        <v/>
      </c>
      <c r="G326" s="39">
        <f>Fantasypro!H324</f>
        <v/>
      </c>
      <c r="H326" s="39">
        <f>Fantasypro!I324</f>
        <v/>
      </c>
      <c r="I326" s="50" t="n"/>
    </row>
    <row r="327" ht="13" customHeight="1" s="54">
      <c r="C327">
        <f>IF(COUNTIF(Keeper!B:B,D327)&gt;0,"x","")</f>
        <v/>
      </c>
      <c r="D327" s="40">
        <f>Fantasypro!C325</f>
        <v/>
      </c>
      <c r="E327" s="40">
        <f>Fantasypro!D325</f>
        <v/>
      </c>
      <c r="F327">
        <f>Fantasypro!K325</f>
        <v/>
      </c>
      <c r="G327" s="39">
        <f>Fantasypro!H325</f>
        <v/>
      </c>
      <c r="H327" s="39">
        <f>Fantasypro!I325</f>
        <v/>
      </c>
      <c r="I327" s="50" t="n"/>
    </row>
    <row r="328" ht="13" customHeight="1" s="54">
      <c r="C328">
        <f>IF(COUNTIF(Keeper!B:B,D328)&gt;0,"x","")</f>
        <v/>
      </c>
      <c r="D328" s="40">
        <f>Fantasypro!C326</f>
        <v/>
      </c>
      <c r="E328" s="40">
        <f>Fantasypro!D326</f>
        <v/>
      </c>
      <c r="F328">
        <f>Fantasypro!K326</f>
        <v/>
      </c>
      <c r="G328" s="39">
        <f>Fantasypro!H326</f>
        <v/>
      </c>
      <c r="H328" s="39">
        <f>Fantasypro!I326</f>
        <v/>
      </c>
      <c r="I328" s="50" t="n"/>
    </row>
    <row r="329" ht="13" customHeight="1" s="54">
      <c r="C329">
        <f>IF(COUNTIF(Keeper!B:B,D329)&gt;0,"x","")</f>
        <v/>
      </c>
      <c r="D329" s="40">
        <f>Fantasypro!C327</f>
        <v/>
      </c>
      <c r="E329" s="40">
        <f>Fantasypro!D327</f>
        <v/>
      </c>
      <c r="F329">
        <f>Fantasypro!K327</f>
        <v/>
      </c>
      <c r="G329" s="39">
        <f>Fantasypro!H327</f>
        <v/>
      </c>
      <c r="H329" s="39">
        <f>Fantasypro!I327</f>
        <v/>
      </c>
      <c r="I329" s="50" t="n"/>
    </row>
    <row r="330" ht="13" customHeight="1" s="54">
      <c r="C330">
        <f>IF(COUNTIF(Keeper!B:B,D330)&gt;0,"x","")</f>
        <v/>
      </c>
      <c r="D330" s="40">
        <f>Fantasypro!C328</f>
        <v/>
      </c>
      <c r="E330" s="40">
        <f>Fantasypro!D328</f>
        <v/>
      </c>
      <c r="F330">
        <f>Fantasypro!K328</f>
        <v/>
      </c>
      <c r="G330" s="39">
        <f>Fantasypro!H328</f>
        <v/>
      </c>
      <c r="H330" s="39">
        <f>Fantasypro!I328</f>
        <v/>
      </c>
      <c r="I330" s="50" t="n"/>
    </row>
    <row r="331" ht="13" customHeight="1" s="54">
      <c r="C331">
        <f>IF(COUNTIF(Keeper!B:B,D331)&gt;0,"x","")</f>
        <v/>
      </c>
      <c r="D331" s="40">
        <f>Fantasypro!C329</f>
        <v/>
      </c>
      <c r="E331" s="40">
        <f>Fantasypro!D329</f>
        <v/>
      </c>
      <c r="F331">
        <f>Fantasypro!K329</f>
        <v/>
      </c>
      <c r="G331" s="39">
        <f>Fantasypro!H329</f>
        <v/>
      </c>
      <c r="H331" s="39">
        <f>Fantasypro!I329</f>
        <v/>
      </c>
      <c r="I331" s="50" t="n"/>
    </row>
    <row r="332" ht="13" customHeight="1" s="54">
      <c r="C332">
        <f>IF(COUNTIF(Keeper!B:B,D332)&gt;0,"x","")</f>
        <v/>
      </c>
      <c r="D332" s="40">
        <f>Fantasypro!C330</f>
        <v/>
      </c>
      <c r="E332" s="40">
        <f>Fantasypro!D330</f>
        <v/>
      </c>
      <c r="F332">
        <f>Fantasypro!K330</f>
        <v/>
      </c>
      <c r="G332" s="39">
        <f>Fantasypro!H330</f>
        <v/>
      </c>
      <c r="H332" s="39">
        <f>Fantasypro!I330</f>
        <v/>
      </c>
      <c r="I332" s="50" t="n"/>
    </row>
    <row r="333" ht="13" customHeight="1" s="54">
      <c r="C333">
        <f>IF(COUNTIF(Keeper!B:B,D333)&gt;0,"x","")</f>
        <v/>
      </c>
      <c r="D333" s="40">
        <f>Fantasypro!C331</f>
        <v/>
      </c>
      <c r="E333" s="40">
        <f>Fantasypro!D331</f>
        <v/>
      </c>
      <c r="F333">
        <f>Fantasypro!K331</f>
        <v/>
      </c>
      <c r="G333" s="39">
        <f>Fantasypro!H331</f>
        <v/>
      </c>
      <c r="H333" s="39">
        <f>Fantasypro!I331</f>
        <v/>
      </c>
      <c r="I333" s="50" t="n"/>
    </row>
    <row r="334" ht="13" customHeight="1" s="54">
      <c r="C334">
        <f>IF(COUNTIF(Keeper!B:B,D334)&gt;0,"x","")</f>
        <v/>
      </c>
      <c r="D334" s="40">
        <f>Fantasypro!C332</f>
        <v/>
      </c>
      <c r="E334" s="40">
        <f>Fantasypro!D332</f>
        <v/>
      </c>
      <c r="F334">
        <f>Fantasypro!K332</f>
        <v/>
      </c>
      <c r="G334" s="39">
        <f>Fantasypro!H332</f>
        <v/>
      </c>
      <c r="H334" s="39">
        <f>Fantasypro!I332</f>
        <v/>
      </c>
      <c r="I334" s="50" t="n"/>
    </row>
    <row r="335" ht="13" customHeight="1" s="54">
      <c r="C335">
        <f>IF(COUNTIF(Keeper!B:B,D335)&gt;0,"x","")</f>
        <v/>
      </c>
      <c r="D335" s="40">
        <f>Fantasypro!C333</f>
        <v/>
      </c>
      <c r="E335" s="40">
        <f>Fantasypro!D333</f>
        <v/>
      </c>
      <c r="F335">
        <f>Fantasypro!K333</f>
        <v/>
      </c>
      <c r="G335" s="39">
        <f>Fantasypro!H333</f>
        <v/>
      </c>
      <c r="H335" s="39">
        <f>Fantasypro!I333</f>
        <v/>
      </c>
      <c r="I335" s="50" t="n"/>
    </row>
    <row r="336" ht="13" customHeight="1" s="54">
      <c r="C336">
        <f>IF(COUNTIF(Keeper!B:B,D336)&gt;0,"x","")</f>
        <v/>
      </c>
      <c r="D336" s="40">
        <f>Fantasypro!C334</f>
        <v/>
      </c>
      <c r="E336" s="40">
        <f>Fantasypro!D334</f>
        <v/>
      </c>
      <c r="F336">
        <f>Fantasypro!K334</f>
        <v/>
      </c>
      <c r="G336" s="39">
        <f>Fantasypro!H334</f>
        <v/>
      </c>
      <c r="H336" s="39">
        <f>Fantasypro!I334</f>
        <v/>
      </c>
      <c r="I336" s="50" t="n"/>
    </row>
    <row r="337" ht="13" customHeight="1" s="54">
      <c r="C337">
        <f>IF(COUNTIF(Keeper!B:B,D337)&gt;0,"x","")</f>
        <v/>
      </c>
      <c r="D337" s="40">
        <f>Fantasypro!C335</f>
        <v/>
      </c>
      <c r="E337" s="40">
        <f>Fantasypro!D335</f>
        <v/>
      </c>
      <c r="F337">
        <f>Fantasypro!K335</f>
        <v/>
      </c>
      <c r="G337" s="39">
        <f>Fantasypro!H335</f>
        <v/>
      </c>
      <c r="H337" s="39">
        <f>Fantasypro!I335</f>
        <v/>
      </c>
      <c r="I337" s="50" t="n"/>
    </row>
    <row r="338" ht="13" customHeight="1" s="54">
      <c r="C338">
        <f>IF(COUNTIF(Keeper!B:B,D338)&gt;0,"x","")</f>
        <v/>
      </c>
      <c r="D338" s="40">
        <f>Fantasypro!C336</f>
        <v/>
      </c>
      <c r="E338" s="40">
        <f>Fantasypro!D336</f>
        <v/>
      </c>
      <c r="F338">
        <f>Fantasypro!K336</f>
        <v/>
      </c>
      <c r="G338" s="39">
        <f>Fantasypro!H336</f>
        <v/>
      </c>
      <c r="H338" s="39">
        <f>Fantasypro!I336</f>
        <v/>
      </c>
      <c r="I338" s="50" t="n"/>
    </row>
    <row r="339" ht="13" customHeight="1" s="54">
      <c r="C339">
        <f>IF(COUNTIF(Keeper!B:B,D339)&gt;0,"x","")</f>
        <v/>
      </c>
      <c r="D339" s="40">
        <f>Fantasypro!C337</f>
        <v/>
      </c>
      <c r="E339" s="40">
        <f>Fantasypro!D337</f>
        <v/>
      </c>
      <c r="F339">
        <f>Fantasypro!K337</f>
        <v/>
      </c>
      <c r="G339" s="39">
        <f>Fantasypro!H337</f>
        <v/>
      </c>
      <c r="H339" s="39">
        <f>Fantasypro!I337</f>
        <v/>
      </c>
      <c r="I339" s="50" t="n"/>
    </row>
    <row r="340" ht="13" customHeight="1" s="54">
      <c r="C340">
        <f>IF(COUNTIF(Keeper!B:B,D340)&gt;0,"x","")</f>
        <v/>
      </c>
      <c r="D340" s="40">
        <f>Fantasypro!C338</f>
        <v/>
      </c>
      <c r="E340" s="40">
        <f>Fantasypro!D338</f>
        <v/>
      </c>
      <c r="F340">
        <f>Fantasypro!K338</f>
        <v/>
      </c>
      <c r="G340" s="39">
        <f>Fantasypro!H338</f>
        <v/>
      </c>
      <c r="H340" s="39">
        <f>Fantasypro!I338</f>
        <v/>
      </c>
      <c r="I340" s="50" t="n"/>
    </row>
    <row r="341" ht="13" customHeight="1" s="54">
      <c r="C341">
        <f>IF(COUNTIF(Keeper!B:B,D341)&gt;0,"x","")</f>
        <v/>
      </c>
      <c r="D341" s="40">
        <f>Fantasypro!C339</f>
        <v/>
      </c>
      <c r="E341" s="40">
        <f>Fantasypro!D339</f>
        <v/>
      </c>
      <c r="F341">
        <f>Fantasypro!K339</f>
        <v/>
      </c>
      <c r="G341" s="39">
        <f>Fantasypro!H339</f>
        <v/>
      </c>
      <c r="H341" s="39">
        <f>Fantasypro!I339</f>
        <v/>
      </c>
      <c r="I341" s="50" t="n"/>
    </row>
    <row r="342" ht="13" customHeight="1" s="54">
      <c r="C342">
        <f>IF(COUNTIF(Keeper!B:B,D342)&gt;0,"x","")</f>
        <v/>
      </c>
      <c r="D342" s="40">
        <f>Fantasypro!C340</f>
        <v/>
      </c>
      <c r="E342" s="40">
        <f>Fantasypro!D340</f>
        <v/>
      </c>
      <c r="F342">
        <f>Fantasypro!K340</f>
        <v/>
      </c>
      <c r="G342" s="39">
        <f>Fantasypro!H340</f>
        <v/>
      </c>
      <c r="H342" s="39">
        <f>Fantasypro!I340</f>
        <v/>
      </c>
      <c r="I342" s="50" t="n"/>
    </row>
    <row r="343" ht="13" customHeight="1" s="54">
      <c r="C343">
        <f>IF(COUNTIF(Keeper!B:B,D343)&gt;0,"x","")</f>
        <v/>
      </c>
      <c r="D343" s="40">
        <f>Fantasypro!C341</f>
        <v/>
      </c>
      <c r="E343" s="40">
        <f>Fantasypro!D341</f>
        <v/>
      </c>
      <c r="F343">
        <f>Fantasypro!K341</f>
        <v/>
      </c>
      <c r="G343" s="39">
        <f>Fantasypro!H341</f>
        <v/>
      </c>
      <c r="H343" s="39">
        <f>Fantasypro!I341</f>
        <v/>
      </c>
      <c r="I343" s="50" t="n"/>
    </row>
    <row r="344" ht="13" customHeight="1" s="54">
      <c r="C344">
        <f>IF(COUNTIF(Keeper!B:B,D344)&gt;0,"x","")</f>
        <v/>
      </c>
      <c r="D344" s="40">
        <f>Fantasypro!C342</f>
        <v/>
      </c>
      <c r="E344" s="40">
        <f>Fantasypro!D342</f>
        <v/>
      </c>
      <c r="F344">
        <f>Fantasypro!K342</f>
        <v/>
      </c>
      <c r="G344" s="39">
        <f>Fantasypro!H342</f>
        <v/>
      </c>
      <c r="H344" s="39">
        <f>Fantasypro!I342</f>
        <v/>
      </c>
      <c r="I344" s="50" t="n"/>
    </row>
    <row r="345" ht="13" customHeight="1" s="54">
      <c r="C345">
        <f>IF(COUNTIF(Keeper!B:B,D345)&gt;0,"x","")</f>
        <v/>
      </c>
      <c r="D345" s="40">
        <f>Fantasypro!C343</f>
        <v/>
      </c>
      <c r="E345" s="40">
        <f>Fantasypro!D343</f>
        <v/>
      </c>
      <c r="F345">
        <f>Fantasypro!K343</f>
        <v/>
      </c>
      <c r="G345" s="39">
        <f>Fantasypro!H343</f>
        <v/>
      </c>
      <c r="H345" s="39">
        <f>Fantasypro!I343</f>
        <v/>
      </c>
      <c r="I345" s="50" t="n"/>
    </row>
    <row r="346" ht="13" customHeight="1" s="54">
      <c r="C346">
        <f>IF(COUNTIF(Keeper!B:B,D346)&gt;0,"x","")</f>
        <v/>
      </c>
      <c r="D346" s="40">
        <f>Fantasypro!C344</f>
        <v/>
      </c>
      <c r="E346" s="40">
        <f>Fantasypro!D344</f>
        <v/>
      </c>
      <c r="F346">
        <f>Fantasypro!K344</f>
        <v/>
      </c>
      <c r="G346" s="39">
        <f>Fantasypro!H344</f>
        <v/>
      </c>
      <c r="H346" s="39">
        <f>Fantasypro!I344</f>
        <v/>
      </c>
      <c r="I346" s="50" t="n"/>
    </row>
    <row r="347" ht="13" customHeight="1" s="54">
      <c r="C347">
        <f>IF(COUNTIF(Keeper!B:B,D347)&gt;0,"x","")</f>
        <v/>
      </c>
      <c r="D347" s="40">
        <f>Fantasypro!C345</f>
        <v/>
      </c>
      <c r="E347" s="40">
        <f>Fantasypro!D345</f>
        <v/>
      </c>
      <c r="F347">
        <f>Fantasypro!K345</f>
        <v/>
      </c>
      <c r="G347" s="39">
        <f>Fantasypro!H345</f>
        <v/>
      </c>
      <c r="H347" s="39">
        <f>Fantasypro!I345</f>
        <v/>
      </c>
      <c r="I347" s="50" t="n"/>
    </row>
    <row r="348" ht="13" customHeight="1" s="54">
      <c r="C348">
        <f>IF(COUNTIF(Keeper!B:B,D348)&gt;0,"x","")</f>
        <v/>
      </c>
      <c r="D348" s="40">
        <f>Fantasypro!C346</f>
        <v/>
      </c>
      <c r="E348" s="40">
        <f>Fantasypro!D346</f>
        <v/>
      </c>
      <c r="F348">
        <f>Fantasypro!K346</f>
        <v/>
      </c>
      <c r="G348" s="39">
        <f>Fantasypro!H346</f>
        <v/>
      </c>
      <c r="H348" s="39">
        <f>Fantasypro!I346</f>
        <v/>
      </c>
      <c r="I348" s="50" t="n"/>
    </row>
    <row r="349" ht="13" customHeight="1" s="54">
      <c r="C349">
        <f>IF(COUNTIF(Keeper!B:B,D349)&gt;0,"x","")</f>
        <v/>
      </c>
      <c r="D349" s="40">
        <f>Fantasypro!C347</f>
        <v/>
      </c>
      <c r="E349" s="40">
        <f>Fantasypro!D347</f>
        <v/>
      </c>
      <c r="F349">
        <f>Fantasypro!K347</f>
        <v/>
      </c>
      <c r="G349" s="39">
        <f>Fantasypro!H347</f>
        <v/>
      </c>
      <c r="H349" s="39">
        <f>Fantasypro!I347</f>
        <v/>
      </c>
      <c r="I349" s="50" t="n"/>
    </row>
    <row r="350" ht="13" customHeight="1" s="54">
      <c r="C350">
        <f>IF(COUNTIF(Keeper!B:B,D350)&gt;0,"x","")</f>
        <v/>
      </c>
      <c r="D350" s="40">
        <f>Fantasypro!C348</f>
        <v/>
      </c>
      <c r="E350" s="40">
        <f>Fantasypro!D348</f>
        <v/>
      </c>
      <c r="F350">
        <f>Fantasypro!K348</f>
        <v/>
      </c>
      <c r="G350" s="39">
        <f>Fantasypro!H348</f>
        <v/>
      </c>
      <c r="H350" s="39">
        <f>Fantasypro!I348</f>
        <v/>
      </c>
      <c r="I350" s="50" t="n"/>
    </row>
    <row r="351" ht="13" customHeight="1" s="54">
      <c r="C351">
        <f>IF(COUNTIF(Keeper!B:B,D351)&gt;0,"x","")</f>
        <v/>
      </c>
      <c r="D351" s="40">
        <f>Fantasypro!C349</f>
        <v/>
      </c>
      <c r="E351" s="40">
        <f>Fantasypro!D349</f>
        <v/>
      </c>
      <c r="F351">
        <f>Fantasypro!K349</f>
        <v/>
      </c>
      <c r="G351" s="39">
        <f>Fantasypro!H349</f>
        <v/>
      </c>
      <c r="H351" s="39">
        <f>Fantasypro!I349</f>
        <v/>
      </c>
      <c r="I351" s="50" t="n"/>
    </row>
    <row r="352" ht="13" customHeight="1" s="54">
      <c r="C352">
        <f>IF(COUNTIF(Keeper!B:B,D352)&gt;0,"x","")</f>
        <v/>
      </c>
      <c r="D352" s="40">
        <f>Fantasypro!C350</f>
        <v/>
      </c>
      <c r="E352" s="40">
        <f>Fantasypro!D350</f>
        <v/>
      </c>
      <c r="F352">
        <f>Fantasypro!K350</f>
        <v/>
      </c>
      <c r="G352" s="39">
        <f>Fantasypro!H350</f>
        <v/>
      </c>
      <c r="H352" s="39">
        <f>Fantasypro!I350</f>
        <v/>
      </c>
      <c r="I352" s="50" t="n"/>
    </row>
    <row r="353" ht="13" customHeight="1" s="54">
      <c r="C353">
        <f>IF(COUNTIF(Keeper!B:B,D353)&gt;0,"x","")</f>
        <v/>
      </c>
      <c r="D353" s="40">
        <f>Fantasypro!C351</f>
        <v/>
      </c>
      <c r="E353" s="40">
        <f>Fantasypro!D351</f>
        <v/>
      </c>
      <c r="F353">
        <f>Fantasypro!K351</f>
        <v/>
      </c>
      <c r="G353" s="39">
        <f>Fantasypro!H351</f>
        <v/>
      </c>
      <c r="H353" s="39">
        <f>Fantasypro!I351</f>
        <v/>
      </c>
      <c r="I353" s="50" t="n"/>
    </row>
    <row r="354" ht="13" customHeight="1" s="54">
      <c r="C354">
        <f>IF(COUNTIF(Keeper!B:B,D354)&gt;0,"x","")</f>
        <v/>
      </c>
      <c r="D354" s="40">
        <f>Fantasypro!C352</f>
        <v/>
      </c>
      <c r="E354" s="40">
        <f>Fantasypro!D352</f>
        <v/>
      </c>
      <c r="F354">
        <f>Fantasypro!K352</f>
        <v/>
      </c>
      <c r="G354" s="39">
        <f>Fantasypro!H352</f>
        <v/>
      </c>
      <c r="H354" s="39">
        <f>Fantasypro!I352</f>
        <v/>
      </c>
      <c r="I354" s="50" t="n"/>
    </row>
    <row r="355" ht="13" customHeight="1" s="54">
      <c r="C355">
        <f>IF(COUNTIF(Keeper!B:B,D355)&gt;0,"x","")</f>
        <v/>
      </c>
      <c r="D355" s="40">
        <f>Fantasypro!C353</f>
        <v/>
      </c>
      <c r="E355" s="40">
        <f>Fantasypro!D353</f>
        <v/>
      </c>
      <c r="F355">
        <f>Fantasypro!K353</f>
        <v/>
      </c>
      <c r="G355" s="39">
        <f>Fantasypro!H353</f>
        <v/>
      </c>
      <c r="H355" s="39">
        <f>Fantasypro!I353</f>
        <v/>
      </c>
      <c r="I355" s="50" t="n"/>
    </row>
    <row r="356" ht="13" customHeight="1" s="54">
      <c r="C356">
        <f>IF(COUNTIF(Keeper!B:B,D356)&gt;0,"x","")</f>
        <v/>
      </c>
      <c r="D356" s="40">
        <f>Fantasypro!C354</f>
        <v/>
      </c>
      <c r="E356" s="40">
        <f>Fantasypro!D354</f>
        <v/>
      </c>
      <c r="F356">
        <f>Fantasypro!K354</f>
        <v/>
      </c>
      <c r="G356" s="39">
        <f>Fantasypro!H354</f>
        <v/>
      </c>
      <c r="H356" s="39">
        <f>Fantasypro!I354</f>
        <v/>
      </c>
      <c r="I356" s="50" t="n"/>
    </row>
    <row r="357" ht="13" customHeight="1" s="54">
      <c r="D357" s="40">
        <f>Fantasypro!C355</f>
        <v/>
      </c>
      <c r="E357" s="40">
        <f>Fantasypro!D355</f>
        <v/>
      </c>
      <c r="F357">
        <f>Fantasypro!K355</f>
        <v/>
      </c>
      <c r="G357" s="39">
        <f>Fantasypro!H355</f>
        <v/>
      </c>
      <c r="H357" s="39">
        <f>Fantasypro!I355</f>
        <v/>
      </c>
      <c r="I357" s="50" t="n"/>
    </row>
    <row r="358" ht="13" customHeight="1" s="54">
      <c r="D358" s="40">
        <f>Fantasypro!C356</f>
        <v/>
      </c>
      <c r="E358" s="40">
        <f>Fantasypro!D356</f>
        <v/>
      </c>
      <c r="F358">
        <f>Fantasypro!K356</f>
        <v/>
      </c>
      <c r="G358" s="39">
        <f>Fantasypro!H356</f>
        <v/>
      </c>
      <c r="H358" s="39">
        <f>Fantasypro!I356</f>
        <v/>
      </c>
      <c r="I358" s="50" t="n"/>
    </row>
    <row r="359" ht="13" customHeight="1" s="54">
      <c r="D359" s="40">
        <f>Fantasypro!C357</f>
        <v/>
      </c>
      <c r="E359" s="40">
        <f>Fantasypro!D357</f>
        <v/>
      </c>
      <c r="F359">
        <f>Fantasypro!K357</f>
        <v/>
      </c>
      <c r="G359" s="39">
        <f>Fantasypro!H357</f>
        <v/>
      </c>
      <c r="H359" s="39">
        <f>Fantasypro!I357</f>
        <v/>
      </c>
      <c r="I359" s="50" t="n"/>
    </row>
    <row r="360" ht="13" customHeight="1" s="54">
      <c r="D360" s="40">
        <f>Fantasypro!C358</f>
        <v/>
      </c>
      <c r="E360" s="40">
        <f>Fantasypro!D358</f>
        <v/>
      </c>
      <c r="F360">
        <f>Fantasypro!K358</f>
        <v/>
      </c>
      <c r="G360" s="39">
        <f>Fantasypro!H358</f>
        <v/>
      </c>
      <c r="H360" s="39">
        <f>Fantasypro!I358</f>
        <v/>
      </c>
      <c r="I360" s="50" t="n"/>
    </row>
    <row r="361" ht="13" customHeight="1" s="54">
      <c r="D361" s="40">
        <f>Fantasypro!C359</f>
        <v/>
      </c>
      <c r="E361" s="40">
        <f>Fantasypro!D359</f>
        <v/>
      </c>
      <c r="F361">
        <f>Fantasypro!K359</f>
        <v/>
      </c>
      <c r="G361" s="39">
        <f>Fantasypro!H359</f>
        <v/>
      </c>
      <c r="H361" s="39">
        <f>Fantasypro!I359</f>
        <v/>
      </c>
      <c r="I361" s="50" t="n"/>
    </row>
    <row r="362" ht="13" customHeight="1" s="54">
      <c r="D362" s="40">
        <f>Fantasypro!C360</f>
        <v/>
      </c>
      <c r="E362" s="40">
        <f>Fantasypro!D360</f>
        <v/>
      </c>
      <c r="F362">
        <f>Fantasypro!K360</f>
        <v/>
      </c>
      <c r="G362" s="39">
        <f>Fantasypro!H360</f>
        <v/>
      </c>
      <c r="H362" s="39">
        <f>Fantasypro!I360</f>
        <v/>
      </c>
      <c r="I362" s="50" t="n"/>
    </row>
    <row r="363" ht="13" customHeight="1" s="54">
      <c r="D363" s="40">
        <f>Fantasypro!C361</f>
        <v/>
      </c>
      <c r="E363" s="40">
        <f>Fantasypro!D361</f>
        <v/>
      </c>
      <c r="F363">
        <f>Fantasypro!K361</f>
        <v/>
      </c>
      <c r="G363" s="39">
        <f>Fantasypro!H361</f>
        <v/>
      </c>
      <c r="H363" s="39">
        <f>Fantasypro!I361</f>
        <v/>
      </c>
      <c r="I363" s="50" t="n"/>
    </row>
    <row r="364" ht="13" customHeight="1" s="54">
      <c r="D364" s="40">
        <f>Fantasypro!C362</f>
        <v/>
      </c>
      <c r="E364" s="40">
        <f>Fantasypro!D362</f>
        <v/>
      </c>
      <c r="F364">
        <f>Fantasypro!K362</f>
        <v/>
      </c>
      <c r="G364" s="39">
        <f>Fantasypro!H362</f>
        <v/>
      </c>
      <c r="H364" s="39">
        <f>Fantasypro!I362</f>
        <v/>
      </c>
      <c r="I364" s="50" t="n"/>
    </row>
    <row r="365" ht="13" customHeight="1" s="54">
      <c r="D365" s="40">
        <f>Fantasypro!C363</f>
        <v/>
      </c>
      <c r="E365" s="40">
        <f>Fantasypro!D363</f>
        <v/>
      </c>
      <c r="F365">
        <f>Fantasypro!K363</f>
        <v/>
      </c>
      <c r="G365" s="39">
        <f>Fantasypro!H363</f>
        <v/>
      </c>
      <c r="H365" s="39">
        <f>Fantasypro!I363</f>
        <v/>
      </c>
      <c r="I365" s="50" t="n"/>
    </row>
    <row r="366" ht="13" customHeight="1" s="54">
      <c r="D366" s="40">
        <f>Fantasypro!C364</f>
        <v/>
      </c>
      <c r="E366" s="40">
        <f>Fantasypro!D364</f>
        <v/>
      </c>
      <c r="F366">
        <f>Fantasypro!K364</f>
        <v/>
      </c>
      <c r="G366" s="39">
        <f>Fantasypro!H364</f>
        <v/>
      </c>
      <c r="H366" s="39">
        <f>Fantasypro!I364</f>
        <v/>
      </c>
      <c r="I366" s="50" t="n"/>
    </row>
    <row r="367" ht="13" customHeight="1" s="54">
      <c r="D367" s="40">
        <f>Fantasypro!C365</f>
        <v/>
      </c>
      <c r="E367" s="40">
        <f>Fantasypro!D365</f>
        <v/>
      </c>
      <c r="F367">
        <f>Fantasypro!K365</f>
        <v/>
      </c>
      <c r="G367" s="39">
        <f>Fantasypro!H365</f>
        <v/>
      </c>
      <c r="H367" s="39">
        <f>Fantasypro!I365</f>
        <v/>
      </c>
      <c r="I367" s="50" t="n"/>
    </row>
    <row r="368" ht="13" customHeight="1" s="54">
      <c r="D368" s="40">
        <f>Fantasypro!C366</f>
        <v/>
      </c>
      <c r="E368" s="40">
        <f>Fantasypro!D366</f>
        <v/>
      </c>
      <c r="F368">
        <f>Fantasypro!K366</f>
        <v/>
      </c>
      <c r="G368" s="39">
        <f>Fantasypro!H366</f>
        <v/>
      </c>
      <c r="H368" s="39">
        <f>Fantasypro!I366</f>
        <v/>
      </c>
      <c r="I368" s="50" t="n"/>
    </row>
    <row r="369" ht="13" customHeight="1" s="54">
      <c r="D369" s="40">
        <f>Fantasypro!C367</f>
        <v/>
      </c>
      <c r="E369" s="40">
        <f>Fantasypro!D367</f>
        <v/>
      </c>
      <c r="F369">
        <f>Fantasypro!K367</f>
        <v/>
      </c>
      <c r="G369" s="39">
        <f>Fantasypro!H367</f>
        <v/>
      </c>
      <c r="H369" s="39">
        <f>Fantasypro!I367</f>
        <v/>
      </c>
      <c r="I369" s="50" t="n"/>
    </row>
    <row r="370" ht="13" customHeight="1" s="54">
      <c r="D370" s="40">
        <f>Fantasypro!C368</f>
        <v/>
      </c>
      <c r="E370" s="40">
        <f>Fantasypro!D368</f>
        <v/>
      </c>
      <c r="F370">
        <f>Fantasypro!K368</f>
        <v/>
      </c>
      <c r="G370" s="39">
        <f>Fantasypro!H368</f>
        <v/>
      </c>
      <c r="H370" s="39">
        <f>Fantasypro!I368</f>
        <v/>
      </c>
      <c r="I370" s="50" t="n"/>
    </row>
    <row r="371" ht="13" customHeight="1" s="54">
      <c r="D371" s="40">
        <f>Fantasypro!C369</f>
        <v/>
      </c>
      <c r="E371" s="40">
        <f>Fantasypro!D369</f>
        <v/>
      </c>
      <c r="F371">
        <f>Fantasypro!K369</f>
        <v/>
      </c>
      <c r="G371" s="39">
        <f>Fantasypro!H369</f>
        <v/>
      </c>
      <c r="H371" s="39">
        <f>Fantasypro!I369</f>
        <v/>
      </c>
      <c r="I371" s="50" t="n"/>
    </row>
    <row r="372" ht="13" customHeight="1" s="54">
      <c r="D372" s="40">
        <f>Fantasypro!C370</f>
        <v/>
      </c>
      <c r="E372" s="40">
        <f>Fantasypro!D370</f>
        <v/>
      </c>
      <c r="F372">
        <f>Fantasypro!K370</f>
        <v/>
      </c>
      <c r="G372" s="39">
        <f>Fantasypro!H370</f>
        <v/>
      </c>
      <c r="H372" s="39">
        <f>Fantasypro!I370</f>
        <v/>
      </c>
      <c r="I372" s="50" t="n"/>
    </row>
    <row r="373" ht="13" customHeight="1" s="54">
      <c r="D373" s="40">
        <f>Fantasypro!C371</f>
        <v/>
      </c>
      <c r="E373" s="40">
        <f>Fantasypro!D371</f>
        <v/>
      </c>
      <c r="F373">
        <f>Fantasypro!K371</f>
        <v/>
      </c>
      <c r="G373" s="39">
        <f>Fantasypro!H371</f>
        <v/>
      </c>
      <c r="H373" s="39">
        <f>Fantasypro!I371</f>
        <v/>
      </c>
      <c r="I373" s="50" t="n"/>
    </row>
    <row r="374" ht="13" customHeight="1" s="54">
      <c r="D374" s="40">
        <f>Fantasypro!C372</f>
        <v/>
      </c>
      <c r="E374" s="40">
        <f>Fantasypro!D372</f>
        <v/>
      </c>
      <c r="F374">
        <f>Fantasypro!K372</f>
        <v/>
      </c>
      <c r="G374" s="39">
        <f>Fantasypro!H372</f>
        <v/>
      </c>
      <c r="H374" s="39">
        <f>Fantasypro!I372</f>
        <v/>
      </c>
      <c r="I374" s="50" t="n"/>
    </row>
    <row r="375" ht="13" customHeight="1" s="54">
      <c r="D375" s="40">
        <f>Fantasypro!C373</f>
        <v/>
      </c>
      <c r="E375" s="40">
        <f>Fantasypro!D373</f>
        <v/>
      </c>
      <c r="F375">
        <f>Fantasypro!K373</f>
        <v/>
      </c>
      <c r="G375" s="39">
        <f>Fantasypro!H373</f>
        <v/>
      </c>
      <c r="H375" s="39">
        <f>Fantasypro!I373</f>
        <v/>
      </c>
      <c r="I375" s="50" t="n"/>
    </row>
    <row r="376" ht="13" customHeight="1" s="54">
      <c r="D376" s="40">
        <f>Fantasypro!C374</f>
        <v/>
      </c>
      <c r="E376" s="40">
        <f>Fantasypro!D374</f>
        <v/>
      </c>
      <c r="F376">
        <f>Fantasypro!K374</f>
        <v/>
      </c>
      <c r="G376" s="39">
        <f>Fantasypro!H374</f>
        <v/>
      </c>
      <c r="H376" s="39">
        <f>Fantasypro!I374</f>
        <v/>
      </c>
      <c r="I376" s="50" t="n"/>
    </row>
    <row r="377" ht="13" customHeight="1" s="54">
      <c r="I377" s="50" t="n"/>
    </row>
    <row r="378" ht="13" customHeight="1" s="54">
      <c r="I378" s="50" t="n"/>
    </row>
    <row r="379" ht="13" customHeight="1" s="54">
      <c r="I379" s="50" t="n"/>
    </row>
    <row r="380" ht="13" customHeight="1" s="54">
      <c r="I380" s="50" t="n"/>
    </row>
    <row r="381" ht="13" customHeight="1" s="54">
      <c r="I381" s="50" t="n"/>
    </row>
    <row r="382" ht="13" customHeight="1" s="54">
      <c r="I382" s="50" t="n"/>
    </row>
    <row r="383" ht="13" customHeight="1" s="54">
      <c r="I383" s="50" t="n"/>
    </row>
    <row r="384" ht="13" customHeight="1" s="54">
      <c r="I384" s="50" t="n"/>
    </row>
    <row r="385" ht="13" customHeight="1" s="54">
      <c r="I385" s="50" t="n"/>
    </row>
    <row r="386" ht="13" customHeight="1" s="54">
      <c r="I386" s="50" t="n"/>
    </row>
    <row r="387" ht="13" customHeight="1" s="54">
      <c r="I387" s="50" t="n"/>
    </row>
    <row r="388" ht="13" customHeight="1" s="54">
      <c r="I388" s="50" t="n"/>
    </row>
    <row r="389" ht="13" customHeight="1" s="54">
      <c r="I389" s="50" t="n"/>
    </row>
    <row r="390" ht="13" customHeight="1" s="54">
      <c r="I390" s="50" t="n"/>
    </row>
    <row r="391" ht="13" customHeight="1" s="54">
      <c r="I391" s="50" t="n"/>
    </row>
    <row r="392" ht="13" customHeight="1" s="54">
      <c r="I392" s="50" t="n"/>
    </row>
    <row r="393" ht="13" customHeight="1" s="54">
      <c r="I393" s="50" t="n"/>
    </row>
    <row r="394" ht="13" customHeight="1" s="54">
      <c r="I394" s="50" t="n"/>
    </row>
    <row r="395" ht="13" customHeight="1" s="54">
      <c r="I395" s="50" t="n"/>
    </row>
    <row r="396" ht="13" customHeight="1" s="54">
      <c r="I396" s="50" t="n"/>
    </row>
    <row r="397" ht="13" customHeight="1" s="54">
      <c r="I397" s="50" t="n"/>
    </row>
    <row r="398" ht="13" customHeight="1" s="54">
      <c r="I398" s="50" t="n"/>
    </row>
    <row r="399" ht="13" customHeight="1" s="54">
      <c r="I399" s="50" t="n"/>
    </row>
    <row r="400" ht="13" customHeight="1" s="54">
      <c r="I400" s="50" t="n"/>
    </row>
    <row r="401" ht="13" customHeight="1" s="54">
      <c r="I401" s="50" t="n"/>
    </row>
    <row r="402" ht="13" customHeight="1" s="54">
      <c r="I402" s="50" t="n"/>
    </row>
    <row r="403" ht="13" customHeight="1" s="54">
      <c r="I403" s="50" t="n"/>
    </row>
    <row r="404" ht="13" customHeight="1" s="54">
      <c r="I404" s="50" t="n"/>
    </row>
    <row r="405" ht="13" customHeight="1" s="54">
      <c r="I405" s="50" t="n"/>
    </row>
    <row r="406" ht="13" customHeight="1" s="54">
      <c r="I406" s="50" t="n"/>
    </row>
    <row r="407" ht="13" customHeight="1" s="54">
      <c r="I407" s="50" t="n"/>
    </row>
    <row r="408" ht="13" customHeight="1" s="54">
      <c r="I408" s="50" t="n"/>
    </row>
    <row r="409" ht="13" customHeight="1" s="54">
      <c r="I409" s="50" t="n"/>
    </row>
    <row r="410" ht="13" customHeight="1" s="54">
      <c r="I410" s="50" t="n"/>
    </row>
    <row r="411" ht="13" customHeight="1" s="54">
      <c r="I411" s="50" t="n"/>
    </row>
    <row r="412" ht="13" customHeight="1" s="54">
      <c r="I412" s="50" t="n"/>
    </row>
    <row r="413" ht="13" customHeight="1" s="54">
      <c r="I413" s="50" t="n"/>
    </row>
    <row r="414" ht="13" customHeight="1" s="54">
      <c r="I414" s="50" t="n"/>
    </row>
    <row r="415" ht="13" customHeight="1" s="54">
      <c r="I415" s="50" t="n"/>
    </row>
    <row r="416" ht="13" customHeight="1" s="54">
      <c r="I416" s="50" t="n"/>
    </row>
    <row r="417" ht="13" customHeight="1" s="54">
      <c r="I417" s="50" t="n"/>
    </row>
    <row r="418" ht="13" customHeight="1" s="54">
      <c r="I418" s="50" t="n"/>
    </row>
    <row r="419" ht="13" customHeight="1" s="54">
      <c r="I419" s="50" t="n"/>
    </row>
    <row r="420" ht="13" customHeight="1" s="54">
      <c r="I420" s="50" t="n"/>
    </row>
    <row r="421" ht="13" customHeight="1" s="54">
      <c r="I421" s="50" t="n"/>
    </row>
    <row r="422" ht="13" customHeight="1" s="54">
      <c r="I422" s="50" t="n"/>
    </row>
    <row r="423" ht="13" customHeight="1" s="54">
      <c r="I423" s="50" t="n"/>
    </row>
    <row r="424" ht="13" customHeight="1" s="54">
      <c r="I424" s="50" t="n"/>
    </row>
    <row r="425" ht="13" customHeight="1" s="54">
      <c r="I425" s="50" t="n"/>
    </row>
    <row r="426" ht="13" customHeight="1" s="54">
      <c r="I426" s="50" t="n"/>
    </row>
    <row r="427" ht="13" customHeight="1" s="54">
      <c r="I427" s="50" t="n"/>
    </row>
    <row r="428" ht="13" customHeight="1" s="54">
      <c r="I428" s="50" t="n"/>
    </row>
    <row r="429" ht="13" customHeight="1" s="54">
      <c r="I429" s="50" t="n"/>
    </row>
    <row r="430" ht="13" customHeight="1" s="54">
      <c r="I430" s="50" t="n"/>
    </row>
    <row r="431" ht="13" customHeight="1" s="54">
      <c r="I431" s="50" t="n"/>
    </row>
    <row r="432" ht="13" customHeight="1" s="54">
      <c r="I432" s="50" t="n"/>
    </row>
    <row r="433" ht="13" customHeight="1" s="54">
      <c r="I433" s="50" t="n"/>
    </row>
    <row r="434" ht="13" customHeight="1" s="54">
      <c r="I434" s="50" t="n"/>
    </row>
    <row r="435" ht="13" customHeight="1" s="54">
      <c r="I435" s="50" t="n"/>
    </row>
    <row r="436" ht="13" customHeight="1" s="54">
      <c r="I436" s="50" t="n"/>
    </row>
    <row r="437" ht="13" customHeight="1" s="54">
      <c r="I437" s="50" t="n"/>
    </row>
    <row r="438" ht="13" customHeight="1" s="54">
      <c r="I438" s="50" t="n"/>
    </row>
    <row r="439" ht="13" customHeight="1" s="54">
      <c r="I439" s="50" t="n"/>
    </row>
    <row r="440" ht="13" customHeight="1" s="54">
      <c r="I440" s="50" t="n"/>
    </row>
    <row r="441" ht="13" customHeight="1" s="54">
      <c r="I441" s="50" t="n"/>
    </row>
    <row r="442" ht="13" customHeight="1" s="54">
      <c r="I442" s="50" t="n"/>
    </row>
    <row r="443" ht="13" customHeight="1" s="54">
      <c r="I443" s="50" t="n"/>
    </row>
    <row r="444" ht="13" customHeight="1" s="54">
      <c r="I444" s="50" t="n"/>
    </row>
    <row r="445" ht="13" customHeight="1" s="54">
      <c r="I445" s="50" t="n"/>
    </row>
    <row r="446" ht="13" customHeight="1" s="54">
      <c r="I446" s="50" t="n"/>
    </row>
    <row r="447" ht="13" customHeight="1" s="54">
      <c r="I447" s="50" t="n"/>
    </row>
    <row r="448" ht="13" customHeight="1" s="54">
      <c r="I448" s="50" t="n"/>
    </row>
    <row r="449" ht="13" customHeight="1" s="54">
      <c r="I449" s="50" t="n"/>
    </row>
    <row r="450" ht="13" customHeight="1" s="54">
      <c r="I450" s="50" t="n"/>
    </row>
    <row r="451" ht="13" customHeight="1" s="54">
      <c r="I451" s="50" t="n"/>
    </row>
    <row r="452" ht="13" customHeight="1" s="54">
      <c r="I452" s="50" t="n"/>
    </row>
    <row r="453" ht="13" customHeight="1" s="54">
      <c r="I453" s="50" t="n"/>
    </row>
    <row r="454" ht="13" customHeight="1" s="54">
      <c r="I454" s="50" t="n"/>
    </row>
    <row r="455" ht="13" customHeight="1" s="54">
      <c r="I455" s="50" t="n"/>
    </row>
    <row r="456" ht="13" customHeight="1" s="54">
      <c r="I456" s="50" t="n"/>
    </row>
    <row r="457" ht="13" customHeight="1" s="54">
      <c r="I457" s="50" t="n"/>
    </row>
    <row r="458" ht="13" customHeight="1" s="54">
      <c r="I458" s="50" t="n"/>
    </row>
    <row r="459" ht="13" customHeight="1" s="54">
      <c r="I459" s="50" t="n"/>
    </row>
    <row r="460" ht="13" customHeight="1" s="54">
      <c r="I460" s="50" t="n"/>
    </row>
    <row r="461" ht="13" customHeight="1" s="54">
      <c r="I461" s="50" t="n"/>
    </row>
    <row r="462" ht="13" customHeight="1" s="54">
      <c r="I462" s="50" t="n"/>
    </row>
    <row r="463" ht="13" customHeight="1" s="54">
      <c r="I463" s="50" t="n"/>
    </row>
    <row r="464" ht="13" customHeight="1" s="54">
      <c r="I464" s="50" t="n"/>
    </row>
    <row r="465" ht="13" customHeight="1" s="54">
      <c r="I465" s="50" t="n"/>
    </row>
    <row r="466" ht="13" customHeight="1" s="54">
      <c r="I466" s="50" t="n"/>
    </row>
    <row r="467" ht="13" customHeight="1" s="54">
      <c r="I467" s="50" t="n"/>
    </row>
    <row r="468" ht="13" customHeight="1" s="54">
      <c r="I468" s="50" t="n"/>
    </row>
    <row r="469" ht="13" customHeight="1" s="54">
      <c r="I469" s="50" t="n"/>
    </row>
    <row r="470" ht="13" customHeight="1" s="54">
      <c r="I470" s="50" t="n"/>
    </row>
    <row r="471" ht="13" customHeight="1" s="54">
      <c r="I471" s="50" t="n"/>
    </row>
    <row r="472" ht="13" customHeight="1" s="54">
      <c r="I472" s="50" t="n"/>
    </row>
    <row r="473" ht="13" customHeight="1" s="54">
      <c r="I473" s="50" t="n"/>
    </row>
    <row r="474" ht="13" customHeight="1" s="54">
      <c r="I474" s="50" t="n"/>
    </row>
    <row r="475" ht="13" customHeight="1" s="54">
      <c r="I475" s="50" t="n"/>
    </row>
    <row r="476" ht="13" customHeight="1" s="54">
      <c r="I476" s="50" t="n"/>
    </row>
    <row r="477" ht="13" customHeight="1" s="54">
      <c r="I477" s="50" t="n"/>
    </row>
    <row r="478" ht="13" customHeight="1" s="54">
      <c r="I478" s="50" t="n"/>
    </row>
    <row r="479" ht="13" customHeight="1" s="54">
      <c r="I479" s="50" t="n"/>
    </row>
    <row r="480" ht="13" customHeight="1" s="54">
      <c r="I480" s="50" t="n"/>
    </row>
    <row r="481" ht="13" customHeight="1" s="54">
      <c r="I481" s="50" t="n"/>
    </row>
    <row r="482" ht="13" customHeight="1" s="54">
      <c r="I482" s="50" t="n"/>
    </row>
    <row r="483" ht="13" customHeight="1" s="54">
      <c r="I483" s="50" t="n"/>
    </row>
    <row r="484" ht="13" customHeight="1" s="54">
      <c r="I484" s="50" t="n"/>
    </row>
    <row r="485" ht="13" customHeight="1" s="54">
      <c r="I485" s="50" t="n"/>
    </row>
    <row r="486" ht="13" customHeight="1" s="54">
      <c r="I486" s="50" t="n"/>
    </row>
    <row r="487" ht="13" customHeight="1" s="54">
      <c r="I487" s="50" t="n"/>
    </row>
    <row r="488" ht="13" customHeight="1" s="54">
      <c r="I488" s="50" t="n"/>
    </row>
    <row r="489" ht="13" customHeight="1" s="54">
      <c r="I489" s="50" t="n"/>
    </row>
    <row r="490" ht="13" customHeight="1" s="54">
      <c r="I490" s="50" t="n"/>
    </row>
    <row r="491" ht="13" customHeight="1" s="54">
      <c r="I491" s="50" t="n"/>
    </row>
    <row r="492" ht="13" customHeight="1" s="54">
      <c r="I492" s="50" t="n"/>
    </row>
    <row r="493" ht="13" customHeight="1" s="54">
      <c r="I493" s="50" t="n"/>
    </row>
    <row r="494" ht="13" customHeight="1" s="54">
      <c r="I494" s="50" t="n"/>
    </row>
    <row r="495" ht="13" customHeight="1" s="54">
      <c r="I495" s="50" t="n"/>
    </row>
    <row r="496" ht="13" customHeight="1" s="54">
      <c r="I496" s="50" t="n"/>
    </row>
    <row r="497" ht="13" customHeight="1" s="54">
      <c r="I497" s="50" t="n"/>
    </row>
    <row r="498" ht="13" customHeight="1" s="54">
      <c r="I498" s="50" t="n"/>
    </row>
    <row r="499" ht="13" customHeight="1" s="54">
      <c r="I499" s="50" t="n"/>
    </row>
    <row r="500" ht="13" customHeight="1" s="54">
      <c r="I500" s="50" t="n"/>
    </row>
    <row r="501" ht="13" customHeight="1" s="54">
      <c r="I501" s="50" t="n"/>
    </row>
    <row r="502" ht="13" customHeight="1" s="54">
      <c r="I502" s="50" t="n"/>
    </row>
    <row r="503" ht="13" customHeight="1" s="54">
      <c r="I503" s="50" t="n"/>
    </row>
    <row r="504" ht="13" customHeight="1" s="54">
      <c r="I504" s="50" t="n"/>
    </row>
    <row r="505" ht="13" customHeight="1" s="54">
      <c r="I505" s="50" t="n"/>
    </row>
    <row r="506" ht="13" customHeight="1" s="54">
      <c r="I506" s="50" t="n"/>
    </row>
    <row r="507" ht="13" customHeight="1" s="54">
      <c r="I507" s="50" t="n"/>
    </row>
    <row r="508" ht="13" customHeight="1" s="54">
      <c r="I508" s="50" t="n"/>
    </row>
    <row r="509" ht="13" customHeight="1" s="54">
      <c r="I509" s="50" t="n"/>
    </row>
    <row r="510" ht="13" customHeight="1" s="54">
      <c r="I510" s="50" t="n"/>
    </row>
    <row r="511" ht="13" customHeight="1" s="54">
      <c r="I511" s="50" t="n"/>
    </row>
    <row r="512" ht="13" customHeight="1" s="54">
      <c r="I512" s="50" t="n"/>
    </row>
    <row r="513" ht="13" customHeight="1" s="54">
      <c r="I513" s="50" t="n"/>
    </row>
    <row r="514" ht="13" customHeight="1" s="54">
      <c r="I514" s="50" t="n"/>
    </row>
    <row r="515" ht="13" customHeight="1" s="54">
      <c r="I515" s="50" t="n"/>
    </row>
    <row r="516" ht="13" customHeight="1" s="54">
      <c r="I516" s="50" t="n"/>
    </row>
    <row r="517" ht="13" customHeight="1" s="54">
      <c r="I517" s="50" t="n"/>
    </row>
    <row r="518" ht="13" customHeight="1" s="54">
      <c r="I518" s="50" t="n"/>
    </row>
    <row r="519" ht="13" customHeight="1" s="54">
      <c r="I519" s="50" t="n"/>
    </row>
    <row r="520" ht="13" customHeight="1" s="54">
      <c r="I520" s="50" t="n"/>
    </row>
    <row r="521" ht="13" customHeight="1" s="54">
      <c r="I521" s="50" t="n"/>
    </row>
    <row r="522" ht="13" customHeight="1" s="54">
      <c r="I522" s="50" t="n"/>
    </row>
    <row r="523" ht="13" customHeight="1" s="54">
      <c r="I523" s="50" t="n"/>
    </row>
    <row r="524" ht="13" customHeight="1" s="54">
      <c r="I524" s="50" t="n"/>
    </row>
    <row r="525" ht="13" customHeight="1" s="54">
      <c r="I525" s="50" t="n"/>
    </row>
    <row r="526" ht="13" customHeight="1" s="54">
      <c r="I526" s="50" t="n"/>
    </row>
    <row r="527" ht="13" customHeight="1" s="54">
      <c r="I527" s="50" t="n"/>
    </row>
    <row r="528" ht="13" customHeight="1" s="54">
      <c r="I528" s="50" t="n"/>
    </row>
    <row r="529" ht="13" customHeight="1" s="54">
      <c r="I529" s="50" t="n"/>
    </row>
    <row r="530" ht="13" customHeight="1" s="54">
      <c r="I530" s="50" t="n"/>
    </row>
    <row r="531" ht="13" customHeight="1" s="54">
      <c r="I531" s="50" t="n"/>
    </row>
    <row r="532" ht="13" customHeight="1" s="54">
      <c r="I532" s="50" t="n"/>
    </row>
    <row r="533" ht="13" customHeight="1" s="54">
      <c r="I533" s="50" t="n"/>
    </row>
    <row r="534" ht="13" customHeight="1" s="54">
      <c r="I534" s="50" t="n"/>
    </row>
    <row r="535" ht="13" customHeight="1" s="54">
      <c r="I535" s="50" t="n"/>
    </row>
    <row r="536" ht="13" customHeight="1" s="54">
      <c r="I536" s="50" t="n"/>
    </row>
    <row r="537" ht="13" customHeight="1" s="54">
      <c r="I537" s="50" t="n"/>
    </row>
    <row r="538" ht="13" customHeight="1" s="54">
      <c r="I538" s="50" t="n"/>
    </row>
    <row r="539" ht="13" customHeight="1" s="54">
      <c r="I539" s="50" t="n"/>
    </row>
    <row r="540" ht="13" customHeight="1" s="54">
      <c r="I540" s="50" t="n"/>
    </row>
    <row r="541" ht="13" customHeight="1" s="54">
      <c r="I541" s="50" t="n"/>
    </row>
    <row r="542" ht="13" customHeight="1" s="54">
      <c r="I542" s="50" t="n"/>
    </row>
    <row r="543" ht="13" customHeight="1" s="54">
      <c r="I543" s="50" t="n"/>
    </row>
    <row r="544" ht="13" customHeight="1" s="54">
      <c r="I544" s="50" t="n"/>
    </row>
    <row r="545" ht="13" customHeight="1" s="54">
      <c r="I545" s="50" t="n"/>
    </row>
    <row r="546" ht="13" customHeight="1" s="54">
      <c r="I546" s="50" t="n"/>
    </row>
    <row r="547" ht="13" customHeight="1" s="54">
      <c r="I547" s="50" t="n"/>
    </row>
    <row r="548" ht="13" customHeight="1" s="54">
      <c r="I548" s="50" t="n"/>
    </row>
    <row r="549" ht="13" customHeight="1" s="54">
      <c r="I549" s="50" t="n"/>
    </row>
    <row r="550" ht="13" customHeight="1" s="54">
      <c r="I550" s="50" t="n"/>
    </row>
    <row r="551" ht="13" customHeight="1" s="54">
      <c r="I551" s="50" t="n"/>
    </row>
    <row r="552" ht="13" customHeight="1" s="54">
      <c r="I552" s="50" t="n"/>
    </row>
    <row r="553" ht="13" customHeight="1" s="54">
      <c r="I553" s="50" t="n"/>
    </row>
    <row r="554" ht="13" customHeight="1" s="54">
      <c r="I554" s="50" t="n"/>
    </row>
    <row r="555" ht="13" customHeight="1" s="54">
      <c r="I555" s="50" t="n"/>
    </row>
    <row r="556" ht="13" customHeight="1" s="54">
      <c r="I556" s="50" t="n"/>
    </row>
    <row r="557" ht="13" customHeight="1" s="54">
      <c r="I557" s="50" t="n"/>
    </row>
    <row r="558" ht="13" customHeight="1" s="54">
      <c r="I558" s="50" t="n"/>
    </row>
    <row r="559" ht="13" customHeight="1" s="54">
      <c r="I559" s="50" t="n"/>
    </row>
    <row r="560" ht="13" customHeight="1" s="54">
      <c r="I560" s="50" t="n"/>
    </row>
    <row r="561" ht="13" customHeight="1" s="54">
      <c r="I561" s="50" t="n"/>
    </row>
    <row r="562" ht="13" customHeight="1" s="54">
      <c r="I562" s="50" t="n"/>
    </row>
    <row r="563" ht="13" customHeight="1" s="54">
      <c r="I563" s="50" t="n"/>
    </row>
    <row r="564" ht="13" customHeight="1" s="54">
      <c r="I564" s="50" t="n"/>
    </row>
    <row r="565" ht="13" customHeight="1" s="54">
      <c r="I565" s="50" t="n"/>
    </row>
    <row r="566" ht="13" customHeight="1" s="54">
      <c r="I566" s="50" t="n"/>
    </row>
    <row r="567" ht="13" customHeight="1" s="54">
      <c r="I567" s="50" t="n"/>
    </row>
    <row r="568" ht="13" customHeight="1" s="54">
      <c r="I568" s="50" t="n"/>
    </row>
    <row r="569" ht="13" customHeight="1" s="54">
      <c r="I569" s="50" t="n"/>
    </row>
    <row r="570" ht="13" customHeight="1" s="54">
      <c r="I570" s="50" t="n"/>
    </row>
    <row r="571" ht="13" customHeight="1" s="54">
      <c r="I571" s="50" t="n"/>
    </row>
    <row r="572" ht="13" customHeight="1" s="54">
      <c r="I572" s="50" t="n"/>
    </row>
    <row r="573" ht="13" customHeight="1" s="54">
      <c r="I573" s="50" t="n"/>
    </row>
    <row r="574" ht="13" customHeight="1" s="54">
      <c r="I574" s="50" t="n"/>
    </row>
    <row r="575" ht="13" customHeight="1" s="54">
      <c r="I575" s="50" t="n"/>
    </row>
    <row r="576" ht="13" customHeight="1" s="54">
      <c r="I576" s="50" t="n"/>
    </row>
    <row r="577" ht="13" customHeight="1" s="54">
      <c r="I577" s="50" t="n"/>
    </row>
    <row r="578" ht="13" customHeight="1" s="54">
      <c r="I578" s="50" t="n"/>
    </row>
    <row r="579" ht="13" customHeight="1" s="54">
      <c r="I579" s="50" t="n"/>
    </row>
    <row r="580" ht="13" customHeight="1" s="54">
      <c r="I580" s="50" t="n"/>
    </row>
    <row r="581" ht="13" customHeight="1" s="54">
      <c r="I581" s="50" t="n"/>
    </row>
    <row r="582" ht="13" customHeight="1" s="54">
      <c r="I582" s="50" t="n"/>
    </row>
    <row r="583" ht="13" customHeight="1" s="54">
      <c r="I583" s="50" t="n"/>
    </row>
    <row r="584" ht="13" customHeight="1" s="54">
      <c r="I584" s="50" t="n"/>
    </row>
    <row r="585" ht="13" customHeight="1" s="54">
      <c r="I585" s="50" t="n"/>
    </row>
    <row r="586" ht="13" customHeight="1" s="54">
      <c r="I586" s="50" t="n"/>
    </row>
    <row r="587" ht="13" customHeight="1" s="54">
      <c r="I587" s="50" t="n"/>
    </row>
    <row r="588" ht="13" customHeight="1" s="54">
      <c r="I588" s="50" t="n"/>
    </row>
    <row r="589" ht="13" customHeight="1" s="54">
      <c r="I589" s="50" t="n"/>
    </row>
    <row r="590" ht="13" customHeight="1" s="54">
      <c r="I590" s="50" t="n"/>
    </row>
    <row r="591" ht="13" customHeight="1" s="54">
      <c r="I591" s="50" t="n"/>
    </row>
    <row r="592" ht="13" customHeight="1" s="54">
      <c r="I592" s="50" t="n"/>
    </row>
    <row r="593" ht="13" customHeight="1" s="54">
      <c r="I593" s="50" t="n"/>
    </row>
    <row r="594" ht="13" customHeight="1" s="54">
      <c r="I594" s="50" t="n"/>
    </row>
    <row r="595" ht="13" customHeight="1" s="54">
      <c r="I595" s="50" t="n"/>
    </row>
    <row r="596" ht="13" customHeight="1" s="54">
      <c r="I596" s="50" t="n"/>
    </row>
    <row r="597" ht="13" customHeight="1" s="54">
      <c r="I597" s="50" t="n"/>
    </row>
    <row r="598" ht="13" customHeight="1" s="54">
      <c r="I598" s="50" t="n"/>
    </row>
    <row r="599" ht="13" customHeight="1" s="54">
      <c r="I599" s="50" t="n"/>
    </row>
    <row r="600" ht="13" customHeight="1" s="54">
      <c r="I600" s="50" t="n"/>
    </row>
    <row r="601" ht="13" customHeight="1" s="54">
      <c r="I601" s="50" t="n"/>
    </row>
    <row r="602" ht="13" customHeight="1" s="54">
      <c r="I602" s="50" t="n"/>
    </row>
    <row r="603" ht="13" customHeight="1" s="54">
      <c r="I603" s="50" t="n"/>
    </row>
    <row r="604" ht="13" customHeight="1" s="54">
      <c r="I604" s="50" t="n"/>
    </row>
    <row r="605" ht="13" customHeight="1" s="54">
      <c r="I605" s="50" t="n"/>
    </row>
    <row r="606" ht="13" customHeight="1" s="54">
      <c r="I606" s="50" t="n"/>
    </row>
    <row r="607" ht="13" customHeight="1" s="54">
      <c r="I607" s="50" t="n"/>
    </row>
    <row r="608" ht="13" customHeight="1" s="54">
      <c r="I608" s="50" t="n"/>
    </row>
    <row r="609" ht="13" customHeight="1" s="54">
      <c r="I609" s="50" t="n"/>
    </row>
    <row r="610" ht="13" customHeight="1" s="54">
      <c r="I610" s="50" t="n"/>
    </row>
    <row r="611" ht="13" customHeight="1" s="54">
      <c r="I611" s="50" t="n"/>
    </row>
    <row r="612" ht="13" customHeight="1" s="54">
      <c r="I612" s="50" t="n"/>
    </row>
    <row r="613" ht="13" customHeight="1" s="54">
      <c r="I613" s="50" t="n"/>
    </row>
    <row r="614" ht="13" customHeight="1" s="54">
      <c r="I614" s="50" t="n"/>
    </row>
    <row r="615" ht="13" customHeight="1" s="54">
      <c r="I615" s="50" t="n"/>
    </row>
    <row r="616" ht="13" customHeight="1" s="54">
      <c r="I616" s="50" t="n"/>
    </row>
    <row r="617" ht="13" customHeight="1" s="54">
      <c r="I617" s="50" t="n"/>
    </row>
    <row r="618" ht="13" customHeight="1" s="54">
      <c r="I618" s="50" t="n"/>
    </row>
    <row r="619" ht="13" customHeight="1" s="54">
      <c r="I619" s="50" t="n"/>
    </row>
    <row r="620" ht="13" customHeight="1" s="54">
      <c r="I620" s="50" t="n"/>
    </row>
    <row r="621" ht="13" customHeight="1" s="54">
      <c r="I621" s="50" t="n"/>
    </row>
    <row r="622" ht="13" customHeight="1" s="54">
      <c r="I622" s="50" t="n"/>
    </row>
    <row r="623" ht="13" customHeight="1" s="54">
      <c r="I623" s="50" t="n"/>
    </row>
    <row r="624" ht="13" customHeight="1" s="54">
      <c r="I624" s="50" t="n"/>
    </row>
    <row r="625" ht="13" customHeight="1" s="54">
      <c r="I625" s="50" t="n"/>
    </row>
    <row r="626" ht="13" customHeight="1" s="54">
      <c r="I626" s="50" t="n"/>
    </row>
    <row r="627" ht="13" customHeight="1" s="54">
      <c r="I627" s="50" t="n"/>
    </row>
    <row r="628" ht="13" customHeight="1" s="54">
      <c r="I628" s="50" t="n"/>
    </row>
    <row r="629" ht="13" customHeight="1" s="54">
      <c r="I629" s="50" t="n"/>
    </row>
    <row r="630" ht="13" customHeight="1" s="54">
      <c r="I630" s="50" t="n"/>
    </row>
    <row r="631" ht="13" customHeight="1" s="54">
      <c r="I631" s="50" t="n"/>
    </row>
    <row r="632" ht="13" customHeight="1" s="54">
      <c r="I632" s="50" t="n"/>
    </row>
    <row r="633" ht="13" customHeight="1" s="54">
      <c r="I633" s="50" t="n"/>
    </row>
    <row r="634" ht="13" customHeight="1" s="54">
      <c r="I634" s="50" t="n"/>
    </row>
    <row r="635" ht="13" customHeight="1" s="54">
      <c r="I635" s="50" t="n"/>
    </row>
    <row r="636" ht="13" customHeight="1" s="54">
      <c r="I636" s="50" t="n"/>
    </row>
    <row r="637" ht="13" customHeight="1" s="54">
      <c r="I637" s="50" t="n"/>
    </row>
    <row r="638" ht="13" customHeight="1" s="54">
      <c r="I638" s="50" t="n"/>
    </row>
    <row r="639" ht="13" customHeight="1" s="54">
      <c r="I639" s="50" t="n"/>
    </row>
    <row r="640" ht="13" customHeight="1" s="54">
      <c r="I640" s="50" t="n"/>
    </row>
    <row r="641" ht="13" customHeight="1" s="54">
      <c r="I641" s="50" t="n"/>
    </row>
    <row r="642" ht="13" customHeight="1" s="54">
      <c r="I642" s="50" t="n"/>
    </row>
    <row r="643" ht="13" customHeight="1" s="54">
      <c r="I643" s="50" t="n"/>
    </row>
    <row r="644" ht="13" customHeight="1" s="54">
      <c r="I644" s="50" t="n"/>
    </row>
    <row r="645" ht="13" customHeight="1" s="54">
      <c r="I645" s="50" t="n"/>
    </row>
    <row r="646" ht="13" customHeight="1" s="54">
      <c r="I646" s="50" t="n"/>
    </row>
    <row r="647" ht="13" customHeight="1" s="54">
      <c r="I647" s="50" t="n"/>
    </row>
    <row r="648" ht="13" customHeight="1" s="54">
      <c r="I648" s="50" t="n"/>
    </row>
    <row r="649" ht="13" customHeight="1" s="54">
      <c r="I649" s="50" t="n"/>
    </row>
    <row r="650" ht="13" customHeight="1" s="54">
      <c r="I650" s="50" t="n"/>
    </row>
    <row r="651" ht="13" customHeight="1" s="54">
      <c r="I651" s="50" t="n"/>
    </row>
    <row r="652" ht="13" customHeight="1" s="54">
      <c r="I652" s="50" t="n"/>
    </row>
    <row r="653" ht="13" customHeight="1" s="54">
      <c r="I653" s="50" t="n"/>
    </row>
    <row r="654" ht="13" customHeight="1" s="54">
      <c r="I654" s="50" t="n"/>
    </row>
    <row r="655" ht="13" customHeight="1" s="54">
      <c r="I655" s="50" t="n"/>
    </row>
    <row r="656" ht="13" customHeight="1" s="54">
      <c r="I656" s="50" t="n"/>
    </row>
    <row r="657" ht="13" customHeight="1" s="54">
      <c r="I657" s="50" t="n"/>
    </row>
    <row r="658" ht="13" customHeight="1" s="54">
      <c r="I658" s="50" t="n"/>
    </row>
    <row r="659" ht="13" customHeight="1" s="54">
      <c r="I659" s="50" t="n"/>
    </row>
    <row r="660" ht="13" customHeight="1" s="54">
      <c r="I660" s="50" t="n"/>
    </row>
    <row r="661" ht="13" customHeight="1" s="54">
      <c r="I661" s="50" t="n"/>
    </row>
    <row r="662" ht="13" customHeight="1" s="54">
      <c r="I662" s="50" t="n"/>
    </row>
    <row r="663" ht="13" customHeight="1" s="54">
      <c r="I663" s="50" t="n"/>
    </row>
    <row r="664" ht="13" customHeight="1" s="54">
      <c r="I664" s="50" t="n"/>
    </row>
    <row r="665" ht="13" customHeight="1" s="54">
      <c r="I665" s="50" t="n"/>
    </row>
    <row r="666" ht="13" customHeight="1" s="54">
      <c r="I666" s="50" t="n"/>
    </row>
    <row r="667" ht="13" customHeight="1" s="54">
      <c r="I667" s="50" t="n"/>
    </row>
    <row r="668" ht="13" customHeight="1" s="54">
      <c r="I668" s="50" t="n"/>
    </row>
    <row r="669" ht="13" customHeight="1" s="54">
      <c r="I669" s="50" t="n"/>
    </row>
    <row r="670" ht="13" customHeight="1" s="54">
      <c r="I670" s="50" t="n"/>
    </row>
    <row r="671" ht="13" customHeight="1" s="54">
      <c r="I671" s="50" t="n"/>
    </row>
    <row r="672" ht="13" customHeight="1" s="54">
      <c r="I672" s="50" t="n"/>
    </row>
    <row r="673" ht="13" customHeight="1" s="54">
      <c r="I673" s="50" t="n"/>
    </row>
    <row r="674" ht="13" customHeight="1" s="54">
      <c r="I674" s="50" t="n"/>
    </row>
    <row r="675" ht="13" customHeight="1" s="54">
      <c r="I675" s="50" t="n"/>
    </row>
    <row r="676" ht="13" customHeight="1" s="54">
      <c r="I676" s="50" t="n"/>
    </row>
    <row r="677" ht="13" customHeight="1" s="54">
      <c r="I677" s="50" t="n"/>
    </row>
    <row r="678" ht="13" customHeight="1" s="54">
      <c r="I678" s="50" t="n"/>
    </row>
    <row r="679" ht="13" customHeight="1" s="54">
      <c r="I679" s="50" t="n"/>
    </row>
    <row r="680" ht="13" customHeight="1" s="54">
      <c r="I680" s="50" t="n"/>
    </row>
    <row r="681" ht="13" customHeight="1" s="54">
      <c r="I681" s="50" t="n"/>
    </row>
    <row r="682" ht="13" customHeight="1" s="54">
      <c r="I682" s="50" t="n"/>
    </row>
    <row r="683" ht="13" customHeight="1" s="54">
      <c r="I683" s="50" t="n"/>
    </row>
    <row r="684" ht="13" customHeight="1" s="54">
      <c r="I684" s="50" t="n"/>
    </row>
    <row r="685" ht="13" customHeight="1" s="54">
      <c r="I685" s="50" t="n"/>
    </row>
    <row r="686" ht="13" customHeight="1" s="54">
      <c r="I686" s="50" t="n"/>
    </row>
    <row r="687" ht="13" customHeight="1" s="54">
      <c r="I687" s="50" t="n"/>
    </row>
    <row r="688" ht="13" customHeight="1" s="54">
      <c r="I688" s="50" t="n"/>
    </row>
    <row r="689" ht="13" customHeight="1" s="54">
      <c r="I689" s="50" t="n"/>
    </row>
    <row r="690" ht="13" customHeight="1" s="54">
      <c r="I690" s="50" t="n"/>
    </row>
    <row r="691" ht="13" customHeight="1" s="54">
      <c r="I691" s="50" t="n"/>
    </row>
    <row r="692" ht="13" customHeight="1" s="54">
      <c r="I692" s="50" t="n"/>
    </row>
    <row r="693" ht="13" customHeight="1" s="54">
      <c r="I693" s="50" t="n"/>
    </row>
    <row r="694" ht="13" customHeight="1" s="54">
      <c r="I694" s="50" t="n"/>
    </row>
    <row r="695" ht="13" customHeight="1" s="54">
      <c r="I695" s="50" t="n"/>
    </row>
    <row r="696" ht="13" customHeight="1" s="54">
      <c r="I696" s="50" t="n"/>
    </row>
    <row r="697" ht="13" customHeight="1" s="54">
      <c r="I697" s="50" t="n"/>
    </row>
    <row r="698" ht="13" customHeight="1" s="54">
      <c r="I698" s="50" t="n"/>
    </row>
    <row r="699" ht="13" customHeight="1" s="54">
      <c r="I699" s="50" t="n"/>
    </row>
    <row r="700" ht="13" customHeight="1" s="54">
      <c r="I700" s="50" t="n"/>
    </row>
    <row r="701" ht="13" customHeight="1" s="54">
      <c r="I701" s="50" t="n"/>
    </row>
    <row r="702" ht="13" customHeight="1" s="54">
      <c r="I702" s="50" t="n"/>
    </row>
    <row r="703" ht="13" customHeight="1" s="54">
      <c r="I703" s="50" t="n"/>
    </row>
    <row r="704" ht="13" customHeight="1" s="54">
      <c r="I704" s="50" t="n"/>
    </row>
    <row r="705" ht="13" customHeight="1" s="54">
      <c r="I705" s="50" t="n"/>
    </row>
    <row r="706" ht="13" customHeight="1" s="54">
      <c r="I706" s="50" t="n"/>
    </row>
    <row r="707" ht="13" customHeight="1" s="54">
      <c r="I707" s="50" t="n"/>
    </row>
    <row r="708" ht="13" customHeight="1" s="54">
      <c r="I708" s="50" t="n"/>
    </row>
    <row r="709" ht="13" customHeight="1" s="54">
      <c r="I709" s="50" t="n"/>
    </row>
    <row r="710" ht="13" customHeight="1" s="54">
      <c r="I710" s="50" t="n"/>
    </row>
    <row r="711" ht="13" customHeight="1" s="54">
      <c r="I711" s="50" t="n"/>
    </row>
    <row r="712" ht="13" customHeight="1" s="54">
      <c r="I712" s="50" t="n"/>
    </row>
    <row r="713" ht="13" customHeight="1" s="54">
      <c r="I713" s="50" t="n"/>
    </row>
    <row r="714" ht="13" customHeight="1" s="54">
      <c r="I714" s="50" t="n"/>
    </row>
    <row r="715" ht="13" customHeight="1" s="54">
      <c r="I715" s="50" t="n"/>
    </row>
    <row r="716" ht="13" customHeight="1" s="54">
      <c r="I716" s="50" t="n"/>
    </row>
    <row r="717" ht="13" customHeight="1" s="54">
      <c r="I717" s="50" t="n"/>
    </row>
    <row r="718" ht="13" customHeight="1" s="54">
      <c r="I718" s="50" t="n"/>
    </row>
    <row r="719" ht="13" customHeight="1" s="54">
      <c r="I719" s="50" t="n"/>
    </row>
    <row r="720" ht="13" customHeight="1" s="54">
      <c r="I720" s="50" t="n"/>
    </row>
    <row r="721" ht="13" customHeight="1" s="54">
      <c r="I721" s="50" t="n"/>
    </row>
    <row r="722" ht="13" customHeight="1" s="54">
      <c r="I722" s="50" t="n"/>
    </row>
    <row r="723" ht="13" customHeight="1" s="54">
      <c r="I723" s="50" t="n"/>
    </row>
    <row r="724" ht="13" customHeight="1" s="54">
      <c r="I724" s="50" t="n"/>
    </row>
    <row r="725" ht="13" customHeight="1" s="54">
      <c r="I725" s="50" t="n"/>
    </row>
    <row r="726" ht="13" customHeight="1" s="54">
      <c r="I726" s="50" t="n"/>
    </row>
    <row r="727" ht="13" customHeight="1" s="54">
      <c r="I727" s="50" t="n"/>
    </row>
    <row r="728" ht="13" customHeight="1" s="54">
      <c r="I728" s="50" t="n"/>
    </row>
    <row r="729" ht="13" customHeight="1" s="54">
      <c r="I729" s="50" t="n"/>
    </row>
    <row r="730" ht="13" customHeight="1" s="54">
      <c r="I730" s="50" t="n"/>
    </row>
    <row r="731" ht="13" customHeight="1" s="54">
      <c r="I731" s="50" t="n"/>
    </row>
    <row r="732" ht="13" customHeight="1" s="54">
      <c r="I732" s="50" t="n"/>
    </row>
    <row r="733" ht="13" customHeight="1" s="54">
      <c r="I733" s="50" t="n"/>
    </row>
    <row r="734" ht="13" customHeight="1" s="54">
      <c r="I734" s="50" t="n"/>
    </row>
    <row r="735" ht="13" customHeight="1" s="54">
      <c r="I735" s="50" t="n"/>
    </row>
    <row r="736" ht="13" customHeight="1" s="54">
      <c r="I736" s="50" t="n"/>
    </row>
    <row r="737" ht="13" customHeight="1" s="54">
      <c r="I737" s="50" t="n"/>
    </row>
    <row r="738" ht="13" customHeight="1" s="54">
      <c r="I738" s="50" t="n"/>
    </row>
    <row r="739" ht="13" customHeight="1" s="54">
      <c r="I739" s="50" t="n"/>
    </row>
    <row r="740" ht="13" customHeight="1" s="54">
      <c r="I740" s="50" t="n"/>
    </row>
    <row r="741" ht="13" customHeight="1" s="54">
      <c r="I741" s="50" t="n"/>
    </row>
    <row r="742" ht="13" customHeight="1" s="54">
      <c r="I742" s="50" t="n"/>
    </row>
    <row r="743" ht="13" customHeight="1" s="54">
      <c r="I743" s="50" t="n"/>
    </row>
    <row r="744" ht="13" customHeight="1" s="54">
      <c r="I744" s="50" t="n"/>
    </row>
    <row r="745" ht="13" customHeight="1" s="54">
      <c r="I745" s="50" t="n"/>
    </row>
    <row r="746" ht="13" customHeight="1" s="54">
      <c r="I746" s="50" t="n"/>
    </row>
    <row r="747" ht="13" customHeight="1" s="54">
      <c r="I747" s="50" t="n"/>
    </row>
    <row r="748" ht="13" customHeight="1" s="54">
      <c r="I748" s="50" t="n"/>
    </row>
    <row r="749" ht="13" customHeight="1" s="54">
      <c r="I749" s="50" t="n"/>
    </row>
    <row r="750" ht="13" customHeight="1" s="54">
      <c r="I750" s="50" t="n"/>
    </row>
    <row r="751" ht="13" customHeight="1" s="54">
      <c r="I751" s="50" t="n"/>
    </row>
    <row r="752" ht="13" customHeight="1" s="54">
      <c r="I752" s="50" t="n"/>
    </row>
    <row r="753" ht="13" customHeight="1" s="54">
      <c r="I753" s="50" t="n"/>
    </row>
    <row r="754" ht="13" customHeight="1" s="54">
      <c r="I754" s="50" t="n"/>
    </row>
    <row r="755" ht="13" customHeight="1" s="54">
      <c r="I755" s="50" t="n"/>
    </row>
    <row r="756" ht="13" customHeight="1" s="54">
      <c r="I756" s="50" t="n"/>
    </row>
    <row r="757" ht="13" customHeight="1" s="54">
      <c r="I757" s="50" t="n"/>
    </row>
    <row r="758" ht="13" customHeight="1" s="54">
      <c r="I758" s="50" t="n"/>
    </row>
    <row r="759" ht="13" customHeight="1" s="54">
      <c r="I759" s="50" t="n"/>
    </row>
    <row r="760" ht="13" customHeight="1" s="54">
      <c r="I760" s="50" t="n"/>
    </row>
    <row r="761" ht="13" customHeight="1" s="54">
      <c r="I761" s="50" t="n"/>
    </row>
    <row r="762" ht="13" customHeight="1" s="54">
      <c r="I762" s="50" t="n"/>
    </row>
    <row r="763" ht="13" customHeight="1" s="54">
      <c r="I763" s="50" t="n"/>
    </row>
    <row r="764" ht="13" customHeight="1" s="54">
      <c r="I764" s="50" t="n"/>
    </row>
    <row r="765" ht="13" customHeight="1" s="54">
      <c r="I765" s="50" t="n"/>
    </row>
    <row r="766" ht="13" customHeight="1" s="54">
      <c r="I766" s="50" t="n"/>
    </row>
    <row r="767" ht="13" customHeight="1" s="54">
      <c r="I767" s="50" t="n"/>
    </row>
    <row r="768" ht="13" customHeight="1" s="54">
      <c r="I768" s="50" t="n"/>
    </row>
    <row r="769" ht="13" customHeight="1" s="54">
      <c r="I769" s="50" t="n"/>
    </row>
    <row r="770" ht="13" customHeight="1" s="54">
      <c r="I770" s="50" t="n"/>
    </row>
    <row r="771" ht="13" customHeight="1" s="54">
      <c r="I771" s="50" t="n"/>
    </row>
    <row r="772" ht="13" customHeight="1" s="54">
      <c r="I772" s="50" t="n"/>
    </row>
    <row r="773" ht="13" customHeight="1" s="54">
      <c r="I773" s="50" t="n"/>
    </row>
    <row r="774" ht="13" customHeight="1" s="54">
      <c r="I774" s="50" t="n"/>
    </row>
    <row r="775" ht="13" customHeight="1" s="54">
      <c r="I775" s="50" t="n"/>
    </row>
    <row r="776" ht="13" customHeight="1" s="54">
      <c r="I776" s="50" t="n"/>
    </row>
    <row r="777" ht="13" customHeight="1" s="54">
      <c r="I777" s="50" t="n"/>
    </row>
    <row r="778" ht="13" customHeight="1" s="54">
      <c r="I778" s="50" t="n"/>
    </row>
    <row r="779" ht="13" customHeight="1" s="54">
      <c r="I779" s="50" t="n"/>
    </row>
    <row r="780" ht="13" customHeight="1" s="54">
      <c r="I780" s="50" t="n"/>
    </row>
    <row r="781" ht="13" customHeight="1" s="54">
      <c r="I781" s="50" t="n"/>
    </row>
    <row r="782" ht="13" customHeight="1" s="54">
      <c r="I782" s="50" t="n"/>
    </row>
    <row r="783" ht="13" customHeight="1" s="54">
      <c r="I783" s="50" t="n"/>
    </row>
    <row r="784" ht="13" customHeight="1" s="54">
      <c r="I784" s="50" t="n"/>
    </row>
    <row r="785" ht="13" customHeight="1" s="54">
      <c r="I785" s="50" t="n"/>
    </row>
    <row r="786" ht="13" customHeight="1" s="54">
      <c r="I786" s="50" t="n"/>
    </row>
    <row r="787" ht="13" customHeight="1" s="54">
      <c r="I787" s="50" t="n"/>
    </row>
    <row r="788" ht="13" customHeight="1" s="54">
      <c r="I788" s="50" t="n"/>
    </row>
    <row r="789" ht="13" customHeight="1" s="54">
      <c r="I789" s="50" t="n"/>
    </row>
    <row r="790" ht="13" customHeight="1" s="54">
      <c r="I790" s="50" t="n"/>
    </row>
    <row r="791" ht="13" customHeight="1" s="54">
      <c r="I791" s="50" t="n"/>
    </row>
    <row r="792" ht="13" customHeight="1" s="54">
      <c r="I792" s="50" t="n"/>
    </row>
    <row r="793" ht="13" customHeight="1" s="54">
      <c r="I793" s="50" t="n"/>
    </row>
    <row r="794" ht="13" customHeight="1" s="54">
      <c r="I794" s="50" t="n"/>
    </row>
    <row r="795" ht="13" customHeight="1" s="54">
      <c r="I795" s="50" t="n"/>
    </row>
    <row r="796" ht="13" customHeight="1" s="54">
      <c r="I796" s="50" t="n"/>
    </row>
    <row r="797" ht="13" customHeight="1" s="54">
      <c r="I797" s="50" t="n"/>
    </row>
    <row r="798" ht="13" customHeight="1" s="54">
      <c r="I798" s="50" t="n"/>
    </row>
    <row r="799" ht="13" customHeight="1" s="54">
      <c r="I799" s="50" t="n"/>
    </row>
    <row r="800" ht="13" customHeight="1" s="54">
      <c r="I800" s="50" t="n"/>
    </row>
    <row r="801" ht="13" customHeight="1" s="54">
      <c r="I801" s="50" t="n"/>
    </row>
    <row r="802" ht="13" customHeight="1" s="54">
      <c r="I802" s="50" t="n"/>
    </row>
    <row r="803" ht="13" customHeight="1" s="54">
      <c r="I803" s="50" t="n"/>
    </row>
    <row r="804" ht="13" customHeight="1" s="54">
      <c r="I804" s="50" t="n"/>
    </row>
    <row r="805" ht="13" customHeight="1" s="54">
      <c r="I805" s="50" t="n"/>
    </row>
    <row r="806" ht="13" customHeight="1" s="54">
      <c r="I806" s="50" t="n"/>
    </row>
    <row r="807" ht="13" customHeight="1" s="54">
      <c r="I807" s="50" t="n"/>
    </row>
    <row r="808" ht="13" customHeight="1" s="54">
      <c r="I808" s="50" t="n"/>
    </row>
    <row r="809" ht="13" customHeight="1" s="54">
      <c r="I809" s="50" t="n"/>
    </row>
    <row r="810" ht="13" customHeight="1" s="54">
      <c r="I810" s="50" t="n"/>
    </row>
    <row r="811" ht="13" customHeight="1" s="54">
      <c r="I811" s="50" t="n"/>
    </row>
    <row r="812" ht="13" customHeight="1" s="54">
      <c r="I812" s="50" t="n"/>
    </row>
    <row r="813" ht="13" customHeight="1" s="54">
      <c r="I813" s="50" t="n"/>
    </row>
    <row r="814" ht="13" customHeight="1" s="54">
      <c r="I814" s="50" t="n"/>
    </row>
    <row r="815" ht="13" customHeight="1" s="54">
      <c r="I815" s="50" t="n"/>
    </row>
    <row r="816" ht="13" customHeight="1" s="54">
      <c r="I816" s="50" t="n"/>
    </row>
    <row r="817" ht="13" customHeight="1" s="54">
      <c r="I817" s="50" t="n"/>
    </row>
    <row r="818" ht="13" customHeight="1" s="54">
      <c r="I818" s="50" t="n"/>
    </row>
    <row r="819" ht="13" customHeight="1" s="54">
      <c r="I819" s="50" t="n"/>
    </row>
    <row r="820" ht="13" customHeight="1" s="54">
      <c r="I820" s="50" t="n"/>
    </row>
    <row r="821" ht="13" customHeight="1" s="54">
      <c r="I821" s="50" t="n"/>
    </row>
    <row r="822" ht="13" customHeight="1" s="54">
      <c r="I822" s="50" t="n"/>
    </row>
    <row r="823" ht="13" customHeight="1" s="54">
      <c r="I823" s="50" t="n"/>
    </row>
    <row r="824" ht="13" customHeight="1" s="54">
      <c r="I824" s="50" t="n"/>
    </row>
    <row r="825" ht="13" customHeight="1" s="54">
      <c r="I825" s="50" t="n"/>
    </row>
    <row r="826" ht="13" customHeight="1" s="54">
      <c r="I826" s="50" t="n"/>
    </row>
    <row r="827" ht="13" customHeight="1" s="54">
      <c r="I827" s="50" t="n"/>
    </row>
    <row r="828" ht="13" customHeight="1" s="54">
      <c r="I828" s="50" t="n"/>
    </row>
    <row r="829" ht="13" customHeight="1" s="54">
      <c r="I829" s="50" t="n"/>
    </row>
    <row r="830" ht="13" customHeight="1" s="54">
      <c r="I830" s="50" t="n"/>
    </row>
    <row r="831" ht="13" customHeight="1" s="54">
      <c r="I831" s="50" t="n"/>
    </row>
    <row r="832" ht="13" customHeight="1" s="54">
      <c r="I832" s="50" t="n"/>
    </row>
    <row r="833" ht="13" customHeight="1" s="54">
      <c r="I833" s="50" t="n"/>
    </row>
    <row r="834" ht="13" customHeight="1" s="54">
      <c r="I834" s="50" t="n"/>
    </row>
    <row r="835" ht="13" customHeight="1" s="54">
      <c r="I835" s="50" t="n"/>
    </row>
    <row r="836" ht="13" customHeight="1" s="54">
      <c r="I836" s="50" t="n"/>
    </row>
    <row r="837" ht="13" customHeight="1" s="54">
      <c r="I837" s="50" t="n"/>
    </row>
    <row r="838" ht="13" customHeight="1" s="54">
      <c r="I838" s="50" t="n"/>
    </row>
    <row r="839" ht="13" customHeight="1" s="54">
      <c r="I839" s="50" t="n"/>
    </row>
    <row r="840" ht="13" customHeight="1" s="54">
      <c r="I840" s="50" t="n"/>
    </row>
    <row r="841" ht="13" customHeight="1" s="54">
      <c r="I841" s="50" t="n"/>
    </row>
    <row r="842" ht="13" customHeight="1" s="54">
      <c r="I842" s="50" t="n"/>
    </row>
    <row r="843" ht="13" customHeight="1" s="54">
      <c r="I843" s="50" t="n"/>
    </row>
    <row r="844" ht="13" customHeight="1" s="54">
      <c r="I844" s="50" t="n"/>
    </row>
    <row r="845" ht="13" customHeight="1" s="54">
      <c r="I845" s="50" t="n"/>
    </row>
    <row r="846" ht="13" customHeight="1" s="54">
      <c r="I846" s="50" t="n"/>
    </row>
    <row r="847" ht="13" customHeight="1" s="54">
      <c r="I847" s="50" t="n"/>
    </row>
    <row r="848" ht="13" customHeight="1" s="54">
      <c r="I848" s="50" t="n"/>
    </row>
    <row r="849" ht="13" customHeight="1" s="54">
      <c r="I849" s="50" t="n"/>
    </row>
    <row r="850" ht="13" customHeight="1" s="54">
      <c r="I850" s="50" t="n"/>
    </row>
    <row r="851" ht="13" customHeight="1" s="54">
      <c r="I851" s="50" t="n"/>
    </row>
    <row r="852" ht="13" customHeight="1" s="54">
      <c r="I852" s="50" t="n"/>
    </row>
    <row r="853" ht="13" customHeight="1" s="54">
      <c r="I853" s="50" t="n"/>
    </row>
    <row r="854" ht="13" customHeight="1" s="54">
      <c r="I854" s="50" t="n"/>
    </row>
    <row r="855" ht="13" customHeight="1" s="54">
      <c r="I855" s="50" t="n"/>
    </row>
    <row r="856" ht="13" customHeight="1" s="54">
      <c r="I856" s="50" t="n"/>
    </row>
    <row r="857" ht="13" customHeight="1" s="54">
      <c r="I857" s="50" t="n"/>
    </row>
    <row r="858" ht="13" customHeight="1" s="54">
      <c r="I858" s="50" t="n"/>
    </row>
    <row r="859" ht="13" customHeight="1" s="54">
      <c r="I859" s="50" t="n"/>
    </row>
    <row r="860" ht="13" customHeight="1" s="54">
      <c r="I860" s="50" t="n"/>
    </row>
    <row r="861" ht="13" customHeight="1" s="54">
      <c r="I861" s="50" t="n"/>
    </row>
    <row r="862" ht="13" customHeight="1" s="54">
      <c r="I862" s="50" t="n"/>
    </row>
    <row r="863" ht="13" customHeight="1" s="54">
      <c r="I863" s="50" t="n"/>
    </row>
    <row r="864" ht="13" customHeight="1" s="54">
      <c r="I864" s="50" t="n"/>
    </row>
    <row r="865" ht="13" customHeight="1" s="54">
      <c r="I865" s="50" t="n"/>
    </row>
    <row r="866" ht="13" customHeight="1" s="54">
      <c r="I866" s="50" t="n"/>
    </row>
    <row r="867" ht="13" customHeight="1" s="54">
      <c r="I867" s="50" t="n"/>
    </row>
    <row r="868" ht="13" customHeight="1" s="54">
      <c r="I868" s="50" t="n"/>
    </row>
    <row r="869" ht="13" customHeight="1" s="54">
      <c r="I869" s="50" t="n"/>
    </row>
    <row r="870" ht="13" customHeight="1" s="54">
      <c r="I870" s="50" t="n"/>
    </row>
    <row r="871" ht="13" customHeight="1" s="54">
      <c r="I871" s="50" t="n"/>
    </row>
    <row r="872" ht="13" customHeight="1" s="54">
      <c r="I872" s="50" t="n"/>
    </row>
    <row r="873" ht="13" customHeight="1" s="54">
      <c r="I873" s="50" t="n"/>
    </row>
    <row r="874" ht="13" customHeight="1" s="54">
      <c r="I874" s="50" t="n"/>
    </row>
    <row r="875" ht="13" customHeight="1" s="54">
      <c r="I875" s="50" t="n"/>
    </row>
    <row r="876" ht="13" customHeight="1" s="54">
      <c r="I876" s="50" t="n"/>
    </row>
    <row r="877" ht="13" customHeight="1" s="54">
      <c r="I877" s="50" t="n"/>
    </row>
    <row r="878" ht="13" customHeight="1" s="54">
      <c r="I878" s="50" t="n"/>
    </row>
    <row r="879" ht="13" customHeight="1" s="54">
      <c r="I879" s="50" t="n"/>
    </row>
    <row r="880" ht="13" customHeight="1" s="54">
      <c r="I880" s="50" t="n"/>
    </row>
    <row r="881" ht="13" customHeight="1" s="54">
      <c r="I881" s="50" t="n"/>
    </row>
    <row r="882" ht="13" customHeight="1" s="54">
      <c r="I882" s="50" t="n"/>
    </row>
    <row r="883" ht="13" customHeight="1" s="54">
      <c r="I883" s="50" t="n"/>
    </row>
    <row r="884" ht="13" customHeight="1" s="54">
      <c r="I884" s="50" t="n"/>
    </row>
    <row r="885" ht="13" customHeight="1" s="54">
      <c r="I885" s="50" t="n"/>
    </row>
    <row r="886" ht="13" customHeight="1" s="54">
      <c r="I886" s="50" t="n"/>
    </row>
    <row r="887" ht="13" customHeight="1" s="54">
      <c r="I887" s="50" t="n"/>
    </row>
    <row r="888" ht="13" customHeight="1" s="54">
      <c r="I888" s="50" t="n"/>
    </row>
    <row r="889" ht="13" customHeight="1" s="54">
      <c r="I889" s="50" t="n"/>
    </row>
    <row r="890" ht="13" customHeight="1" s="54">
      <c r="I890" s="50" t="n"/>
    </row>
    <row r="891" ht="13" customHeight="1" s="54">
      <c r="I891" s="50" t="n"/>
    </row>
    <row r="892" ht="13" customHeight="1" s="54">
      <c r="I892" s="50" t="n"/>
    </row>
    <row r="893" ht="13" customHeight="1" s="54">
      <c r="I893" s="50" t="n"/>
    </row>
    <row r="894" ht="13" customHeight="1" s="54">
      <c r="I894" s="50" t="n"/>
    </row>
    <row r="895" ht="13" customHeight="1" s="54">
      <c r="I895" s="50" t="n"/>
    </row>
    <row r="896" ht="13" customHeight="1" s="54">
      <c r="I896" s="50" t="n"/>
    </row>
    <row r="897" ht="13" customHeight="1" s="54">
      <c r="I897" s="50" t="n"/>
    </row>
    <row r="898" ht="13" customHeight="1" s="54">
      <c r="I898" s="50" t="n"/>
    </row>
    <row r="899" ht="13" customHeight="1" s="54">
      <c r="I899" s="50" t="n"/>
    </row>
    <row r="900" ht="13" customHeight="1" s="54">
      <c r="I900" s="50" t="n"/>
    </row>
    <row r="901" ht="13" customHeight="1" s="54">
      <c r="I901" s="50" t="n"/>
    </row>
    <row r="902" ht="13" customHeight="1" s="54">
      <c r="I902" s="50" t="n"/>
    </row>
    <row r="903" ht="13" customHeight="1" s="54">
      <c r="I903" s="50" t="n"/>
    </row>
    <row r="904" ht="13" customHeight="1" s="54">
      <c r="I904" s="50" t="n"/>
    </row>
    <row r="905" ht="13" customHeight="1" s="54">
      <c r="I905" s="50" t="n"/>
    </row>
    <row r="906" ht="13" customHeight="1" s="54">
      <c r="I906" s="50" t="n"/>
    </row>
    <row r="907" ht="13" customHeight="1" s="54">
      <c r="I907" s="50" t="n"/>
    </row>
    <row r="908" ht="13" customHeight="1" s="54">
      <c r="I908" s="50" t="n"/>
    </row>
    <row r="909" ht="13" customHeight="1" s="54">
      <c r="I909" s="50" t="n"/>
    </row>
    <row r="910" ht="13" customHeight="1" s="54">
      <c r="I910" s="50" t="n"/>
    </row>
    <row r="911" ht="13" customHeight="1" s="54">
      <c r="I911" s="50" t="n"/>
    </row>
    <row r="912" ht="13" customHeight="1" s="54">
      <c r="I912" s="50" t="n"/>
    </row>
    <row r="913" ht="13" customHeight="1" s="54">
      <c r="I913" s="50" t="n"/>
    </row>
    <row r="914" ht="13" customHeight="1" s="54">
      <c r="I914" s="50" t="n"/>
    </row>
    <row r="915" ht="13" customHeight="1" s="54">
      <c r="I915" s="50" t="n"/>
    </row>
    <row r="916" ht="13" customHeight="1" s="54">
      <c r="I916" s="50" t="n"/>
    </row>
    <row r="917" ht="13" customHeight="1" s="54">
      <c r="I917" s="50" t="n"/>
    </row>
    <row r="918" ht="13" customHeight="1" s="54">
      <c r="I918" s="50" t="n"/>
    </row>
    <row r="919" ht="13" customHeight="1" s="54">
      <c r="I919" s="50" t="n"/>
    </row>
    <row r="920" ht="13" customHeight="1" s="54">
      <c r="I920" s="50" t="n"/>
    </row>
    <row r="921" ht="13" customHeight="1" s="54">
      <c r="I921" s="50" t="n"/>
    </row>
    <row r="922" ht="13" customHeight="1" s="54">
      <c r="I922" s="50" t="n"/>
    </row>
    <row r="923" ht="13" customHeight="1" s="54">
      <c r="I923" s="50" t="n"/>
    </row>
    <row r="924" ht="13" customHeight="1" s="54">
      <c r="I924" s="50" t="n"/>
    </row>
    <row r="925" ht="13" customHeight="1" s="54">
      <c r="I925" s="50" t="n"/>
    </row>
    <row r="926" ht="13" customHeight="1" s="54">
      <c r="I926" s="50" t="n"/>
    </row>
    <row r="927" ht="13" customHeight="1" s="54">
      <c r="I927" s="50" t="n"/>
    </row>
    <row r="928" ht="13" customHeight="1" s="54">
      <c r="I928" s="50" t="n"/>
    </row>
    <row r="929" ht="13" customHeight="1" s="54">
      <c r="I929" s="50" t="n"/>
    </row>
    <row r="930" ht="13" customHeight="1" s="54">
      <c r="I930" s="50" t="n"/>
    </row>
    <row r="931" ht="13" customHeight="1" s="54">
      <c r="I931" s="50" t="n"/>
    </row>
    <row r="932" ht="13" customHeight="1" s="54">
      <c r="I932" s="50" t="n"/>
    </row>
    <row r="933" ht="13" customHeight="1" s="54">
      <c r="I933" s="50" t="n"/>
    </row>
    <row r="934" ht="13" customHeight="1" s="54">
      <c r="I934" s="50" t="n"/>
    </row>
    <row r="935" ht="13" customHeight="1" s="54">
      <c r="I935" s="50" t="n"/>
    </row>
    <row r="936" ht="13" customHeight="1" s="54">
      <c r="I936" s="50" t="n"/>
    </row>
    <row r="937" ht="13" customHeight="1" s="54">
      <c r="I937" s="50" t="n"/>
    </row>
    <row r="938" ht="13" customHeight="1" s="54">
      <c r="I938" s="50" t="n"/>
    </row>
    <row r="939" ht="13" customHeight="1" s="54">
      <c r="I939" s="50" t="n"/>
    </row>
    <row r="940" ht="13" customHeight="1" s="54">
      <c r="I940" s="50" t="n"/>
    </row>
    <row r="941" ht="13" customHeight="1" s="54">
      <c r="I941" s="50" t="n"/>
    </row>
    <row r="942" ht="13" customHeight="1" s="54">
      <c r="I942" s="50" t="n"/>
    </row>
    <row r="943" ht="13" customHeight="1" s="54">
      <c r="I943" s="50" t="n"/>
    </row>
    <row r="944" ht="13" customHeight="1" s="54">
      <c r="I944" s="50" t="n"/>
    </row>
    <row r="945" ht="13" customHeight="1" s="54">
      <c r="I945" s="50" t="n"/>
    </row>
    <row r="946" ht="13" customHeight="1" s="54">
      <c r="I946" s="50" t="n"/>
    </row>
    <row r="947" ht="13" customHeight="1" s="54">
      <c r="I947" s="50" t="n"/>
    </row>
    <row r="948" ht="13" customHeight="1" s="54">
      <c r="I948" s="50" t="n"/>
    </row>
    <row r="949" ht="13" customHeight="1" s="54">
      <c r="I949" s="50" t="n"/>
    </row>
    <row r="950" ht="13" customHeight="1" s="54">
      <c r="I950" s="50" t="n"/>
    </row>
    <row r="951" ht="13" customHeight="1" s="54">
      <c r="I951" s="50" t="n"/>
    </row>
    <row r="952" ht="13" customHeight="1" s="54">
      <c r="I952" s="50" t="n"/>
    </row>
    <row r="953" ht="13" customHeight="1" s="54">
      <c r="I953" s="50" t="n"/>
    </row>
    <row r="954" ht="13" customHeight="1" s="54">
      <c r="I954" s="50" t="n"/>
    </row>
    <row r="955" ht="13" customHeight="1" s="54">
      <c r="I955" s="50" t="n"/>
    </row>
    <row r="956" ht="13" customHeight="1" s="54">
      <c r="I956" s="50" t="n"/>
    </row>
    <row r="957" ht="13" customHeight="1" s="54">
      <c r="I957" s="50" t="n"/>
    </row>
    <row r="958" ht="13" customHeight="1" s="54">
      <c r="I958" s="50" t="n"/>
    </row>
    <row r="959" ht="13" customHeight="1" s="54">
      <c r="I959" s="50" t="n"/>
    </row>
    <row r="960" ht="13" customHeight="1" s="54">
      <c r="I960" s="50" t="n"/>
    </row>
    <row r="961" ht="13" customHeight="1" s="54">
      <c r="I961" s="50" t="n"/>
    </row>
    <row r="962" ht="13" customHeight="1" s="54">
      <c r="I962" s="50" t="n"/>
    </row>
    <row r="963" ht="13" customHeight="1" s="54">
      <c r="I963" s="50" t="n"/>
    </row>
    <row r="964" ht="13" customHeight="1" s="54">
      <c r="I964" s="50" t="n"/>
    </row>
    <row r="965" ht="13" customHeight="1" s="54">
      <c r="I965" s="50" t="n"/>
    </row>
    <row r="966" ht="13" customHeight="1" s="54">
      <c r="I966" s="50" t="n"/>
    </row>
    <row r="967" ht="13" customHeight="1" s="54">
      <c r="I967" s="50" t="n"/>
    </row>
    <row r="968" ht="13" customHeight="1" s="54">
      <c r="I968" s="50" t="n"/>
    </row>
    <row r="969" ht="13" customHeight="1" s="54">
      <c r="I969" s="50" t="n"/>
    </row>
    <row r="970" ht="13" customHeight="1" s="54">
      <c r="I970" s="50" t="n"/>
    </row>
    <row r="971" ht="13" customHeight="1" s="54">
      <c r="I971" s="50" t="n"/>
    </row>
    <row r="972" ht="13" customHeight="1" s="54">
      <c r="I972" s="50" t="n"/>
    </row>
    <row r="973" ht="13" customHeight="1" s="54">
      <c r="I973" s="50" t="n"/>
    </row>
    <row r="974" ht="13" customHeight="1" s="54">
      <c r="I974" s="50" t="n"/>
    </row>
    <row r="975" ht="13" customHeight="1" s="54">
      <c r="I975" s="50" t="n"/>
    </row>
    <row r="976" ht="13" customHeight="1" s="54">
      <c r="I976" s="50" t="n"/>
    </row>
    <row r="977" ht="13" customHeight="1" s="54">
      <c r="I977" s="50" t="n"/>
    </row>
    <row r="978" ht="13" customHeight="1" s="54">
      <c r="I978" s="50" t="n"/>
    </row>
    <row r="979" ht="13" customHeight="1" s="54">
      <c r="I979" s="50" t="n"/>
    </row>
    <row r="980" ht="13" customHeight="1" s="54">
      <c r="I980" s="50" t="n"/>
    </row>
    <row r="981" ht="13" customHeight="1" s="54">
      <c r="I981" s="50" t="n"/>
    </row>
    <row r="982" ht="13" customHeight="1" s="54">
      <c r="I982" s="50" t="n"/>
    </row>
    <row r="983" ht="13" customHeight="1" s="54">
      <c r="I983" s="50" t="n"/>
    </row>
    <row r="984" ht="13" customHeight="1" s="54">
      <c r="I984" s="50" t="n"/>
    </row>
    <row r="985" ht="13" customHeight="1" s="54">
      <c r="I985" s="50" t="n"/>
    </row>
    <row r="986" ht="13" customHeight="1" s="54">
      <c r="I986" s="50" t="n"/>
    </row>
    <row r="987" ht="13" customHeight="1" s="54">
      <c r="I987" s="50" t="n"/>
    </row>
    <row r="988" ht="13" customHeight="1" s="54">
      <c r="I988" s="50" t="n"/>
    </row>
    <row r="989" ht="13" customHeight="1" s="54">
      <c r="I989" s="50" t="n"/>
    </row>
    <row r="990" ht="13" customHeight="1" s="54">
      <c r="I990" s="50" t="n"/>
    </row>
    <row r="991" ht="13" customHeight="1" s="54">
      <c r="I991" s="50" t="n"/>
    </row>
    <row r="992" ht="13" customHeight="1" s="54">
      <c r="I992" s="50" t="n"/>
    </row>
    <row r="993" ht="13" customHeight="1" s="54">
      <c r="I993" s="50" t="n"/>
    </row>
    <row r="994" ht="13" customHeight="1" s="54">
      <c r="I994" s="50" t="n"/>
    </row>
    <row r="995" ht="13" customHeight="1" s="54">
      <c r="I995" s="50" t="n"/>
    </row>
    <row r="996" ht="13" customHeight="1" s="54">
      <c r="I996" s="50" t="n"/>
    </row>
  </sheetData>
  <autoFilter ref="B1:I998"/>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Z17"/>
  <sheetViews>
    <sheetView workbookViewId="0">
      <selection activeCell="A1" sqref="A1"/>
    </sheetView>
  </sheetViews>
  <sheetFormatPr baseColWidth="10" defaultColWidth="12.5" defaultRowHeight="15.75" customHeight="1"/>
  <sheetData>
    <row r="1" ht="15.75" customHeight="1" s="54">
      <c r="B1" s="26" t="inlineStr">
        <is>
          <t>Rank</t>
        </is>
      </c>
    </row>
    <row r="2" ht="15.75" customHeight="1" s="54">
      <c r="A2" s="26" t="inlineStr">
        <is>
          <t xml:space="preserve">Average </t>
        </is>
      </c>
      <c r="D2" s="26" t="inlineStr">
        <is>
          <t>8e back</t>
        </is>
      </c>
      <c r="I2" s="26" t="inlineStr">
        <is>
          <t>8 front</t>
        </is>
      </c>
    </row>
    <row r="3" ht="15.75" customHeight="1" s="54">
      <c r="A3" s="46" t="inlineStr">
        <is>
          <t>1-10</t>
        </is>
      </c>
      <c r="B3" s="47" t="n"/>
      <c r="C3" s="47" t="n"/>
      <c r="D3" s="47" t="n"/>
      <c r="E3" s="47" t="n"/>
      <c r="F3" s="47" t="n"/>
      <c r="G3" s="47" t="n"/>
      <c r="H3" s="47" t="n"/>
      <c r="I3" s="48" t="n"/>
      <c r="J3" s="48" t="n"/>
      <c r="K3" s="47" t="n"/>
      <c r="L3" s="47" t="n"/>
      <c r="M3" s="47" t="n"/>
      <c r="N3" s="47" t="n"/>
      <c r="O3" s="47" t="n"/>
      <c r="P3" s="47" t="n"/>
      <c r="Q3" s="47" t="n"/>
      <c r="R3" s="47" t="n"/>
      <c r="S3" s="47" t="n"/>
      <c r="T3" s="47" t="n"/>
      <c r="U3" s="47" t="n"/>
      <c r="V3" s="47" t="n"/>
      <c r="W3" s="47" t="n"/>
      <c r="X3" s="47" t="n"/>
      <c r="Y3" s="47" t="n"/>
      <c r="Z3" s="47" t="n"/>
    </row>
    <row r="4" ht="15.75" customHeight="1" s="54">
      <c r="A4" s="46" t="inlineStr">
        <is>
          <t>11-20</t>
        </is>
      </c>
      <c r="B4" s="48" t="n"/>
      <c r="C4" s="48" t="n"/>
      <c r="D4" s="48" t="n"/>
      <c r="E4" s="47" t="n"/>
      <c r="F4" s="47" t="n"/>
      <c r="G4" s="48" t="n"/>
      <c r="H4" s="47" t="n"/>
      <c r="I4" s="47" t="n"/>
      <c r="J4" s="47" t="n"/>
      <c r="K4" s="47" t="n"/>
      <c r="L4" s="47" t="n"/>
      <c r="M4" s="47" t="n"/>
      <c r="N4" s="47" t="n"/>
      <c r="O4" s="47" t="n"/>
      <c r="P4" s="47" t="n"/>
      <c r="Q4" s="47" t="n"/>
      <c r="R4" s="47" t="n"/>
      <c r="S4" s="47" t="n"/>
      <c r="T4" s="47" t="n"/>
      <c r="U4" s="47" t="n"/>
      <c r="V4" s="47" t="n"/>
      <c r="W4" s="47" t="n"/>
      <c r="X4" s="47" t="n"/>
      <c r="Y4" s="47" t="n"/>
      <c r="Z4" s="47" t="n"/>
    </row>
    <row r="5" ht="15.75" customHeight="1" s="54">
      <c r="A5" s="46" t="inlineStr">
        <is>
          <t>21-30</t>
        </is>
      </c>
      <c r="B5" s="47" t="n"/>
      <c r="C5" s="47" t="n"/>
      <c r="D5" s="48" t="n"/>
      <c r="E5" s="47" t="n"/>
      <c r="F5" s="48" t="n"/>
      <c r="G5" s="47" t="n"/>
      <c r="H5" s="47" t="n"/>
      <c r="I5" s="47" t="n"/>
      <c r="J5" s="47" t="n"/>
      <c r="K5" s="48" t="n"/>
      <c r="L5" s="47" t="n"/>
      <c r="M5" s="47" t="n"/>
      <c r="N5" s="47" t="n"/>
      <c r="O5" s="47" t="n"/>
      <c r="P5" s="47" t="n"/>
      <c r="Q5" s="47" t="n"/>
      <c r="R5" s="47" t="n"/>
      <c r="S5" s="47" t="n"/>
      <c r="T5" s="47" t="n"/>
      <c r="U5" s="47" t="n"/>
      <c r="V5" s="47" t="n"/>
      <c r="W5" s="47" t="n"/>
      <c r="X5" s="47" t="n"/>
      <c r="Y5" s="47" t="n"/>
      <c r="Z5" s="47" t="n"/>
    </row>
    <row r="6" ht="15.75" customHeight="1" s="54">
      <c r="A6" s="46" t="inlineStr">
        <is>
          <t>31-40</t>
        </is>
      </c>
      <c r="B6" s="47" t="n"/>
      <c r="C6" s="47" t="n"/>
      <c r="D6" s="47" t="n"/>
      <c r="E6" s="47" t="n"/>
      <c r="F6" s="47" t="n"/>
      <c r="G6" s="47" t="n"/>
      <c r="H6" s="47" t="n"/>
      <c r="I6" s="47" t="n"/>
      <c r="J6" s="47" t="n"/>
      <c r="K6" s="48" t="n"/>
      <c r="L6" s="47" t="n"/>
      <c r="M6" s="47" t="n"/>
      <c r="N6" s="47" t="n"/>
      <c r="O6" s="47" t="n"/>
      <c r="P6" s="47" t="n"/>
      <c r="Q6" s="47" t="n"/>
      <c r="R6" s="47" t="n"/>
      <c r="S6" s="47" t="n"/>
      <c r="T6" s="47" t="n"/>
      <c r="U6" s="47" t="n"/>
      <c r="V6" s="47" t="n"/>
      <c r="W6" s="47" t="n"/>
      <c r="X6" s="47" t="n"/>
      <c r="Y6" s="47" t="n"/>
      <c r="Z6" s="47" t="n"/>
    </row>
    <row r="7" ht="15.75" customHeight="1" s="54">
      <c r="A7" s="46" t="inlineStr">
        <is>
          <t>41-50</t>
        </is>
      </c>
      <c r="B7" s="47" t="n"/>
      <c r="C7" s="47" t="n"/>
      <c r="D7" s="47" t="n"/>
      <c r="E7" s="47" t="n"/>
      <c r="F7" s="47" t="n"/>
      <c r="G7" s="47" t="n"/>
      <c r="H7" s="47" t="n"/>
      <c r="I7" s="47" t="n"/>
      <c r="J7" s="47" t="n"/>
      <c r="K7" s="47" t="n"/>
      <c r="L7" s="47" t="n"/>
      <c r="M7" s="47" t="n"/>
      <c r="N7" s="47" t="n"/>
      <c r="O7" s="47" t="n"/>
      <c r="P7" s="47" t="n"/>
      <c r="Q7" s="47" t="n"/>
      <c r="R7" s="47" t="n"/>
      <c r="S7" s="47" t="n"/>
      <c r="T7" s="47" t="n"/>
      <c r="U7" s="47" t="n"/>
      <c r="V7" s="47" t="n"/>
      <c r="W7" s="47" t="n"/>
      <c r="X7" s="47" t="n"/>
      <c r="Y7" s="47" t="n"/>
      <c r="Z7" s="47" t="n"/>
    </row>
    <row r="8" ht="15.75" customHeight="1" s="54">
      <c r="A8" s="46" t="inlineStr">
        <is>
          <t>51-60</t>
        </is>
      </c>
      <c r="B8" s="47" t="n"/>
      <c r="C8" s="47" t="n"/>
      <c r="D8" s="47" t="n"/>
      <c r="E8" s="48" t="n"/>
      <c r="F8" s="47" t="n"/>
      <c r="G8" s="47" t="n"/>
      <c r="H8" s="48" t="n"/>
      <c r="I8" s="47" t="n"/>
      <c r="J8" s="47" t="n"/>
      <c r="K8" s="47" t="n"/>
      <c r="L8" s="47" t="n"/>
      <c r="M8" s="47" t="n"/>
      <c r="N8" s="47" t="n"/>
      <c r="O8" s="47" t="n"/>
      <c r="P8" s="47" t="n"/>
      <c r="Q8" s="47" t="n"/>
      <c r="R8" s="47" t="n"/>
      <c r="S8" s="47" t="n"/>
      <c r="T8" s="47" t="n"/>
      <c r="U8" s="47" t="n"/>
      <c r="V8" s="47" t="n"/>
      <c r="W8" s="47" t="n"/>
      <c r="X8" s="47" t="n"/>
      <c r="Y8" s="47" t="n"/>
      <c r="Z8" s="47" t="n"/>
    </row>
    <row r="9" ht="15.75" customHeight="1" s="54">
      <c r="A9" s="46" t="inlineStr">
        <is>
          <t>61-70</t>
        </is>
      </c>
      <c r="B9" s="48" t="n"/>
      <c r="C9" s="47" t="n"/>
      <c r="D9" s="47" t="inlineStr">
        <is>
          <t>Tetairoa McMillan (WR,5.1, 1)</t>
        </is>
      </c>
      <c r="E9" s="47" t="n"/>
      <c r="F9" s="48" t="n"/>
      <c r="G9" s="47" t="inlineStr">
        <is>
          <t>Jordan Addison (WR,6.8, 4)</t>
        </is>
      </c>
      <c r="H9" s="47" t="inlineStr">
        <is>
          <t>Travis Hunter (WR,5.5, 1)</t>
        </is>
      </c>
      <c r="I9" s="47" t="inlineStr">
        <is>
          <t>Chris Godwin (WR,5.4, 1)</t>
        </is>
      </c>
      <c r="J9" s="47" t="n"/>
      <c r="K9" s="48" t="n"/>
      <c r="M9" s="47" t="n"/>
      <c r="N9" s="47" t="n"/>
      <c r="O9" s="47" t="n"/>
      <c r="P9" s="47" t="n"/>
      <c r="Q9" s="47" t="n"/>
      <c r="R9" s="47" t="n"/>
      <c r="S9" s="47" t="n"/>
      <c r="T9" s="47" t="n"/>
      <c r="U9" s="47" t="n"/>
      <c r="V9" s="47" t="n"/>
      <c r="W9" s="47" t="n"/>
      <c r="X9" s="47" t="n"/>
      <c r="Y9" s="47" t="n"/>
      <c r="Z9" s="47" t="n"/>
    </row>
    <row r="10" ht="15.75" customHeight="1" s="54">
      <c r="A10" s="46" t="inlineStr">
        <is>
          <t>71-80</t>
        </is>
      </c>
      <c r="B10" s="47" t="inlineStr">
        <is>
          <t>Jerry Jeudy (WR, 5.7, 2)</t>
        </is>
      </c>
      <c r="C10" s="47" t="n"/>
      <c r="D10" s="48" t="n"/>
      <c r="E10" s="47" t="n"/>
      <c r="F10" s="48" t="n"/>
      <c r="G10" s="47" t="inlineStr">
        <is>
          <t>Rome Odunze (WR, 6, 3)</t>
        </is>
      </c>
      <c r="H10" s="47" t="n"/>
      <c r="I10" s="47" t="inlineStr">
        <is>
          <t>Calvin Ridley (WR, 5.1, 1)</t>
        </is>
      </c>
      <c r="J10" s="48" t="n"/>
      <c r="K10" s="47" t="n"/>
      <c r="L10" s="47" t="n"/>
      <c r="M10" s="47" t="n"/>
      <c r="N10" s="47" t="n"/>
      <c r="O10" s="47" t="n"/>
      <c r="P10" s="47" t="n"/>
      <c r="Q10" s="47" t="n"/>
      <c r="R10" s="47" t="n"/>
      <c r="S10" s="47" t="n"/>
      <c r="T10" s="47" t="n"/>
      <c r="U10" s="47" t="n"/>
      <c r="V10" s="47" t="n"/>
      <c r="W10" s="47" t="n"/>
      <c r="X10" s="47" t="n"/>
      <c r="Y10" s="47" t="n"/>
      <c r="Z10" s="47" t="n"/>
    </row>
    <row r="11" ht="15.75" customHeight="1" s="54">
      <c r="A11" s="46" t="inlineStr">
        <is>
          <t>81-90</t>
        </is>
      </c>
      <c r="B11" s="47" t="n"/>
      <c r="C11" s="47" t="inlineStr">
        <is>
          <t>Khalil Shakir (WR, 6, 3)</t>
        </is>
      </c>
      <c r="D11" s="47" t="n"/>
      <c r="E11" s="47" t="inlineStr">
        <is>
          <t>Jakobi Meyers (WR, 5.8, 2)</t>
        </is>
      </c>
      <c r="F11" s="48" t="n"/>
      <c r="G11" s="48" t="n"/>
      <c r="H11" s="47" t="inlineStr">
        <is>
          <t>Deebo Samuel (WR, 6, 3)</t>
        </is>
      </c>
      <c r="I11" s="47" t="n"/>
      <c r="J11" s="48" t="n"/>
      <c r="K11" s="47" t="inlineStr">
        <is>
          <t>Brandon Aiyuk (WR, 7.3, 4)</t>
        </is>
      </c>
      <c r="L11" s="47" t="n"/>
      <c r="M11" s="47" t="n"/>
      <c r="N11" s="47" t="n"/>
      <c r="O11" s="47" t="n"/>
      <c r="P11" s="47" t="n"/>
      <c r="Q11" s="47" t="n"/>
      <c r="R11" s="47" t="n"/>
      <c r="S11" s="47" t="n"/>
      <c r="T11" s="47" t="n"/>
      <c r="U11" s="47" t="n"/>
      <c r="V11" s="47" t="n"/>
      <c r="W11" s="47" t="n"/>
      <c r="X11" s="47" t="n"/>
      <c r="Y11" s="47" t="n"/>
      <c r="Z11" s="47" t="n"/>
    </row>
    <row r="12" ht="15.75" customHeight="1" s="54">
      <c r="A12" s="46" t="inlineStr">
        <is>
          <t>91-100</t>
        </is>
      </c>
      <c r="B12" s="47" t="inlineStr">
        <is>
          <t>Cooper Kupp (WR, 6.4, 4)</t>
        </is>
      </c>
      <c r="C12" s="47" t="n"/>
      <c r="D12" s="48" t="n"/>
      <c r="E12" s="48" t="n"/>
      <c r="F12" s="47" t="inlineStr">
        <is>
          <t>Stefon Diggs (WR, 5.1, 1)</t>
        </is>
      </c>
      <c r="G12" s="47" t="n"/>
      <c r="H12" s="47" t="inlineStr">
        <is>
          <t>Jauan Jennings (WR, 4.3, 1)</t>
        </is>
      </c>
      <c r="I12" s="47" t="inlineStr">
        <is>
          <t>Jayden Reed (WR, 5.9, 3)</t>
        </is>
      </c>
      <c r="J12" s="47" t="n"/>
      <c r="K12" s="47" t="inlineStr">
        <is>
          <t>Ricky Pearsall (WR, 5.5, 1)</t>
        </is>
      </c>
      <c r="L12" s="47" t="n"/>
      <c r="M12" s="47" t="n"/>
      <c r="N12" s="47" t="n"/>
      <c r="O12" s="47" t="n"/>
      <c r="P12" s="47" t="n"/>
      <c r="Q12" s="47" t="n"/>
      <c r="R12" s="47" t="n"/>
      <c r="S12" s="47" t="n"/>
      <c r="T12" s="47" t="n"/>
      <c r="U12" s="47" t="n"/>
      <c r="V12" s="47" t="n"/>
      <c r="W12" s="47" t="n"/>
      <c r="X12" s="47" t="n"/>
      <c r="Y12" s="47" t="n"/>
      <c r="Z12" s="47" t="n"/>
    </row>
    <row r="13" ht="15.75" customHeight="1" s="54">
      <c r="A13" s="46" t="inlineStr">
        <is>
          <t>101-110</t>
        </is>
      </c>
      <c r="B13" s="47" t="n"/>
      <c r="C13" s="47" t="inlineStr">
        <is>
          <t>Matthew Golden (WR, 6.4, 4)</t>
        </is>
      </c>
      <c r="D13" s="47" t="n"/>
      <c r="E13" s="47" t="inlineStr">
        <is>
          <t>Josh Downs (WR, 5.1, 1)</t>
        </is>
      </c>
      <c r="F13" s="47" t="n"/>
      <c r="G13" s="47" t="n"/>
      <c r="H13" s="48" t="n"/>
      <c r="I13" s="47" t="n"/>
      <c r="J13" s="47" t="inlineStr">
        <is>
          <t>Michael Pittman (WR, 5.2, 1)</t>
        </is>
      </c>
      <c r="K13" s="47" t="inlineStr">
        <is>
          <t>Darnell Mooney (WR, 5.7, 2)</t>
        </is>
      </c>
      <c r="L13" s="47" t="n"/>
      <c r="M13" s="47" t="n"/>
      <c r="N13" s="47" t="n"/>
      <c r="O13" s="47" t="n"/>
      <c r="P13" s="47" t="n"/>
      <c r="Q13" s="47" t="n"/>
      <c r="R13" s="47" t="n"/>
      <c r="S13" s="47" t="n"/>
      <c r="T13" s="47" t="n"/>
      <c r="U13" s="47" t="n"/>
      <c r="V13" s="47" t="n"/>
      <c r="W13" s="47" t="n"/>
      <c r="X13" s="47" t="n"/>
      <c r="Y13" s="47" t="n"/>
      <c r="Z13" s="47" t="n"/>
    </row>
    <row r="14" ht="15.75" customHeight="1" s="54">
      <c r="A14" s="46" t="inlineStr">
        <is>
          <t>111-120</t>
        </is>
      </c>
      <c r="B14" s="47" t="n"/>
      <c r="C14" s="47" t="n"/>
      <c r="D14" s="47" t="n"/>
      <c r="E14" s="47" t="n"/>
      <c r="F14" s="47" t="inlineStr">
        <is>
          <t>Emeka Egbuka (WR, 6, 3)</t>
        </is>
      </c>
      <c r="G14" s="47" t="n"/>
      <c r="H14" s="47" t="n"/>
      <c r="I14" s="48" t="n"/>
      <c r="J14" s="48" t="n"/>
      <c r="K14" s="47" t="inlineStr">
        <is>
          <t>Keon Coleman (WR, 6.2, 4)</t>
        </is>
      </c>
      <c r="L14" s="47" t="n"/>
      <c r="M14" s="47" t="n"/>
      <c r="N14" s="47" t="n"/>
      <c r="O14" s="47" t="n"/>
      <c r="P14" s="47" t="n"/>
      <c r="Q14" s="47" t="n"/>
      <c r="R14" s="47" t="n"/>
      <c r="S14" s="47" t="n"/>
      <c r="T14" s="47" t="n"/>
      <c r="U14" s="47" t="n"/>
      <c r="V14" s="47" t="n"/>
      <c r="W14" s="47" t="n"/>
      <c r="X14" s="47" t="n"/>
      <c r="Y14" s="47" t="n"/>
      <c r="Z14" s="47" t="n"/>
    </row>
    <row r="15" ht="15.75" customHeight="1" s="54">
      <c r="A15" s="46" t="inlineStr">
        <is>
          <t>121-130</t>
        </is>
      </c>
      <c r="B15" s="47" t="n"/>
      <c r="C15" s="48" t="n"/>
      <c r="D15" s="47" t="n"/>
      <c r="E15" s="47" t="n"/>
      <c r="F15" s="47" t="n"/>
      <c r="G15" s="47" t="n"/>
      <c r="H15" s="47" t="n"/>
      <c r="I15" s="48" t="n"/>
      <c r="J15" s="47" t="inlineStr">
        <is>
          <t>Jayden Higgins (WR, 6.8, 4)</t>
        </is>
      </c>
      <c r="K15" s="47" t="inlineStr">
        <is>
          <t>Tre Harris (WR, 6.6, 4)</t>
        </is>
      </c>
      <c r="L15" s="47" t="n"/>
      <c r="M15" s="47" t="n"/>
      <c r="N15" s="47" t="n"/>
      <c r="O15" s="47" t="n"/>
      <c r="P15" s="47" t="n"/>
      <c r="Q15" s="47" t="n"/>
      <c r="R15" s="47" t="n"/>
      <c r="S15" s="47" t="n"/>
      <c r="T15" s="47" t="n"/>
      <c r="U15" s="47" t="n"/>
      <c r="V15" s="47" t="n"/>
      <c r="W15" s="47" t="n"/>
      <c r="X15" s="47" t="n"/>
      <c r="Y15" s="47" t="n"/>
      <c r="Z15" s="47" t="n"/>
    </row>
    <row r="16" ht="15.75" customHeight="1" s="54">
      <c r="A16" s="47" t="inlineStr">
        <is>
          <t>131-140</t>
        </is>
      </c>
      <c r="B16" s="48" t="n"/>
      <c r="C16" s="47" t="inlineStr">
        <is>
          <t>Luther Burden (WR, 6.2, 4)</t>
        </is>
      </c>
      <c r="D16" s="47" t="inlineStr">
        <is>
          <t>Rashid Shaheed (WR, 5.5, 1)</t>
        </is>
      </c>
      <c r="E16" s="47" t="n"/>
      <c r="F16" s="47" t="n"/>
      <c r="G16" s="47" t="inlineStr">
        <is>
          <t>Marvin Mims (WR, 6.2, 4)</t>
        </is>
      </c>
      <c r="H16" s="47" t="n"/>
      <c r="I16" s="47" t="inlineStr">
        <is>
          <t>Kyle Williams (WR, 7.3, 4)</t>
        </is>
      </c>
      <c r="J16" s="48" t="n"/>
      <c r="K16" s="47" t="inlineStr">
        <is>
          <t>Christian Kirk (WR, 5, 1)</t>
        </is>
      </c>
      <c r="L16" s="47" t="n"/>
      <c r="M16" s="47" t="n"/>
      <c r="N16" s="47" t="n"/>
      <c r="O16" s="47" t="n"/>
      <c r="P16" s="47" t="n"/>
      <c r="Q16" s="47" t="n"/>
      <c r="R16" s="47" t="n"/>
      <c r="S16" s="47" t="n"/>
      <c r="T16" s="47" t="n"/>
      <c r="U16" s="47" t="n"/>
      <c r="V16" s="47" t="n"/>
      <c r="W16" s="47" t="n"/>
      <c r="X16" s="47" t="n"/>
      <c r="Y16" s="47" t="n"/>
      <c r="Z16" s="47" t="n"/>
    </row>
    <row r="17" ht="15.75" customHeight="1" s="54">
      <c r="A17" s="47" t="inlineStr">
        <is>
          <t>141-150</t>
        </is>
      </c>
      <c r="B17" s="47" t="inlineStr">
        <is>
          <t>Jack Bech (WR, 8, 4)</t>
        </is>
      </c>
      <c r="C17" s="47" t="inlineStr">
        <is>
          <t>Jalen McMillan (WR, 7.7, 4)</t>
        </is>
      </c>
      <c r="D17" s="47" t="n"/>
      <c r="E17" s="47" t="n"/>
      <c r="F17" s="48" t="n"/>
      <c r="G17" s="47" t="n"/>
      <c r="H17" s="47" t="n"/>
      <c r="I17" s="47" t="inlineStr">
        <is>
          <t>Marquise Brown (WR, 5.6, 2)</t>
        </is>
      </c>
      <c r="J17" s="47" t="n"/>
      <c r="K17" s="47" t="n"/>
      <c r="L17" s="47" t="n"/>
      <c r="M17" s="47" t="n"/>
      <c r="N17" s="47" t="n"/>
      <c r="O17" s="47" t="n"/>
      <c r="P17" s="47" t="n"/>
      <c r="Q17" s="47" t="n"/>
      <c r="R17" s="47" t="n"/>
      <c r="S17" s="47" t="n"/>
      <c r="T17" s="47" t="n"/>
      <c r="U17" s="47" t="n"/>
      <c r="V17" s="47" t="n"/>
      <c r="W17" s="47" t="n"/>
      <c r="X17" s="47" t="n"/>
      <c r="Y17" s="47" t="n"/>
      <c r="Z17" s="47" t="n"/>
    </row>
  </sheetData>
  <conditionalFormatting sqref="A3:Z17">
    <cfRule type="endsWith" priority="1" operator="endsWith" dxfId="16" text="1)">
      <formula>RIGHT((A3),LEN("1)"))=("1)")</formula>
    </cfRule>
    <cfRule type="endsWith" priority="2" operator="endsWith" dxfId="15" text="2)">
      <formula>RIGHT((A3),LEN("2)"))=("2)")</formula>
    </cfRule>
    <cfRule type="endsWith" priority="3" operator="endsWith" dxfId="14" text="3)">
      <formula>RIGHT((A3),LEN("3)"))=("3)")</formula>
    </cfRule>
    <cfRule type="endsWith" priority="4" operator="endsWith" dxfId="13" text="4)">
      <formula>RIGHT((A3),LEN("4)"))=("4)")</formula>
    </cfRule>
    <cfRule type="endsWith" priority="5" operator="endsWith" dxfId="12" text="5)">
      <formula>RIGHT((A3),LEN("5)"))=("5)")</formula>
    </cfRule>
  </conditionalFormatting>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Z17"/>
  <sheetViews>
    <sheetView workbookViewId="0">
      <selection activeCell="A1" sqref="A1"/>
    </sheetView>
  </sheetViews>
  <sheetFormatPr baseColWidth="10" defaultColWidth="12.5" defaultRowHeight="15.75" customHeight="1"/>
  <sheetData>
    <row r="1" ht="13" customHeight="1" s="54">
      <c r="B1" s="26" t="inlineStr">
        <is>
          <t>Rank</t>
        </is>
      </c>
    </row>
    <row r="2" ht="13" customHeight="1" s="54">
      <c r="A2" s="26" t="inlineStr">
        <is>
          <t xml:space="preserve">Average </t>
        </is>
      </c>
    </row>
    <row r="3" ht="70.5" customHeight="1" s="54">
      <c r="A3" s="46" t="inlineStr">
        <is>
          <t>1-10</t>
        </is>
      </c>
      <c r="B3" s="47" t="n"/>
      <c r="C3" s="47" t="n"/>
      <c r="D3" s="47" t="n"/>
      <c r="E3" s="47" t="n"/>
      <c r="F3" s="47" t="n"/>
      <c r="G3" s="47" t="n"/>
      <c r="H3" s="47" t="n"/>
      <c r="I3" s="48" t="n"/>
      <c r="J3" s="48" t="n"/>
      <c r="K3" s="47" t="n"/>
      <c r="L3" s="47" t="n"/>
      <c r="M3" s="47" t="n"/>
      <c r="N3" s="47" t="n"/>
      <c r="O3" s="47" t="n"/>
      <c r="P3" s="47" t="n"/>
      <c r="Q3" s="47" t="n"/>
      <c r="R3" s="47" t="n"/>
      <c r="S3" s="47" t="n"/>
      <c r="T3" s="47" t="n"/>
      <c r="U3" s="47" t="n"/>
      <c r="V3" s="47" t="n"/>
      <c r="W3" s="47" t="n"/>
      <c r="X3" s="47" t="n"/>
      <c r="Y3" s="47" t="n"/>
      <c r="Z3" s="47" t="n"/>
    </row>
    <row r="4" ht="14" customHeight="1" s="54">
      <c r="A4" s="46" t="inlineStr">
        <is>
          <t>11-20</t>
        </is>
      </c>
      <c r="B4" s="48" t="n"/>
      <c r="C4" s="48" t="n"/>
      <c r="D4" s="48" t="n"/>
      <c r="E4" s="47" t="n"/>
      <c r="F4" s="47" t="n"/>
      <c r="G4" s="48" t="n"/>
      <c r="H4" s="47" t="n"/>
      <c r="I4" s="47" t="n"/>
      <c r="J4" s="47" t="n"/>
      <c r="K4" s="47" t="n"/>
      <c r="L4" s="47" t="n"/>
      <c r="M4" s="47" t="n"/>
      <c r="N4" s="47" t="n"/>
      <c r="O4" s="47" t="n"/>
      <c r="P4" s="47" t="n"/>
      <c r="Q4" s="47" t="n"/>
      <c r="R4" s="47" t="n"/>
      <c r="S4" s="47" t="n"/>
      <c r="T4" s="47" t="n"/>
      <c r="U4" s="47" t="n"/>
      <c r="V4" s="47" t="n"/>
      <c r="W4" s="47" t="n"/>
      <c r="X4" s="47" t="n"/>
      <c r="Y4" s="47" t="n"/>
      <c r="Z4" s="47" t="n"/>
    </row>
    <row r="5" ht="14" customHeight="1" s="54">
      <c r="A5" s="46" t="inlineStr">
        <is>
          <t>21-30</t>
        </is>
      </c>
      <c r="B5" s="47" t="n"/>
      <c r="C5" s="47" t="n"/>
      <c r="D5" s="48" t="n"/>
      <c r="E5" s="47" t="n"/>
      <c r="F5" s="48" t="n"/>
      <c r="G5" s="47" t="n"/>
      <c r="H5" s="47" t="n"/>
      <c r="I5" s="47" t="n"/>
      <c r="J5" s="47" t="n"/>
      <c r="K5" s="48" t="n"/>
      <c r="L5" s="47" t="n"/>
      <c r="M5" s="47" t="n"/>
      <c r="N5" s="47" t="n"/>
      <c r="O5" s="47" t="n"/>
      <c r="P5" s="47" t="n"/>
      <c r="Q5" s="47" t="n"/>
      <c r="R5" s="47" t="n"/>
      <c r="S5" s="47" t="n"/>
      <c r="T5" s="47" t="n"/>
      <c r="U5" s="47" t="n"/>
      <c r="V5" s="47" t="n"/>
      <c r="W5" s="47" t="n"/>
      <c r="X5" s="47" t="n"/>
      <c r="Y5" s="47" t="n"/>
      <c r="Z5" s="47" t="n"/>
    </row>
    <row r="6" ht="14" customHeight="1" s="54">
      <c r="A6" s="46" t="inlineStr">
        <is>
          <t>31-40</t>
        </is>
      </c>
      <c r="B6" s="47" t="n"/>
      <c r="C6" s="47" t="n"/>
      <c r="D6" s="47" t="n"/>
      <c r="E6" s="47" t="n"/>
      <c r="F6" s="47" t="n"/>
      <c r="G6" s="47" t="n"/>
      <c r="H6" s="47" t="n"/>
      <c r="I6" s="47" t="n"/>
      <c r="J6" s="47" t="n"/>
      <c r="K6" s="48" t="n"/>
      <c r="L6" s="47" t="n"/>
      <c r="M6" s="47" t="n"/>
      <c r="N6" s="47" t="n"/>
      <c r="O6" s="47" t="n"/>
      <c r="P6" s="47" t="n"/>
      <c r="Q6" s="47" t="n"/>
      <c r="R6" s="47" t="n"/>
      <c r="S6" s="47" t="n"/>
      <c r="T6" s="47" t="n"/>
      <c r="U6" s="47" t="n"/>
      <c r="V6" s="47" t="n"/>
      <c r="W6" s="47" t="n"/>
      <c r="X6" s="47" t="n"/>
      <c r="Y6" s="47" t="n"/>
      <c r="Z6" s="47" t="n"/>
    </row>
    <row r="7" ht="14" customHeight="1" s="54">
      <c r="A7" s="46" t="inlineStr">
        <is>
          <t>41-50</t>
        </is>
      </c>
      <c r="B7" s="47" t="n"/>
      <c r="C7" s="47" t="n"/>
      <c r="D7" s="47" t="n"/>
      <c r="E7" s="47" t="n"/>
      <c r="F7" s="47" t="n"/>
      <c r="G7" s="47" t="n"/>
      <c r="H7" s="47" t="n"/>
      <c r="I7" s="47" t="n"/>
      <c r="J7" s="47" t="n"/>
      <c r="K7" s="47" t="n"/>
      <c r="L7" s="47" t="n"/>
      <c r="M7" s="47" t="n"/>
      <c r="N7" s="47" t="n"/>
      <c r="O7" s="47" t="n"/>
      <c r="P7" s="47" t="n"/>
      <c r="Q7" s="47" t="n"/>
      <c r="R7" s="47" t="n"/>
      <c r="S7" s="47" t="n"/>
      <c r="T7" s="47" t="n"/>
      <c r="U7" s="47" t="n"/>
      <c r="V7" s="47" t="n"/>
      <c r="W7" s="47" t="n"/>
      <c r="X7" s="47" t="n"/>
      <c r="Y7" s="47" t="n"/>
      <c r="Z7" s="47" t="n"/>
    </row>
    <row r="8" ht="14" customHeight="1" s="54">
      <c r="A8" s="46" t="inlineStr">
        <is>
          <t>51-60</t>
        </is>
      </c>
      <c r="B8" s="47" t="n"/>
      <c r="C8" s="47" t="n"/>
      <c r="D8" s="47" t="n"/>
      <c r="E8" s="48" t="n"/>
      <c r="F8" s="47" t="n"/>
      <c r="G8" s="47" t="n"/>
      <c r="H8" s="48" t="n"/>
      <c r="I8" s="47" t="n"/>
      <c r="J8" s="47" t="n"/>
      <c r="K8" s="47" t="n"/>
      <c r="L8" s="47" t="n"/>
      <c r="M8" s="47" t="n"/>
      <c r="N8" s="47" t="n"/>
      <c r="O8" s="47" t="n"/>
      <c r="P8" s="47" t="n"/>
      <c r="Q8" s="47" t="n"/>
      <c r="R8" s="47" t="n"/>
      <c r="S8" s="47" t="n"/>
      <c r="T8" s="47" t="n"/>
      <c r="U8" s="47" t="n"/>
      <c r="V8" s="47" t="n"/>
      <c r="W8" s="47" t="n"/>
      <c r="X8" s="47" t="n"/>
      <c r="Y8" s="47" t="n"/>
      <c r="Z8" s="47" t="n"/>
    </row>
    <row r="9" ht="14" customHeight="1" s="54">
      <c r="A9" s="46" t="inlineStr">
        <is>
          <t>61-70</t>
        </is>
      </c>
      <c r="B9" s="48" t="n"/>
      <c r="C9" s="47" t="n"/>
      <c r="D9" s="47" t="n"/>
      <c r="E9" s="47" t="n"/>
      <c r="F9" s="48" t="n"/>
      <c r="G9" s="47" t="n"/>
      <c r="H9" s="47" t="n"/>
      <c r="I9" s="47" t="n"/>
      <c r="J9" s="47" t="n"/>
      <c r="K9" s="48" t="n"/>
      <c r="M9" s="47" t="n"/>
      <c r="N9" s="47" t="n"/>
      <c r="O9" s="47" t="n"/>
      <c r="P9" s="47" t="n"/>
      <c r="Q9" s="47" t="n"/>
      <c r="R9" s="47" t="n"/>
      <c r="S9" s="47" t="n"/>
      <c r="T9" s="47" t="n"/>
      <c r="U9" s="47" t="n"/>
      <c r="V9" s="47" t="n"/>
      <c r="W9" s="47" t="n"/>
      <c r="X9" s="47" t="n"/>
      <c r="Y9" s="47" t="n"/>
      <c r="Z9" s="47" t="n"/>
    </row>
    <row r="10" ht="42" customHeight="1" s="54">
      <c r="A10" s="46" t="inlineStr">
        <is>
          <t>71-80</t>
        </is>
      </c>
      <c r="B10" s="47" t="n"/>
      <c r="C10" s="47" t="inlineStr">
        <is>
          <t>Quinshon Judkins (RB, 7, 3)</t>
        </is>
      </c>
      <c r="D10" s="48" t="inlineStr">
        <is>
          <t>TreVeyon Henderson (RB, 5.4, 1)</t>
        </is>
      </c>
      <c r="E10" s="47" t="n"/>
      <c r="F10" s="48" t="inlineStr">
        <is>
          <t>Tony Pollard (RB, 6, 1)</t>
        </is>
      </c>
      <c r="G10" s="47" t="n"/>
      <c r="H10" s="47" t="n"/>
      <c r="I10" s="47" t="n"/>
      <c r="J10" s="48" t="inlineStr">
        <is>
          <t>D'Andre Swift (RB, 4.6, 1)</t>
        </is>
      </c>
      <c r="K10" s="47" t="inlineStr">
        <is>
          <t>Tyrone Tracy (RB, 7.4, 4)</t>
        </is>
      </c>
      <c r="L10" s="47" t="n"/>
      <c r="M10" s="47" t="n"/>
      <c r="N10" s="47" t="n"/>
      <c r="O10" s="47" t="n"/>
      <c r="P10" s="47" t="n"/>
      <c r="Q10" s="47" t="n"/>
      <c r="R10" s="47" t="n"/>
      <c r="S10" s="47" t="n"/>
      <c r="T10" s="47" t="n"/>
      <c r="U10" s="47" t="n"/>
      <c r="V10" s="47" t="n"/>
      <c r="W10" s="47" t="n"/>
      <c r="X10" s="47" t="n"/>
      <c r="Y10" s="47" t="n"/>
      <c r="Z10" s="47" t="n"/>
    </row>
    <row r="11" ht="42" customHeight="1" s="54">
      <c r="A11" s="46" t="inlineStr">
        <is>
          <t>81-90</t>
        </is>
      </c>
      <c r="B11" s="47" t="n"/>
      <c r="C11" s="47" t="n"/>
      <c r="D11" s="47" t="n"/>
      <c r="E11" s="47" t="n"/>
      <c r="F11" s="48" t="inlineStr">
        <is>
          <t>Brian Robinson (RB, 6.1, 1)</t>
        </is>
      </c>
      <c r="G11" s="48" t="inlineStr">
        <is>
          <t>Kaleb Johnson (RB, 5, 1)</t>
        </is>
      </c>
      <c r="H11" s="47" t="n"/>
      <c r="I11" s="47" t="inlineStr">
        <is>
          <t>Najee Harris (RB, 7.4, 4)</t>
        </is>
      </c>
      <c r="J11" s="48" t="inlineStr">
        <is>
          <t>Jaylen Warren (RB, 5.9, 1)</t>
        </is>
      </c>
      <c r="K11" s="47" t="n"/>
      <c r="L11" s="47" t="n"/>
      <c r="M11" s="47" t="n"/>
      <c r="N11" s="47" t="n"/>
      <c r="O11" s="47" t="n"/>
      <c r="P11" s="47" t="n"/>
      <c r="Q11" s="47" t="n"/>
      <c r="R11" s="47" t="n"/>
      <c r="S11" s="47" t="n"/>
      <c r="T11" s="47" t="n"/>
      <c r="U11" s="47" t="n"/>
      <c r="V11" s="47" t="n"/>
      <c r="W11" s="47" t="n"/>
      <c r="X11" s="47" t="n"/>
      <c r="Y11" s="47" t="n"/>
      <c r="Z11" s="47" t="n"/>
    </row>
    <row r="12" ht="28" customHeight="1" s="54">
      <c r="A12" s="46" t="inlineStr">
        <is>
          <t>91-100</t>
        </is>
      </c>
      <c r="B12" s="47" t="n"/>
      <c r="C12" s="47" t="n"/>
      <c r="D12" s="48" t="n"/>
      <c r="E12" s="48" t="n"/>
      <c r="F12" s="47" t="n"/>
      <c r="G12" s="47" t="inlineStr">
        <is>
          <t>Travis Etienne (RB, 5.8, 1)</t>
        </is>
      </c>
      <c r="H12" s="47" t="n"/>
      <c r="I12" s="47" t="n"/>
      <c r="J12" s="47" t="n"/>
      <c r="K12" s="47" t="n"/>
      <c r="L12" s="47" t="n"/>
      <c r="M12" s="47" t="n"/>
      <c r="N12" s="47" t="n"/>
      <c r="O12" s="47" t="n"/>
      <c r="P12" s="47" t="n"/>
      <c r="Q12" s="47" t="n"/>
      <c r="R12" s="47" t="n"/>
      <c r="S12" s="47" t="n"/>
      <c r="T12" s="47" t="n"/>
      <c r="U12" s="47" t="n"/>
      <c r="V12" s="47" t="n"/>
      <c r="W12" s="47" t="n"/>
      <c r="X12" s="47" t="n"/>
      <c r="Y12" s="47" t="n"/>
      <c r="Z12" s="47" t="n"/>
    </row>
    <row r="13" ht="42" customHeight="1" s="54">
      <c r="A13" s="46" t="inlineStr">
        <is>
          <t>101-110</t>
        </is>
      </c>
      <c r="B13" s="47" t="n"/>
      <c r="C13" s="47" t="n"/>
      <c r="D13" s="47" t="n"/>
      <c r="E13" s="47" t="n"/>
      <c r="F13" s="47" t="inlineStr">
        <is>
          <t>Cam Skattebo (RB, 6.5, 2)</t>
        </is>
      </c>
      <c r="G13" s="47" t="inlineStr">
        <is>
          <t>Javonte Williams (RB, 6.3, 2)</t>
        </is>
      </c>
      <c r="H13" s="48" t="inlineStr">
        <is>
          <t>Rhamondre Stevenson (RB, 6.7, 3)</t>
        </is>
      </c>
      <c r="I13" s="47" t="n"/>
      <c r="J13" s="47" t="n"/>
      <c r="K13" s="47" t="n"/>
      <c r="L13" s="47" t="n"/>
      <c r="M13" s="47" t="n"/>
      <c r="N13" s="47" t="n"/>
      <c r="O13" s="47" t="n"/>
      <c r="P13" s="47" t="n"/>
      <c r="Q13" s="47" t="n"/>
      <c r="R13" s="47" t="n"/>
      <c r="S13" s="47" t="n"/>
      <c r="T13" s="47" t="n"/>
      <c r="U13" s="47" t="n"/>
      <c r="V13" s="47" t="n"/>
      <c r="W13" s="47" t="n"/>
      <c r="X13" s="47" t="n"/>
      <c r="Y13" s="47" t="n"/>
      <c r="Z13" s="47" t="n"/>
    </row>
    <row r="14" ht="42" customHeight="1" s="54">
      <c r="A14" s="46" t="inlineStr">
        <is>
          <t>111-120</t>
        </is>
      </c>
      <c r="B14" s="47" t="n"/>
      <c r="C14" s="47" t="n"/>
      <c r="D14" s="47" t="n"/>
      <c r="E14" s="47" t="inlineStr">
        <is>
          <t>Zach Charbonnet (RB, 5.7, 1)</t>
        </is>
      </c>
      <c r="F14" s="47" t="n"/>
      <c r="G14" s="47" t="n"/>
      <c r="H14" s="47" t="inlineStr">
        <is>
          <t>Jake Ferguson (TE, 6.8, 4)</t>
        </is>
      </c>
      <c r="I14" s="48" t="inlineStr">
        <is>
          <t>Tyjae Spears (RB, 5.9, 1)</t>
        </is>
      </c>
      <c r="J14" s="48" t="n"/>
      <c r="K14" s="47" t="n"/>
      <c r="L14" s="47" t="n"/>
      <c r="M14" s="47" t="n"/>
      <c r="N14" s="47" t="n"/>
      <c r="O14" s="47" t="n"/>
      <c r="P14" s="47" t="n"/>
      <c r="Q14" s="47" t="n"/>
      <c r="R14" s="47" t="n"/>
      <c r="S14" s="47" t="n"/>
      <c r="T14" s="47" t="n"/>
      <c r="U14" s="47" t="n"/>
      <c r="V14" s="47" t="n"/>
      <c r="W14" s="47" t="n"/>
      <c r="X14" s="47" t="n"/>
      <c r="Y14" s="47" t="n"/>
      <c r="Z14" s="47" t="n"/>
    </row>
    <row r="15" ht="42" customHeight="1" s="54">
      <c r="A15" s="46" t="inlineStr">
        <is>
          <t>121-130</t>
        </is>
      </c>
      <c r="B15" s="47" t="n"/>
      <c r="C15" s="48" t="n"/>
      <c r="D15" s="47" t="n"/>
      <c r="E15" s="47" t="inlineStr">
        <is>
          <t>Rachaad White (RB, 6.2, 2)</t>
        </is>
      </c>
      <c r="F15" s="47" t="n"/>
      <c r="G15" s="47" t="inlineStr">
        <is>
          <t>Tank Bigsby (RB, 7.1, 3)</t>
        </is>
      </c>
      <c r="H15" s="47" t="inlineStr">
        <is>
          <t>Rico Dowdle (RB, 8, 4)</t>
        </is>
      </c>
      <c r="I15" s="48" t="inlineStr">
        <is>
          <t>Jordan Mason (RB, 4.2, 1)</t>
        </is>
      </c>
      <c r="J15" s="47" t="n"/>
      <c r="K15" s="47" t="n"/>
      <c r="L15" s="47" t="n"/>
      <c r="M15" s="47" t="n"/>
      <c r="N15" s="47" t="n"/>
      <c r="O15" s="47" t="n"/>
      <c r="P15" s="47" t="n"/>
      <c r="Q15" s="47" t="n"/>
      <c r="R15" s="47" t="n"/>
      <c r="S15" s="47" t="n"/>
      <c r="T15" s="47" t="n"/>
      <c r="U15" s="47" t="n"/>
      <c r="V15" s="47" t="n"/>
      <c r="W15" s="47" t="n"/>
      <c r="X15" s="47" t="n"/>
      <c r="Y15" s="47" t="n"/>
      <c r="Z15" s="47" t="n"/>
    </row>
    <row r="16" ht="42" customHeight="1" s="54">
      <c r="A16" s="47" t="inlineStr">
        <is>
          <t>131-140</t>
        </is>
      </c>
      <c r="B16" s="48" t="n"/>
      <c r="C16" s="47" t="n"/>
      <c r="D16" s="47" t="n"/>
      <c r="E16" s="47" t="inlineStr">
        <is>
          <t>Jaydon Blue (RB, 6.4, 2)</t>
        </is>
      </c>
      <c r="F16" s="47" t="inlineStr">
        <is>
          <t>Bhayshul Tuten (RB, 6.6, 2)</t>
        </is>
      </c>
      <c r="G16" s="47" t="n"/>
      <c r="H16" s="47" t="n"/>
      <c r="I16" s="47" t="n"/>
      <c r="J16" s="48" t="n"/>
      <c r="K16" s="47" t="n"/>
      <c r="L16" s="47" t="n"/>
      <c r="M16" s="47" t="n"/>
      <c r="N16" s="47" t="n"/>
      <c r="O16" s="47" t="n"/>
      <c r="P16" s="47" t="n"/>
      <c r="Q16" s="47" t="n"/>
      <c r="R16" s="47" t="n"/>
      <c r="S16" s="47" t="n"/>
      <c r="T16" s="47" t="n"/>
      <c r="U16" s="47" t="n"/>
      <c r="V16" s="47" t="n"/>
      <c r="W16" s="47" t="n"/>
      <c r="X16" s="47" t="n"/>
      <c r="Y16" s="47" t="n"/>
      <c r="Z16" s="47" t="n"/>
    </row>
    <row r="17" ht="42" customHeight="1" s="54">
      <c r="A17" s="47" t="inlineStr">
        <is>
          <t>141-150</t>
        </is>
      </c>
      <c r="B17" s="47" t="n"/>
      <c r="C17" s="47" t="n"/>
      <c r="D17" s="47" t="inlineStr">
        <is>
          <t>Isaac Guerendo (RB, 5.8, 1)</t>
        </is>
      </c>
      <c r="E17" s="47" t="n"/>
      <c r="F17" s="48" t="inlineStr">
        <is>
          <t>Austin Ekeler (RB, 5.2, 1)</t>
        </is>
      </c>
      <c r="G17" s="47" t="n"/>
      <c r="H17" s="47" t="inlineStr">
        <is>
          <t>J.K. Dobbins (RB, 4.2, 1)</t>
        </is>
      </c>
      <c r="I17" s="47" t="n"/>
      <c r="J17" s="47" t="inlineStr">
        <is>
          <t>Ray Davis (RB, 4.8, 1)</t>
        </is>
      </c>
      <c r="K17" s="47" t="n"/>
      <c r="L17" s="47" t="n"/>
      <c r="M17" s="47" t="n"/>
      <c r="N17" s="47" t="n"/>
      <c r="O17" s="47" t="n"/>
      <c r="P17" s="47" t="n"/>
      <c r="Q17" s="47" t="n"/>
      <c r="R17" s="47" t="n"/>
      <c r="S17" s="47" t="n"/>
      <c r="T17" s="47" t="n"/>
      <c r="U17" s="47" t="n"/>
      <c r="V17" s="47" t="n"/>
      <c r="W17" s="47" t="n"/>
      <c r="X17" s="47" t="n"/>
      <c r="Y17" s="47" t="n"/>
      <c r="Z17" s="47" t="n"/>
    </row>
  </sheetData>
  <conditionalFormatting sqref="A3:Z17">
    <cfRule type="endsWith" priority="1" operator="endsWith" dxfId="16" text="1)">
      <formula>RIGHT((A3),LEN("1)"))=("1)")</formula>
    </cfRule>
    <cfRule type="endsWith" priority="2" operator="endsWith" dxfId="15" text="2)">
      <formula>RIGHT((A3),LEN("2)"))=("2)")</formula>
    </cfRule>
    <cfRule type="endsWith" priority="3" operator="endsWith" dxfId="14" text="3)">
      <formula>RIGHT((A3),LEN("3)"))=("3)")</formula>
    </cfRule>
    <cfRule type="endsWith" priority="4" operator="endsWith" dxfId="13" text="4)">
      <formula>RIGHT((A3),LEN("4)"))=("4)")</formula>
    </cfRule>
    <cfRule type="endsWith" priority="5" operator="endsWith" dxfId="12" text="5)">
      <formula>RIGHT((A3),LEN("5)"))=("5)")</formula>
    </cfRule>
  </conditionalFormatting>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B1:E6"/>
  <sheetViews>
    <sheetView workbookViewId="0">
      <selection activeCell="A1" sqref="A1"/>
    </sheetView>
  </sheetViews>
  <sheetFormatPr baseColWidth="10" defaultColWidth="12.5" defaultRowHeight="15.75" customHeight="1"/>
  <sheetData>
    <row r="1" ht="15.75" customHeight="1" s="54">
      <c r="B1" s="26" t="inlineStr">
        <is>
          <t>RB</t>
        </is>
      </c>
      <c r="C1" s="26" t="inlineStr">
        <is>
          <t>WR</t>
        </is>
      </c>
      <c r="D1" s="26" t="inlineStr">
        <is>
          <t>QB</t>
        </is>
      </c>
      <c r="E1" s="26" t="inlineStr">
        <is>
          <t>TE</t>
        </is>
      </c>
    </row>
    <row r="2" ht="15.75" customHeight="1" s="54">
      <c r="B2">
        <f>IFERROR(__xludf.DUMMYFUNCTION("PERCENTILE(FILTER('ALL PPR Drafts'!$H2:$H148, 'ALL PPR Drafts'!$F2:$F148 = ""RB""), 0)"),1)</f>
        <v/>
      </c>
      <c r="C2">
        <f>IFERROR(__xludf.DUMMYFUNCTION("PERCENTILE(FILTER('ALL PPR Drafts'!$H2:$H148, 'ALL PPR Drafts'!$F2:$F148 = ""WR""), 0)"),0.5)</f>
        <v/>
      </c>
      <c r="D2">
        <f>IFERROR(__xludf.DUMMYFUNCTION("PERCENTILE(FILTER('ALL PPR Drafts'!$H2:$H148, 'ALL PPR Drafts'!$F2:$F148 = ""QB""), 0)"),0.7)</f>
        <v/>
      </c>
      <c r="E2">
        <f>IFERROR(__xludf.DUMMYFUNCTION("PERCENTILE(FILTER('ALL PPR Drafts'!$H2:$H148, 'ALL PPR Drafts'!$F2:$F148 = ""TE""), 0)"),2)</f>
        <v/>
      </c>
    </row>
    <row r="3" ht="15.75" customHeight="1" s="54">
      <c r="B3">
        <f>IFERROR(__xludf.DUMMYFUNCTION("PERCENTILE(FILTER('ALL PPR Drafts'!$H2:$H148, 'ALL PPR Drafts'!$F2:$F148 = ""RB""), 0.25)"),5.7)</f>
        <v/>
      </c>
      <c r="C3">
        <f>IFERROR(__xludf.DUMMYFUNCTION("PERCENTILE(FILTER('ALL PPR Drafts'!$H2:$H148, 'ALL PPR Drafts'!$F2:$F148 = ""WR""), 0.25)"),5.3)</f>
        <v/>
      </c>
      <c r="D3">
        <f>IFERROR(__xludf.DUMMYFUNCTION("PERCENTILE(FILTER('ALL PPR Drafts'!$H2:$H148, 'ALL PPR Drafts'!$F2:$F148 = ""QB""), 0.25)"),7.025)</f>
        <v/>
      </c>
      <c r="E3">
        <f>IFERROR(__xludf.DUMMYFUNCTION("PERCENTILE(FILTER('ALL PPR Drafts'!$H2:$H148, 'ALL PPR Drafts'!$F2:$F148 = ""TE""), 0.25)"),5.9)</f>
        <v/>
      </c>
    </row>
    <row r="4" ht="15.75" customHeight="1" s="54">
      <c r="B4">
        <f>IFERROR(__xludf.DUMMYFUNCTION("PERCENTILE(FILTER('ALL PPR Drafts'!$H2:$H148, 'ALL PPR Drafts'!$F2:$F148 = ""RB""), 0.5)"),8.3)</f>
        <v/>
      </c>
      <c r="C4">
        <f>IFERROR(__xludf.DUMMYFUNCTION("PERCENTILE(FILTER('ALL PPR Drafts'!$H2:$H148, 'ALL PPR Drafts'!$F2:$F148 = ""WR""), 0.5)"),8.8)</f>
        <v/>
      </c>
      <c r="D4">
        <f>IFERROR(__xludf.DUMMYFUNCTION("PERCENTILE(FILTER('ALL PPR Drafts'!$H2:$H148, 'ALL PPR Drafts'!$F2:$F148 = ""QB""), 0.5)"),10.5)</f>
        <v/>
      </c>
      <c r="E4">
        <f>IFERROR(__xludf.DUMMYFUNCTION("PERCENTILE(FILTER('ALL PPR Drafts'!$H2:$H148, 'ALL PPR Drafts'!$F2:$F148 = ""TE""), 0.5)"),12)</f>
        <v/>
      </c>
    </row>
    <row r="5" ht="15.75" customHeight="1" s="54">
      <c r="B5">
        <f>IFERROR(__xludf.DUMMYFUNCTION("PERCENTILE(FILTER('ALL PPR Drafts'!$H2:$H148, 'ALL PPR Drafts'!$F2:$F148 = ""RB""), 0.75)"),12.9)</f>
        <v/>
      </c>
      <c r="C5">
        <f>IFERROR(__xludf.DUMMYFUNCTION("PERCENTILE(FILTER('ALL PPR Drafts'!$H2:$H148, 'ALL PPR Drafts'!$F2:$F148 = ""WR""), 0.75)"),11.9)</f>
        <v/>
      </c>
      <c r="D5">
        <f>IFERROR(__xludf.DUMMYFUNCTION("PERCENTILE(FILTER('ALL PPR Drafts'!$H2:$H148, 'ALL PPR Drafts'!$F2:$F148 = ""QB""), 0.75)"),11.3)</f>
        <v/>
      </c>
      <c r="E5">
        <f>IFERROR(__xludf.DUMMYFUNCTION("PERCENTILE(FILTER('ALL PPR Drafts'!$H2:$H148, 'ALL PPR Drafts'!$F2:$F148 = ""TE""), 0.75)"),15.7)</f>
        <v/>
      </c>
    </row>
    <row r="6" ht="15.75" customHeight="1" s="54">
      <c r="B6">
        <f>IFERROR(__xludf.DUMMYFUNCTION("PERCENTILE(FILTER('ALL PPR Drafts'!$H2:$H148, 'ALL PPR Drafts'!$F2:$F148 = ""RB""), 1)"),52.3)</f>
        <v/>
      </c>
      <c r="C6">
        <f>IFERROR(__xludf.DUMMYFUNCTION("PERCENTILE(FILTER('ALL PPR Drafts'!$H2:$H148, 'ALL PPR Drafts'!$F2:$F148 = ""WR""), 1)"),49)</f>
        <v/>
      </c>
      <c r="D6">
        <f>IFERROR(__xludf.DUMMYFUNCTION("PERCENTILE(FILTER('ALL PPR Drafts'!$H2:$H148, 'ALL PPR Drafts'!$F2:$F148 = ""QB""), 1)"),24.7)</f>
        <v/>
      </c>
      <c r="E6">
        <f>IFERROR(__xludf.DUMMYFUNCTION("PERCENTILE(FILTER('ALL PPR Drafts'!$H2:$H148, 'ALL PPR Drafts'!$F2:$F148 = ""TE""), 1)"),32.5)</f>
        <v/>
      </c>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K17"/>
  <sheetViews>
    <sheetView workbookViewId="0">
      <selection activeCell="A1" sqref="A1"/>
    </sheetView>
  </sheetViews>
  <sheetFormatPr baseColWidth="10" defaultColWidth="12.5" defaultRowHeight="15.75" customHeight="1"/>
  <cols>
    <col width="16.5" customWidth="1" style="54" min="2" max="2"/>
  </cols>
  <sheetData>
    <row r="1" ht="15.75" customHeight="1" s="54">
      <c r="B1" s="26" t="inlineStr">
        <is>
          <t>Picks</t>
        </is>
      </c>
    </row>
    <row r="2" ht="15.75" customHeight="1" s="54">
      <c r="A2" s="26" t="inlineStr">
        <is>
          <t>Rounds</t>
        </is>
      </c>
      <c r="B2" s="26" t="n">
        <v>1</v>
      </c>
      <c r="C2" s="26" t="n">
        <v>2</v>
      </c>
      <c r="D2" s="26" t="n">
        <v>3</v>
      </c>
      <c r="E2" s="26" t="n">
        <v>4</v>
      </c>
      <c r="F2" s="26" t="n">
        <v>5</v>
      </c>
      <c r="G2" s="26" t="n">
        <v>6</v>
      </c>
      <c r="H2" s="26" t="n">
        <v>7</v>
      </c>
      <c r="I2" s="26" t="n">
        <v>8</v>
      </c>
      <c r="J2" s="26" t="n">
        <v>9</v>
      </c>
      <c r="K2" s="26" t="n">
        <v>10</v>
      </c>
    </row>
    <row r="3" ht="15.75" customHeight="1" s="54">
      <c r="A3" s="52" t="inlineStr">
        <is>
          <t>1</t>
        </is>
      </c>
      <c r="B3" s="47">
        <f>IFERROR(__xludf.DUMMYFUNCTION("TRANSPOSE(
  FILTER(
    IF(
      'ALL PPR Drafts'!C$2:C1000 = """",
      'ALL PPR Drafts'!D$2:D1000 &amp; "" ("" &amp; 'ALL PPR Drafts'!F$2:F1000 &amp; "")"",
      """"
    ),
    VALUE(#REF!) &gt;= 1,
    VALUE(#REF!) &lt;= 10.99
  )
)
"),"#N/A")</f>
        <v/>
      </c>
      <c r="C3" s="47" t="n"/>
      <c r="D3" s="47" t="n"/>
      <c r="E3" s="47" t="n"/>
      <c r="F3" s="47" t="n"/>
      <c r="G3" s="47" t="n"/>
      <c r="H3" s="47" t="n"/>
      <c r="I3" s="47" t="n"/>
    </row>
    <row r="4" ht="15.75" customHeight="1" s="54">
      <c r="A4" s="52" t="inlineStr">
        <is>
          <t>2</t>
        </is>
      </c>
      <c r="B4" s="47">
        <f>IFERROR(__xludf.DUMMYFUNCTION("TRANSPOSE(
  SORT(
    FILTER(
      IF(
        'ALL PPR Drafts'!C$2:C1000 = """",
        'ALL PPR Drafts'!D$2:D1000 &amp; "" ("" &amp; 'ALL PPR Drafts'!F$2:F1000 &amp; "")"",
        """"
      ),
      (VALUE(#REF!) &gt;= 11) * (VALUE(#REF!) &lt;= 20.99)
    ),
    ROW"&amp;"(#REF!) - ROW(#REF!) + 1, 
    FALSE
  )
)
"),"#REF!")</f>
        <v/>
      </c>
      <c r="C4" s="47" t="n"/>
      <c r="D4" s="47" t="n"/>
      <c r="E4" s="47" t="n"/>
      <c r="F4" s="47" t="n"/>
      <c r="G4" s="47" t="n"/>
      <c r="H4" s="47" t="n"/>
      <c r="I4" s="47" t="n"/>
    </row>
    <row r="5" ht="15.75" customHeight="1" s="54">
      <c r="A5" s="52" t="inlineStr">
        <is>
          <t>3</t>
        </is>
      </c>
      <c r="B5" s="47">
        <f>IFERROR(__xludf.DUMMYFUNCTION("TRANSPOSE(
  FILTER(
    IF(
      'ALL PPR Drafts'!C$2:C1000 = """",
      'ALL PPR Drafts'!D$2:D1000 &amp; "" ("" &amp; 'ALL PPR Drafts'!F$2:F1000 &amp; "")"",
      """"
    ),
    VALUE(#REF!) &gt;= 21,
    VALUE(#REF!) &lt;= 30.99
  )
)
"),"#N/A")</f>
        <v/>
      </c>
      <c r="C5" s="47" t="n"/>
      <c r="D5" s="47" t="n"/>
      <c r="E5" s="47" t="n"/>
      <c r="F5" s="47" t="n"/>
      <c r="G5" s="47" t="n"/>
      <c r="H5" s="47" t="n"/>
      <c r="I5" s="47" t="n"/>
    </row>
    <row r="6" ht="15.75" customHeight="1" s="54">
      <c r="A6" s="52" t="inlineStr">
        <is>
          <t>4</t>
        </is>
      </c>
      <c r="B6" s="47">
        <f>IFERROR(__xludf.DUMMYFUNCTION("TRANSPOSE(
  FILTER(
    IF(
      'ALL PPR Drafts'!C$2:C1000 = """",
      'ALL PPR Drafts'!D$2:D1000 &amp; "" ("" &amp; 'ALL PPR Drafts'!F$2:F1000 &amp; "")"",
      """"
    ),
    VALUE(#REF!) &gt;= 31,
    VALUE(#REF!) &lt;= 40.99
  )
)
"),"#N/A")</f>
        <v/>
      </c>
      <c r="C6" s="47" t="n"/>
      <c r="D6" s="47" t="n"/>
      <c r="E6" s="47" t="n"/>
      <c r="F6" s="47" t="n"/>
      <c r="G6" s="47" t="n"/>
      <c r="H6" s="47" t="n"/>
      <c r="I6" s="47" t="n"/>
    </row>
    <row r="7" ht="15.75" customHeight="1" s="54">
      <c r="A7" s="52" t="inlineStr">
        <is>
          <t>5</t>
        </is>
      </c>
      <c r="B7" s="47">
        <f>IFERROR(__xludf.DUMMYFUNCTION("TRANSPOSE(
  FILTER(
    IF(
      'ALL PPR Drafts'!C$2:C1000 = """",
      'ALL PPR Drafts'!D$2:D1000 &amp; "" ("" &amp; 'ALL PPR Drafts'!F$2:F1000 &amp; "")"",
      """"
    ),
    VALUE(#REF!) &gt;= 41,
    VALUE(#REF!) &lt;= 51.99
  )
)
"),"#N/A")</f>
        <v/>
      </c>
      <c r="C7" s="47" t="n"/>
      <c r="D7" s="47" t="n"/>
      <c r="E7" s="47" t="n"/>
      <c r="F7" s="47" t="n"/>
      <c r="G7" s="47" t="n"/>
      <c r="H7" s="47" t="n"/>
      <c r="I7" s="47" t="n"/>
    </row>
    <row r="8" ht="15.75" customHeight="1" s="54">
      <c r="A8" s="52" t="inlineStr">
        <is>
          <t>6</t>
        </is>
      </c>
      <c r="B8" s="47">
        <f>IFERROR(__xludf.DUMMYFUNCTION("TRANSPOSE(
  FILTER(
    IF(
      'ALL PPR Drafts'!C$2:C1000 = """",
      'ALL PPR Drafts'!D$2:D1000 &amp; "" ("" &amp; 'ALL PPR Drafts'!F$2:F1000 &amp; "")"",
      """"
    ),
    VALUE(#REF!) &gt;= 52,
    VALUE(#REF!) &lt;= 61.99
  )
)
"),"#N/A")</f>
        <v/>
      </c>
      <c r="C8" s="47" t="n"/>
      <c r="D8" s="47" t="n"/>
      <c r="E8" s="47" t="n"/>
      <c r="F8" s="47" t="n"/>
      <c r="G8" s="47" t="n"/>
      <c r="H8" s="47" t="n"/>
      <c r="I8" s="47" t="n"/>
    </row>
    <row r="9" ht="15.75" customHeight="1" s="54">
      <c r="A9" s="52" t="inlineStr">
        <is>
          <t>7</t>
        </is>
      </c>
      <c r="B9" s="47">
        <f>IFERROR(__xludf.DUMMYFUNCTION("TRANSPOSE(
  FILTER(
    IF(
      'ALL PPR Drafts'!C$2:C1000 = """",
      'ALL PPR Drafts'!D$2:D1000 &amp; "" ("" &amp; 'ALL PPR Drafts'!F$2:F1000 &amp; "")"",
      """"
    ),
    VALUE(#REF!) &gt;= 62,
    VALUE(#REF!) &lt;= 71.99
  )
)
"),"#N/A")</f>
        <v/>
      </c>
      <c r="C9" s="47" t="n"/>
      <c r="D9" s="47" t="n"/>
      <c r="E9" s="47" t="n"/>
      <c r="F9" s="47" t="n"/>
      <c r="G9" s="47" t="n"/>
      <c r="H9" s="47" t="n"/>
      <c r="I9" s="47" t="n"/>
    </row>
    <row r="10" ht="15.75" customHeight="1" s="54">
      <c r="A10" s="52" t="inlineStr">
        <is>
          <t>8</t>
        </is>
      </c>
      <c r="B10" s="47">
        <f>IFERROR(__xludf.DUMMYFUNCTION("TRANSPOSE(
  FILTER(
    IF(
      'ALL PPR Drafts'!C$2:C1000 = """",
      'ALL PPR Drafts'!D$2:D1000 &amp; "" ("" &amp; 'ALL PPR Drafts'!F$2:F1000 &amp; "")"",
      """"
    ),
    VALUE(#REF!) &gt;= 72,
    VALUE(#REF!) &lt;= 81.99
  )
)
"),"#N/A")</f>
        <v/>
      </c>
      <c r="C10" s="47" t="n"/>
      <c r="D10" s="47" t="n"/>
      <c r="E10" s="47" t="n"/>
      <c r="F10" s="47" t="n"/>
      <c r="G10" s="47" t="n"/>
      <c r="H10" s="47" t="n"/>
      <c r="I10" s="47" t="n"/>
    </row>
    <row r="11" ht="15.75" customHeight="1" s="54">
      <c r="A11" s="52" t="inlineStr">
        <is>
          <t>9</t>
        </is>
      </c>
      <c r="B11" s="47">
        <f>IFERROR(__xludf.DUMMYFUNCTION("TRANSPOSE(
  FILTER(
    IF(
      'ALL PPR Drafts'!C$2:C1000 = """",
      'ALL PPR Drafts'!D$2:D1000 &amp; "" ("" &amp; 'ALL PPR Drafts'!F$2:F1000 &amp; "")"",
      """"
    ),
    VALUE(#REF!) &gt;= 82,
    VALUE(#REF!) &lt;= 93.99
  )
)
"),"#N/A")</f>
        <v/>
      </c>
      <c r="C11" s="47" t="n"/>
      <c r="D11" s="47" t="n"/>
      <c r="E11" s="47" t="n"/>
      <c r="F11" s="47" t="n"/>
      <c r="G11" s="47" t="n"/>
      <c r="H11" s="47" t="n"/>
      <c r="I11" s="47" t="n"/>
    </row>
    <row r="12" ht="15.75" customHeight="1" s="54">
      <c r="A12" s="52" t="inlineStr">
        <is>
          <t>10</t>
        </is>
      </c>
      <c r="B12" s="47">
        <f>IFERROR(__xludf.DUMMYFUNCTION("TRANSPOSE(
  FILTER(
    IF(
      'ALL PPR Drafts'!C$2:C1000 = """",
      'ALL PPR Drafts'!D$2:D1000 &amp; "" ("" &amp; 'ALL PPR Drafts'!F$2:F1000 &amp; "")"",
      """"
    ),
    VALUE(#REF!) &gt;= 94,
    VALUE(#REF!) &lt;= 103.99
  )
)
"),"#N/A")</f>
        <v/>
      </c>
      <c r="C12" s="47" t="n"/>
      <c r="D12" s="47" t="n"/>
      <c r="E12" s="47" t="n"/>
      <c r="F12" s="47" t="n"/>
      <c r="G12" s="47" t="n"/>
      <c r="H12" s="47" t="n"/>
      <c r="I12" s="47" t="n"/>
    </row>
    <row r="13" ht="15.75" customHeight="1" s="54">
      <c r="A13" s="52" t="n"/>
      <c r="B13" s="47" t="n"/>
      <c r="C13" s="47" t="n"/>
      <c r="D13" s="47" t="n"/>
      <c r="E13" s="47" t="n"/>
      <c r="F13" s="47" t="n"/>
      <c r="G13" s="47" t="n"/>
      <c r="H13" s="47" t="n"/>
      <c r="I13" s="47" t="n"/>
    </row>
    <row r="14" ht="15.75" customHeight="1" s="54">
      <c r="A14" s="52" t="n"/>
      <c r="B14" s="47" t="n"/>
      <c r="C14" s="47" t="n"/>
      <c r="D14" s="47" t="n"/>
      <c r="E14" s="47" t="n"/>
      <c r="F14" s="47" t="n"/>
      <c r="G14" s="47" t="n"/>
      <c r="H14" s="47" t="n"/>
      <c r="I14" s="47" t="n"/>
    </row>
    <row r="15" ht="15.75" customHeight="1" s="54">
      <c r="A15" s="52" t="n"/>
      <c r="B15" s="47" t="n"/>
      <c r="C15" s="47" t="n"/>
      <c r="D15" s="47" t="n"/>
      <c r="E15" s="47" t="n"/>
      <c r="F15" s="47" t="n"/>
      <c r="G15" s="47" t="n"/>
      <c r="H15" s="47" t="n"/>
      <c r="I15" s="47" t="n"/>
    </row>
    <row r="16" ht="15.75" customHeight="1" s="54">
      <c r="B16" s="47" t="n"/>
      <c r="C16" s="47" t="n"/>
      <c r="D16" s="47" t="n"/>
      <c r="E16" s="47" t="n"/>
      <c r="F16" s="47" t="n"/>
      <c r="G16" s="47" t="n"/>
      <c r="H16" s="47" t="n"/>
      <c r="I16" s="47" t="n"/>
    </row>
    <row r="17" ht="15.75" customHeight="1" s="54">
      <c r="B17" s="47" t="n"/>
      <c r="C17" s="47" t="n"/>
      <c r="D17" s="47" t="n"/>
      <c r="E17" s="47" t="n"/>
      <c r="F17" s="47" t="n"/>
      <c r="G17" s="47" t="n"/>
      <c r="H17" s="47" t="n"/>
      <c r="I17" s="47" t="n"/>
    </row>
  </sheetData>
  <conditionalFormatting sqref="A3:Y17">
    <cfRule type="containsText" priority="1" operator="containsText" dxfId="3" text="QB">
      <formula>NOT(ISERROR(SEARCH(("QB"),(A3))))</formula>
    </cfRule>
    <cfRule type="containsText" priority="2" operator="containsText" dxfId="2" text="WR">
      <formula>NOT(ISERROR(SEARCH(("WR"),(A3))))</formula>
    </cfRule>
    <cfRule type="containsText" priority="3" operator="containsText" dxfId="1" text="RB">
      <formula>NOT(ISERROR(SEARCH(("RB"),(A3))))</formula>
    </cfRule>
    <cfRule type="containsText" priority="4" operator="containsText" dxfId="0" text="TE">
      <formula>NOT(ISERROR(SEARCH(("TE"),(A3))))</formula>
    </cfRule>
  </conditionalFormatting>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K17"/>
  <sheetViews>
    <sheetView workbookViewId="0">
      <selection activeCell="A1" sqref="A1"/>
    </sheetView>
  </sheetViews>
  <sheetFormatPr baseColWidth="10" defaultColWidth="12.5" defaultRowHeight="15.75" customHeight="1"/>
  <cols>
    <col width="16.5" customWidth="1" style="54" min="2" max="2"/>
  </cols>
  <sheetData>
    <row r="1" ht="15.75" customHeight="1" s="54">
      <c r="B1" s="26" t="inlineStr">
        <is>
          <t>Picks</t>
        </is>
      </c>
    </row>
    <row r="2" ht="15.75" customHeight="1" s="54">
      <c r="A2" s="26" t="inlineStr">
        <is>
          <t>Rounds</t>
        </is>
      </c>
      <c r="B2" s="26" t="n">
        <v>1</v>
      </c>
      <c r="C2" s="26" t="n">
        <v>2</v>
      </c>
      <c r="D2" s="26" t="n">
        <v>3</v>
      </c>
      <c r="E2" s="26" t="n">
        <v>4</v>
      </c>
      <c r="F2" s="26" t="n">
        <v>5</v>
      </c>
      <c r="G2" s="26" t="n">
        <v>6</v>
      </c>
      <c r="H2" s="26" t="n">
        <v>7</v>
      </c>
      <c r="I2" s="26" t="n">
        <v>8</v>
      </c>
      <c r="J2" s="26" t="n">
        <v>9</v>
      </c>
      <c r="K2" s="26" t="n">
        <v>10</v>
      </c>
    </row>
    <row r="3" ht="15.75" customHeight="1" s="54">
      <c r="A3" s="52" t="inlineStr">
        <is>
          <t>1</t>
        </is>
      </c>
      <c r="B3" s="47">
        <f>IFERROR(__xludf.DUMMYFUNCTION("TRANSPOSE(
  FILTER(
    IF(
      'ALL PPR Drafts'!C$2:C1000 = """",
      'ALL PPR Drafts'!D$2:D1000 &amp; "" ("" &amp; 'ALL PPR Drafts'!F$2:F1000 &amp; "")"",
      """"
    ),
    VALUE(#REF!) &gt;= 1,
    VALUE(#REF!) &lt;= 10.99
  )
)
"),"#N/A")</f>
        <v/>
      </c>
      <c r="C3" s="47" t="n"/>
      <c r="D3" s="47" t="n"/>
      <c r="E3" s="47" t="n"/>
      <c r="F3" s="47" t="n"/>
      <c r="G3" s="47" t="n"/>
      <c r="H3" s="47" t="n"/>
      <c r="I3" s="47" t="n"/>
    </row>
    <row r="4" ht="15.75" customHeight="1" s="54">
      <c r="A4" s="52" t="inlineStr">
        <is>
          <t>2</t>
        </is>
      </c>
      <c r="B4" s="47">
        <f>IFERROR(__xludf.DUMMYFUNCTION("TRANSPOSE(
  FILTER(
    IF(
      'ALL PPR Drafts'!C$2:C1000 = """",
      'ALL PPR Drafts'!D$2:D1000 &amp; "" ("" &amp; 'ALL PPR Drafts'!F$2:F1000 &amp; "")"",
      """"
    ),
    VALUE(#REF!) &gt;= 11,
    VALUE(#REF!) &lt;= 20.99
  )
)
"),"#N/A")</f>
        <v/>
      </c>
      <c r="C4" s="47" t="n"/>
      <c r="D4" s="47" t="n"/>
      <c r="E4" s="47" t="n"/>
      <c r="F4" s="47" t="n"/>
      <c r="G4" s="47" t="n"/>
      <c r="H4" s="47" t="n"/>
      <c r="I4" s="47" t="n"/>
    </row>
    <row r="5" ht="15.75" customHeight="1" s="54">
      <c r="A5" s="52" t="inlineStr">
        <is>
          <t>3</t>
        </is>
      </c>
      <c r="B5" s="47">
        <f>IFERROR(__xludf.DUMMYFUNCTION("TRANSPOSE(
  FILTER(
    IF(
      'ALL PPR Drafts'!C$2:C1000 = """",
      'ALL PPR Drafts'!D$2:D1000 &amp; "" ("" &amp; 'ALL PPR Drafts'!F$2:F1000 &amp; "")"",
      """"
    ),
    VALUE(#REF!) &gt;= 21,
    VALUE(#REF!) &lt;= 30.99
  )
)
"),"#N/A")</f>
        <v/>
      </c>
      <c r="C5" s="47" t="n"/>
      <c r="D5" s="47" t="n"/>
      <c r="E5" s="47" t="n"/>
      <c r="F5" s="47" t="n"/>
      <c r="G5" s="47" t="n"/>
      <c r="H5" s="47" t="n"/>
      <c r="I5" s="47" t="n"/>
    </row>
    <row r="6" ht="15.75" customHeight="1" s="54">
      <c r="A6" s="52" t="inlineStr">
        <is>
          <t>4</t>
        </is>
      </c>
      <c r="B6" s="47">
        <f>IFERROR(__xludf.DUMMYFUNCTION("TRANSPOSE(
  FILTER(
    IF(
      'ALL PPR Drafts'!C$2:C1000 = """",
      'ALL PPR Drafts'!D$2:D1000 &amp; "" ("" &amp; 'ALL PPR Drafts'!F$2:F1000 &amp; "")"",
      """"
    ),
    VALUE(#REF!) &gt;= 31,
    VALUE(#REF!) &lt;= 40.99
  )
)
"),"#N/A")</f>
        <v/>
      </c>
      <c r="C6" s="47" t="n"/>
      <c r="D6" s="47" t="n"/>
      <c r="E6" s="47" t="n"/>
      <c r="F6" s="47" t="n"/>
      <c r="G6" s="47" t="n"/>
      <c r="H6" s="47" t="n"/>
      <c r="I6" s="47" t="n"/>
    </row>
    <row r="7" ht="15.75" customHeight="1" s="54">
      <c r="A7" s="52" t="inlineStr">
        <is>
          <t>5</t>
        </is>
      </c>
      <c r="B7" s="47">
        <f>IFERROR(__xludf.DUMMYFUNCTION("TRANSPOSE(
  FILTER(
    IF(
      'ALL PPR Drafts'!C$2:C1000 = """",
      'ALL PPR Drafts'!D$2:D1000 &amp; "" ("" &amp; 'ALL PPR Drafts'!F$2:F1000 &amp; "")"",
      """"
    ),
    VALUE(#REF!) &gt;= 41,
    VALUE(#REF!) &lt;= 50.99
  )
)
"),"#N/A")</f>
        <v/>
      </c>
      <c r="C7" s="47" t="n"/>
      <c r="D7" s="47" t="n"/>
      <c r="E7" s="47" t="n"/>
      <c r="F7" s="47" t="n"/>
      <c r="G7" s="47" t="n"/>
      <c r="H7" s="47" t="n"/>
      <c r="I7" s="47" t="n"/>
    </row>
    <row r="8" ht="15.75" customHeight="1" s="54">
      <c r="A8" s="52" t="inlineStr">
        <is>
          <t>6</t>
        </is>
      </c>
      <c r="B8" s="47">
        <f>IFERROR(__xludf.DUMMYFUNCTION("TRANSPOSE(
  FILTER(
    IF(
      'ALL PPR Drafts'!C$2:C1000 = """",
      'ALL PPR Drafts'!D$2:D1000 &amp; "" ("" &amp; 'ALL PPR Drafts'!F$2:F1000 &amp; "")"",
      """"
    ),
    VALUE(#REF!) &gt;= 51,
    VALUE(#REF!) &lt;= 60.99
  )
)
"),"#N/A")</f>
        <v/>
      </c>
      <c r="C8" s="47" t="n"/>
      <c r="D8" s="47" t="n"/>
      <c r="E8" s="47" t="n"/>
      <c r="F8" s="47" t="n"/>
      <c r="G8" s="47" t="n"/>
      <c r="H8" s="47" t="n"/>
      <c r="I8" s="47" t="n"/>
    </row>
    <row r="9" ht="15.75" customHeight="1" s="54">
      <c r="A9" s="52" t="inlineStr">
        <is>
          <t>7</t>
        </is>
      </c>
      <c r="B9" s="47">
        <f>IFERROR(__xludf.DUMMYFUNCTION("TRANSPOSE(
  FILTER(
    IF(
      'ALL PPR Drafts'!C$2:C1000 = """",
      'ALL PPR Drafts'!D$2:D1000 &amp; "" ("" &amp; 'ALL PPR Drafts'!F$2:F1000 &amp; "")"",
      """"
    ),
    VALUE(#REF!) &gt;= 61,
    VALUE(#REF!) &lt;= 70.99
  )
)
"),"#N/A")</f>
        <v/>
      </c>
      <c r="C9" s="47" t="n"/>
      <c r="D9" s="47" t="n"/>
      <c r="E9" s="47" t="n"/>
      <c r="F9" s="47" t="n"/>
      <c r="G9" s="47" t="n"/>
      <c r="H9" s="47" t="n"/>
      <c r="I9" s="47" t="n"/>
    </row>
    <row r="10" ht="15.75" customHeight="1" s="54">
      <c r="A10" s="52" t="inlineStr">
        <is>
          <t>8</t>
        </is>
      </c>
      <c r="B10" s="47">
        <f>IFERROR(__xludf.DUMMYFUNCTION("TRANSPOSE(
  FILTER(
    IF(
      'ALL PPR Drafts'!C$2:C1000 = """",
      'ALL PPR Drafts'!D$2:D1000 &amp; "" ("" &amp; 'ALL PPR Drafts'!F$2:F1000 &amp; "")"",
      """"
    ),
    VALUE(#REF!) &gt;= 71,
    VALUE(#REF!) &lt;= 80.99
  )
)
"),"#N/A")</f>
        <v/>
      </c>
      <c r="C10" s="47" t="n"/>
      <c r="D10" s="47" t="n"/>
      <c r="E10" s="47" t="n"/>
      <c r="F10" s="47" t="n"/>
      <c r="G10" s="47" t="n"/>
      <c r="H10" s="47" t="n"/>
      <c r="I10" s="47" t="n"/>
    </row>
    <row r="11" ht="15.75" customHeight="1" s="54">
      <c r="A11" s="52" t="inlineStr">
        <is>
          <t>9</t>
        </is>
      </c>
      <c r="B11" s="47">
        <f>IFERROR(__xludf.DUMMYFUNCTION("TRANSPOSE(
  FILTER(
    IF(
      'ALL PPR Drafts'!C$2:C1000 = """",
      'ALL PPR Drafts'!D$2:D1000 &amp; "" ("" &amp; 'ALL PPR Drafts'!F$2:F1000 &amp; "")"",
      """"
    ),
    VALUE(#REF!) &gt;= 81,
    VALUE(#REF!) &lt;= 90.99
  )
)
"),"#N/A")</f>
        <v/>
      </c>
      <c r="C11" s="47" t="n"/>
      <c r="D11" s="47" t="n"/>
      <c r="E11" s="47" t="n"/>
      <c r="F11" s="47" t="n"/>
      <c r="G11" s="47" t="n"/>
      <c r="H11" s="47" t="n"/>
      <c r="I11" s="47" t="n"/>
    </row>
    <row r="12" ht="15.75" customHeight="1" s="54">
      <c r="A12" s="52" t="inlineStr">
        <is>
          <t>10</t>
        </is>
      </c>
      <c r="B12" s="47">
        <f>IFERROR(__xludf.DUMMYFUNCTION("TRANSPOSE(
  FILTER(
    IF(
      'ALL PPR Drafts'!C$2:C1000 = """",
      'ALL PPR Drafts'!D$2:D1000 &amp; "" ("" &amp; 'ALL PPR Drafts'!F$2:F1000 &amp; "")"",
      """"
    ),
    VALUE(#REF!) &gt;= 91,
    VALUE(#REF!) &lt;= 100.99
  )
)
"),"#N/A")</f>
        <v/>
      </c>
      <c r="C12" s="47" t="n"/>
      <c r="D12" s="47" t="n"/>
      <c r="E12" s="47" t="n"/>
      <c r="F12" s="47" t="n"/>
      <c r="G12" s="47" t="n"/>
      <c r="H12" s="47" t="n"/>
      <c r="I12" s="47" t="n"/>
    </row>
    <row r="13" ht="15.75" customHeight="1" s="54">
      <c r="A13" s="52" t="n"/>
      <c r="B13" s="47">
        <f>IFERROR(__xludf.DUMMYFUNCTION("TRANSPOSE(
  FILTER(
    IF(
      'ALL PPR Drafts'!C$2:C1000 = """",
      'ALL PPR Drafts'!D$2:D1000 &amp; "" ("" &amp; 'ALL PPR Drafts'!F$2:F1000 &amp; "")"",
      """"
    ),
    VALUE(#REF!) &gt;= 101,
    VALUE(#REF!) &lt;= 110.99
  )
)
"),"#N/A")</f>
        <v/>
      </c>
      <c r="C13" s="47" t="n"/>
      <c r="D13" s="47" t="n"/>
      <c r="E13" s="47" t="n"/>
      <c r="F13" s="47" t="n"/>
      <c r="G13" s="47" t="n"/>
      <c r="H13" s="47" t="n"/>
      <c r="I13" s="47" t="n"/>
    </row>
    <row r="14" ht="15.75" customHeight="1" s="54">
      <c r="A14" s="52" t="n"/>
      <c r="B14" s="47">
        <f>IFERROR(__xludf.DUMMYFUNCTION("TRANSPOSE(
  FILTER(
    IF(
      'ALL PPR Drafts'!C$2:C1000 = """",
      'ALL PPR Drafts'!D$2:D1000 &amp; "" ("" &amp; 'ALL PPR Drafts'!F$2:F1000 &amp; "")"",
      """"
    ),
    VALUE(#REF!) &gt;= 111,
    VALUE(#REF!) &lt;= 120.99
  )
)
"),"#N/A")</f>
        <v/>
      </c>
      <c r="C14" s="47" t="n"/>
      <c r="D14" s="47" t="n"/>
      <c r="E14" s="47" t="n"/>
      <c r="F14" s="47" t="n"/>
      <c r="G14" s="47" t="n"/>
      <c r="H14" s="47" t="n"/>
      <c r="I14" s="47" t="n"/>
    </row>
    <row r="15" ht="15.75" customHeight="1" s="54">
      <c r="A15" s="52" t="n"/>
      <c r="B15" s="47">
        <f>IFERROR(__xludf.DUMMYFUNCTION("TRANSPOSE(
  FILTER(
    IF(
      'ALL PPR Drafts'!C$2:C1000 = """",
      'ALL PPR Drafts'!D$2:D1000 &amp; "" ("" &amp; 'ALL PPR Drafts'!F$2:F1000 &amp; "")"",
      """"
    ),
    VALUE(#REF!) &gt;= 121,
    VALUE(#REF!) &lt;= 130.99
  )
)
"),"#N/A")</f>
        <v/>
      </c>
      <c r="C15" s="47" t="n"/>
      <c r="D15" s="47" t="n"/>
      <c r="E15" s="47" t="n"/>
      <c r="F15" s="47" t="n"/>
      <c r="G15" s="47" t="n"/>
      <c r="H15" s="47" t="n"/>
      <c r="I15" s="47" t="n"/>
    </row>
    <row r="16" ht="15.75" customHeight="1" s="54">
      <c r="B16" s="47">
        <f>IFERROR(__xludf.DUMMYFUNCTION("TRANSPOSE(
  FILTER(
    IF(
      'ALL PPR Drafts'!C$2:C1000 = """",
      'ALL PPR Drafts'!D$2:D1000 &amp; "" ("" &amp; 'ALL PPR Drafts'!F$2:F1000 &amp; "")"",
      """"
    ),
    VALUE(#REF!) &gt;= 131,
    VALUE(#REF!) &lt;= 140.99
  )
)
"),"#N/A")</f>
        <v/>
      </c>
      <c r="C16" s="47" t="n"/>
      <c r="D16" s="47" t="n"/>
      <c r="E16" s="47" t="n"/>
      <c r="F16" s="47" t="n"/>
      <c r="G16" s="47" t="n"/>
      <c r="H16" s="47" t="n"/>
      <c r="I16" s="47" t="n"/>
    </row>
    <row r="17" ht="15.75" customHeight="1" s="54">
      <c r="B17" s="47">
        <f>IFERROR(__xludf.DUMMYFUNCTION("TRANSPOSE(
  FILTER(
    IF(
      'ALL PPR Drafts'!C$2:C1000 = """",
      'ALL PPR Drafts'!D$2:D1000 &amp; "" ("" &amp; 'ALL PPR Drafts'!F$2:F1000 &amp; "")"",
      """"
    ),
    VALUE(#REF!) &gt;= 141,
    VALUE(#REF!) &lt;= 150.99
  )
)
"),"#N/A")</f>
        <v/>
      </c>
      <c r="C17" s="47" t="n"/>
      <c r="D17" s="47" t="n"/>
      <c r="E17" s="47" t="n"/>
      <c r="F17" s="47" t="n"/>
      <c r="G17" s="47" t="n"/>
      <c r="H17" s="47" t="n"/>
      <c r="I17" s="47" t="n"/>
    </row>
  </sheetData>
  <conditionalFormatting sqref="A3:Z17">
    <cfRule type="containsText" priority="1" operator="containsText" dxfId="3" text="QB">
      <formula>NOT(ISERROR(SEARCH(("QB"),(A3))))</formula>
    </cfRule>
    <cfRule type="containsText" priority="2" operator="containsText" dxfId="2" text="WR">
      <formula>NOT(ISERROR(SEARCH(("WR"),(A3))))</formula>
    </cfRule>
    <cfRule type="containsText" priority="3" operator="containsText" dxfId="1" text="RB">
      <formula>NOT(ISERROR(SEARCH(("RB"),(A3))))</formula>
    </cfRule>
    <cfRule type="containsText" priority="4" operator="containsText" dxfId="0" text="TE">
      <formula>NOT(ISERROR(SEARCH(("TE"),(A3))))</formula>
    </cfRule>
  </conditionalFormatting>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O17"/>
  <sheetViews>
    <sheetView workbookViewId="0">
      <selection activeCell="A1" sqref="A1"/>
    </sheetView>
  </sheetViews>
  <sheetFormatPr baseColWidth="10" defaultColWidth="12.5" defaultRowHeight="15.75" customHeight="1"/>
  <cols>
    <col width="16.5" customWidth="1" style="54" min="2" max="2"/>
  </cols>
  <sheetData>
    <row r="1" ht="15.75" customHeight="1" s="54">
      <c r="B1" s="26" t="inlineStr">
        <is>
          <t>Rank</t>
        </is>
      </c>
    </row>
    <row r="2" ht="15.75" customHeight="1" s="54">
      <c r="A2" s="26" t="inlineStr">
        <is>
          <t xml:space="preserve">Average </t>
        </is>
      </c>
    </row>
    <row r="3" ht="15.75" customHeight="1" s="54">
      <c r="A3" s="52" t="inlineStr">
        <is>
          <t>1-10</t>
        </is>
      </c>
      <c r="B3" s="47">
        <f>IFERROR(__xludf.DUMMYFUNCTION("TRANSPOSE(
  FILTER(
    IF(
      'ALL PPR Drafts'!C$2:C1000 = """",
      'ALL PPR Drafts'!D$2:D1000 &amp; "" ("" &amp; 'ALL PPR Drafts'!F$2:F1000 &amp; "")"",
      """"
    ),
    VALUE('ALL PPR Drafts'!G$2:G1000) &gt;= 1,
    VALUE('ALL PPR Drafts'!G$2:G1000) &lt;= 10"&amp;"
  )
)
"),"")</f>
        <v/>
      </c>
      <c r="C3" s="47">
        <f>IFERROR(__xludf.DUMMYFUNCTION("""COMPUTED_VALUE"""),"")</f>
        <v/>
      </c>
      <c r="D3" s="47">
        <f>IFERROR(__xludf.DUMMYFUNCTION("""COMPUTED_VALUE"""),"")</f>
        <v/>
      </c>
      <c r="E3" s="47">
        <f>IFERROR(__xludf.DUMMYFUNCTION("""COMPUTED_VALUE"""),"")</f>
        <v/>
      </c>
      <c r="F3" s="47">
        <f>IFERROR(__xludf.DUMMYFUNCTION("""COMPUTED_VALUE"""),"")</f>
        <v/>
      </c>
      <c r="G3" s="47">
        <f>IFERROR(__xludf.DUMMYFUNCTION("""COMPUTED_VALUE"""),"")</f>
        <v/>
      </c>
      <c r="H3" s="47">
        <f>IFERROR(__xludf.DUMMYFUNCTION("""COMPUTED_VALUE"""),"")</f>
        <v/>
      </c>
      <c r="I3" s="47">
        <f>IFERROR(__xludf.DUMMYFUNCTION("""COMPUTED_VALUE"""),"")</f>
        <v/>
      </c>
      <c r="J3">
        <f>IFERROR(__xludf.DUMMYFUNCTION("""COMPUTED_VALUE"""),"")</f>
        <v/>
      </c>
    </row>
    <row r="4" ht="15.75" customHeight="1" s="54">
      <c r="A4" s="52" t="inlineStr">
        <is>
          <t>11-20</t>
        </is>
      </c>
      <c r="B4" s="47">
        <f>IFERROR(__xludf.DUMMYFUNCTION("TRANSPOSE(
  FILTER(
    IF(
      'ALL PPR Drafts'!C$2:C1000 = """",
      'ALL PPR Drafts'!D$2:D1000 &amp; "" ("" &amp; 'ALL PPR Drafts'!F$2:F1000 &amp; "")"",
      """"
    ),
    VALUE('ALL PPR Drafts'!G$2:G1000) &gt;= 11,
    VALUE('ALL PPR Drafts'!G$2:G1000) &lt;= 2"&amp;"0
  )
)
"),"")</f>
        <v/>
      </c>
      <c r="C4" s="47">
        <f>IFERROR(__xludf.DUMMYFUNCTION("""COMPUTED_VALUE"""),"")</f>
        <v/>
      </c>
      <c r="D4" s="47">
        <f>IFERROR(__xludf.DUMMYFUNCTION("""COMPUTED_VALUE"""),"")</f>
        <v/>
      </c>
      <c r="E4" s="47">
        <f>IFERROR(__xludf.DUMMYFUNCTION("""COMPUTED_VALUE"""),"")</f>
        <v/>
      </c>
      <c r="F4" s="47">
        <f>IFERROR(__xludf.DUMMYFUNCTION("""COMPUTED_VALUE"""),"")</f>
        <v/>
      </c>
      <c r="G4" s="47">
        <f>IFERROR(__xludf.DUMMYFUNCTION("""COMPUTED_VALUE"""),"")</f>
        <v/>
      </c>
      <c r="H4" s="47">
        <f>IFERROR(__xludf.DUMMYFUNCTION("""COMPUTED_VALUE"""),"")</f>
        <v/>
      </c>
      <c r="I4" s="47" t="n"/>
    </row>
    <row r="5" ht="15.75" customHeight="1" s="54">
      <c r="A5" s="52" t="inlineStr">
        <is>
          <t>21-30</t>
        </is>
      </c>
      <c r="B5" s="47">
        <f>IFERROR(__xludf.DUMMYFUNCTION("TRANSPOSE(
  FILTER(
    IF(
      'ALL PPR Drafts'!C$2:C1000 = """",
      'ALL PPR Drafts'!D$2:D1000 &amp; "" ("" &amp; 'ALL PPR Drafts'!F$2:F1000 &amp; "")"",
      """"
    ),
    VALUE('ALL PPR Drafts'!G$2:G1000) &gt;= 21,
    VALUE('ALL PPR Drafts'!G$2:G1000) &lt;= 3"&amp;"0
  )
)
"),"")</f>
        <v/>
      </c>
      <c r="C5" s="47">
        <f>IFERROR(__xludf.DUMMYFUNCTION("""COMPUTED_VALUE"""),"")</f>
        <v/>
      </c>
      <c r="D5" s="47">
        <f>IFERROR(__xludf.DUMMYFUNCTION("""COMPUTED_VALUE"""),"")</f>
        <v/>
      </c>
      <c r="E5" s="47">
        <f>IFERROR(__xludf.DUMMYFUNCTION("""COMPUTED_VALUE"""),"Derrick Henry (RB)")</f>
        <v/>
      </c>
      <c r="F5" s="47">
        <f>IFERROR(__xludf.DUMMYFUNCTION("""COMPUTED_VALUE"""),"")</f>
        <v/>
      </c>
      <c r="G5" s="47">
        <f>IFERROR(__xludf.DUMMYFUNCTION("""COMPUTED_VALUE"""),"")</f>
        <v/>
      </c>
      <c r="H5" s="47">
        <f>IFERROR(__xludf.DUMMYFUNCTION("""COMPUTED_VALUE"""),"Lamar Jackson (QB)")</f>
        <v/>
      </c>
      <c r="I5" s="47">
        <f>IFERROR(__xludf.DUMMYFUNCTION("""COMPUTED_VALUE"""),"Tee Higgins (WR)")</f>
        <v/>
      </c>
      <c r="J5">
        <f>IFERROR(__xludf.DUMMYFUNCTION("""COMPUTED_VALUE"""),"Kenneth Walker III (RB)")</f>
        <v/>
      </c>
    </row>
    <row r="6" ht="15.75" customHeight="1" s="54">
      <c r="A6" s="52" t="inlineStr">
        <is>
          <t>31-40</t>
        </is>
      </c>
      <c r="B6" s="47">
        <f>IFERROR(__xludf.DUMMYFUNCTION("TRANSPOSE(
  FILTER(
    IF(
      'ALL PPR Drafts'!C$2:C1000 = """",
      'ALL PPR Drafts'!D$2:D1000 &amp; "" ("" &amp; 'ALL PPR Drafts'!F$2:F1000 &amp; "")"",
      """"
    ),
    VALUE('ALL PPR Drafts'!G$2:G1000) &gt;= 31,
    VALUE('ALL PPR Drafts'!G$2:G1000) &lt;= 4"&amp;"0
  )
)
"),"Josh Jacobs (RB)")</f>
        <v/>
      </c>
      <c r="C6" s="47">
        <f>IFERROR(__xludf.DUMMYFUNCTION("""COMPUTED_VALUE"""),"")</f>
        <v/>
      </c>
      <c r="D6" s="47">
        <f>IFERROR(__xludf.DUMMYFUNCTION("""COMPUTED_VALUE"""),"")</f>
        <v/>
      </c>
      <c r="E6" s="47">
        <f>IFERROR(__xludf.DUMMYFUNCTION("""COMPUTED_VALUE"""),"Davante Adams (WR)")</f>
        <v/>
      </c>
      <c r="F6" s="47" t="n"/>
      <c r="G6" s="47" t="n"/>
      <c r="H6" s="47" t="n"/>
      <c r="I6" s="47" t="n"/>
    </row>
    <row r="7" ht="15.75" customHeight="1" s="54">
      <c r="A7" s="52" t="inlineStr">
        <is>
          <t>41-50</t>
        </is>
      </c>
      <c r="B7" s="47">
        <f>IFERROR(__xludf.DUMMYFUNCTION("TRANSPOSE(
  FILTER(
    IF(
      'ALL PPR Drafts'!C$2:C1000 = """",
      'ALL PPR Drafts'!D$2:D1000 &amp; "" ("" &amp; 'ALL PPR Drafts'!F$2:F1000 &amp; "")"",
      """"
    ),
    VALUE('ALL PPR Drafts'!G$2:G1000) &gt;= 41,
    VALUE('ALL PPR Drafts'!G$2:G1000) &lt;= 5"&amp;"0
  )
)
"),"Breece Hall (RB)")</f>
        <v/>
      </c>
      <c r="C7" s="47">
        <f>IFERROR(__xludf.DUMMYFUNCTION("""COMPUTED_VALUE"""),"Tucker Kraft (TE)")</f>
        <v/>
      </c>
      <c r="D7" s="47">
        <f>IFERROR(__xludf.DUMMYFUNCTION("""COMPUTED_VALUE"""),"")</f>
        <v/>
      </c>
      <c r="E7" s="47">
        <f>IFERROR(__xludf.DUMMYFUNCTION("""COMPUTED_VALUE"""),"Zay Flowers (WR)")</f>
        <v/>
      </c>
      <c r="F7" s="47">
        <f>IFERROR(__xludf.DUMMYFUNCTION("""COMPUTED_VALUE"""),"Joe Burrow (QB)")</f>
        <v/>
      </c>
      <c r="G7" s="47">
        <f>IFERROR(__xludf.DUMMYFUNCTION("""COMPUTED_VALUE"""),"Javonte Williams (RB)")</f>
        <v/>
      </c>
      <c r="H7" s="47">
        <f>IFERROR(__xludf.DUMMYFUNCTION("""COMPUTED_VALUE"""),"Travis Etienne Jr. (RB)")</f>
        <v/>
      </c>
      <c r="I7" s="47">
        <f>IFERROR(__xludf.DUMMYFUNCTION("""COMPUTED_VALUE"""),"Jameson Williams (WR)")</f>
        <v/>
      </c>
      <c r="J7">
        <f>IFERROR(__xludf.DUMMYFUNCTION("""COMPUTED_VALUE"""),"Jayden Daniels (QB)")</f>
        <v/>
      </c>
      <c r="K7">
        <f>IFERROR(__xludf.DUMMYFUNCTION("""COMPUTED_VALUE"""),"Carnell Tate (WR)")</f>
        <v/>
      </c>
      <c r="L7">
        <f>IFERROR(__xludf.DUMMYFUNCTION("""COMPUTED_VALUE"""),"Bucky Irving (RB)")</f>
        <v/>
      </c>
      <c r="M7">
        <f>IFERROR(__xludf.DUMMYFUNCTION("""COMPUTED_VALUE"""),"Ladd McConkey (WR)")</f>
        <v/>
      </c>
      <c r="N7">
        <f>IFERROR(__xludf.DUMMYFUNCTION("""COMPUTED_VALUE"""),"Terry McLaurin (WR)")</f>
        <v/>
      </c>
      <c r="O7">
        <f>IFERROR(__xludf.DUMMYFUNCTION("""COMPUTED_VALUE"""),"Colston Loveland (TE)")</f>
        <v/>
      </c>
    </row>
    <row r="8" ht="15.75" customHeight="1" s="54">
      <c r="A8" s="52" t="inlineStr">
        <is>
          <t>51-60</t>
        </is>
      </c>
      <c r="B8" s="47">
        <f>IFERROR(__xludf.DUMMYFUNCTION("TRANSPOSE(
  FILTER(
    IF(
      'ALL PPR Drafts'!C$2:C1000 = """",
      'ALL PPR Drafts'!D$2:D1000 &amp; "" ("" &amp; 'ALL PPR Drafts'!F$2:F1000 &amp; "")"",
      """"
    ),
    VALUE('ALL PPR Drafts'!G$2:G1000) &gt;= 51,
    VALUE('ALL PPR Drafts'!G$2:G1000) &lt;= 6"&amp;"0
  )
)
"),"Jaylen Waddle (WR)")</f>
        <v/>
      </c>
      <c r="C8" s="47">
        <f>IFERROR(__xludf.DUMMYFUNCTION("""COMPUTED_VALUE"""),"Christian Watson (WR)")</f>
        <v/>
      </c>
      <c r="D8" s="47">
        <f>IFERROR(__xludf.DUMMYFUNCTION("""COMPUTED_VALUE"""),"TreVeyon Henderson (RB)")</f>
        <v/>
      </c>
      <c r="E8" s="47">
        <f>IFERROR(__xludf.DUMMYFUNCTION("""COMPUTED_VALUE"""),"Jalen Hurts (QB)")</f>
        <v/>
      </c>
      <c r="F8" s="47">
        <f>IFERROR(__xludf.DUMMYFUNCTION("""COMPUTED_VALUE"""),"Luther Burden III (WR)")</f>
        <v/>
      </c>
      <c r="G8" s="47">
        <f>IFERROR(__xludf.DUMMYFUNCTION("""COMPUTED_VALUE"""),"Emeka Egbuka (WR)")</f>
        <v/>
      </c>
      <c r="H8" s="47">
        <f>IFERROR(__xludf.DUMMYFUNCTION("""COMPUTED_VALUE"""),"Mike Evans (WR)")</f>
        <v/>
      </c>
      <c r="I8" s="47">
        <f>IFERROR(__xludf.DUMMYFUNCTION("""COMPUTED_VALUE"""),"DeVonta Smith (WR)")</f>
        <v/>
      </c>
      <c r="J8">
        <f>IFERROR(__xludf.DUMMYFUNCTION("""COMPUTED_VALUE"""),"D'Andre Swift (RB)")</f>
        <v/>
      </c>
    </row>
    <row r="9" ht="15.75" customHeight="1" s="54">
      <c r="A9" s="52" t="inlineStr">
        <is>
          <t>61-70</t>
        </is>
      </c>
      <c r="B9" s="47">
        <f>IFERROR(__xludf.DUMMYFUNCTION("TRANSPOSE(
  FILTER(
    IF(
      'ALL PPR Drafts'!C$2:C1000 = """",
      'ALL PPR Drafts'!D$2:D1000 &amp; "" ("" &amp; 'ALL PPR Drafts'!F$2:F1000 &amp; "")"",
      """"
    ),
    VALUE('ALL PPR Drafts'!G$2:G1000) &gt;= 61,
    VALUE('ALL PPR Drafts'!G$2:G1000) &lt;= 7"&amp;"0
  )
)
"),"Quinshon Judkins (RB)")</f>
        <v/>
      </c>
      <c r="C9" s="47">
        <f>IFERROR(__xludf.DUMMYFUNCTION("""COMPUTED_VALUE"""),"Makai Lemon (WR)")</f>
        <v/>
      </c>
      <c r="D9" s="47">
        <f>IFERROR(__xludf.DUMMYFUNCTION("""COMPUTED_VALUE"""),"David Montgomery (RB)")</f>
        <v/>
      </c>
      <c r="E9" s="47">
        <f>IFERROR(__xludf.DUMMYFUNCTION("""COMPUTED_VALUE"""),"DJ Moore (WR)")</f>
        <v/>
      </c>
      <c r="F9" s="47">
        <f>IFERROR(__xludf.DUMMYFUNCTION("""COMPUTED_VALUE"""),"Bhayshul Tuten (RB)")</f>
        <v/>
      </c>
      <c r="G9" s="47">
        <f>IFERROR(__xludf.DUMMYFUNCTION("""COMPUTED_VALUE"""),"Jordyn Tyson (WR)")</f>
        <v/>
      </c>
      <c r="H9" s="47">
        <f>IFERROR(__xludf.DUMMYFUNCTION("""COMPUTED_VALUE"""),"Rome Odunze (WR)")</f>
        <v/>
      </c>
      <c r="I9" s="47">
        <f>IFERROR(__xludf.DUMMYFUNCTION("""COMPUTED_VALUE"""),"RJ Harvey (RB)")</f>
        <v/>
      </c>
      <c r="J9">
        <f>IFERROR(__xludf.DUMMYFUNCTION("""COMPUTED_VALUE"""),"Tyler Warren (TE)")</f>
        <v/>
      </c>
      <c r="K9">
        <f>IFERROR(__xludf.DUMMYFUNCTION("""COMPUTED_VALUE"""),"Alec Pierce (WR)")</f>
        <v/>
      </c>
      <c r="L9">
        <f>IFERROR(__xludf.DUMMYFUNCTION("""COMPUTED_VALUE"""),"Jaxson Dart (QB)")</f>
        <v/>
      </c>
    </row>
    <row r="10" ht="15.75" customHeight="1" s="54">
      <c r="A10" s="52" t="inlineStr">
        <is>
          <t>71-80</t>
        </is>
      </c>
      <c r="B10" s="47">
        <f>IFERROR(__xludf.DUMMYFUNCTION("TRANSPOSE(
  FILTER(
    IF(
      'ALL PPR Drafts'!C$2:C1000 = """",
      'ALL PPR Drafts'!D$2:D1000 &amp; "" ("" &amp; 'ALL PPR Drafts'!F$2:F1000 &amp; "")"",
      """"
    ),
    VALUE('ALL PPR Drafts'!G$2:G1000) &gt;= 71,
    VALUE('ALL PPR Drafts'!G$2:G1000) &lt;= 8"&amp;"0
  )
)
"),"Caleb Williams (QB)")</f>
        <v/>
      </c>
      <c r="C10" s="47">
        <f>IFERROR(__xludf.DUMMYFUNCTION("""COMPUTED_VALUE"""),"Jaylen Warren (RB)")</f>
        <v/>
      </c>
      <c r="D10" s="47">
        <f>IFERROR(__xludf.DUMMYFUNCTION("""COMPUTED_VALUE"""),"Courtland Sutton (WR)")</f>
        <v/>
      </c>
      <c r="E10" s="47">
        <f>IFERROR(__xludf.DUMMYFUNCTION("""COMPUTED_VALUE"""),"Harold Fannin Jr. (TE)")</f>
        <v/>
      </c>
      <c r="F10" s="47">
        <f>IFERROR(__xludf.DUMMYFUNCTION("""COMPUTED_VALUE"""),"DK Metcalf (WR)")</f>
        <v/>
      </c>
      <c r="G10" s="47">
        <f>IFERROR(__xludf.DUMMYFUNCTION("""COMPUTED_VALUE"""),"Justin Herbert (QB)")</f>
        <v/>
      </c>
      <c r="H10" s="47">
        <f>IFERROR(__xludf.DUMMYFUNCTION("""COMPUTED_VALUE"""),"Kyle Monangai (RB)")</f>
        <v/>
      </c>
      <c r="I10" s="47" t="n"/>
    </row>
    <row r="11" ht="15.75" customHeight="1" s="54">
      <c r="A11" s="52" t="inlineStr">
        <is>
          <t>81-90</t>
        </is>
      </c>
      <c r="B11" s="47">
        <f>IFERROR(__xludf.DUMMYFUNCTION("TRANSPOSE(
  FILTER(
    IF(
      'ALL PPR Drafts'!C$2:C1000 = """",
      'ALL PPR Drafts'!D$2:D1000 &amp; "" ("" &amp; 'ALL PPR Drafts'!F$2:F1000 &amp; "")"",
      """"
    ),
    VALUE('ALL PPR Drafts'!G$2:G1000) &gt;= 81,
    VALUE('ALL PPR Drafts'!G$2:G1000) &lt;= 9"&amp;"0
  )
)
"),"Rico Dowdle (RB)")</f>
        <v/>
      </c>
      <c r="C11" s="47">
        <f>IFERROR(__xludf.DUMMYFUNCTION("""COMPUTED_VALUE"""),"Marvin Harrison Jr. (WR)")</f>
        <v/>
      </c>
      <c r="D11" s="47">
        <f>IFERROR(__xludf.DUMMYFUNCTION("""COMPUTED_VALUE"""),"Rhamondre Stevenson (RB)")</f>
        <v/>
      </c>
      <c r="E11" s="47">
        <f>IFERROR(__xludf.DUMMYFUNCTION("""COMPUTED_VALUE"""),"Sam LaPorta (TE)")</f>
        <v/>
      </c>
      <c r="F11" s="47">
        <f>IFERROR(__xludf.DUMMYFUNCTION("""COMPUTED_VALUE"""),"Trevor Lawrence (QB)")</f>
        <v/>
      </c>
      <c r="G11" s="47">
        <f>IFERROR(__xludf.DUMMYFUNCTION("""COMPUTED_VALUE"""),"Kyle Pitts Sr. (TE)")</f>
        <v/>
      </c>
      <c r="H11" s="47">
        <f>IFERROR(__xludf.DUMMYFUNCTION("""COMPUTED_VALUE"""),"Dak Prescott (QB)")</f>
        <v/>
      </c>
      <c r="I11" s="47">
        <f>IFERROR(__xludf.DUMMYFUNCTION("""COMPUTED_VALUE"""),"Tyler Allgeier (RB)")</f>
        <v/>
      </c>
    </row>
    <row r="12" ht="15.75" customHeight="1" s="54">
      <c r="A12" s="52" t="inlineStr">
        <is>
          <t>91-100</t>
        </is>
      </c>
      <c r="B12" s="47">
        <f>IFERROR(__xludf.DUMMYFUNCTION("TRANSPOSE(
  FILTER(
    IF(
      'ALL PPR Drafts'!C$2:C1000 = """",
      'ALL PPR Drafts'!D$2:D1000 &amp; "" ("" &amp; 'ALL PPR Drafts'!F$2:F1000 &amp; "")"",
      """"
    ),
    VALUE('ALL PPR Drafts'!G$2:G1000) &gt;= 91,
    VALUE('ALL PPR Drafts'!G$2:G1000) &lt;= 1"&amp;"00
  )
)
"),"Patrick Mahomes II (QB)")</f>
        <v/>
      </c>
      <c r="C12" s="47">
        <f>IFERROR(__xludf.DUMMYFUNCTION("""COMPUTED_VALUE"""),"Chuba Hubbard (RB)")</f>
        <v/>
      </c>
      <c r="D12" s="47">
        <f>IFERROR(__xludf.DUMMYFUNCTION("""COMPUTED_VALUE"""),"Michael Wilson (WR)")</f>
        <v/>
      </c>
      <c r="E12" s="47">
        <f>IFERROR(__xludf.DUMMYFUNCTION("""COMPUTED_VALUE"""),"Jordan Addison (WR)")</f>
        <v/>
      </c>
      <c r="F12" s="47">
        <f>IFERROR(__xludf.DUMMYFUNCTION("""COMPUTED_VALUE"""),"Zach Charbonnet (RB)")</f>
        <v/>
      </c>
      <c r="G12" s="47">
        <f>IFERROR(__xludf.DUMMYFUNCTION("""COMPUTED_VALUE"""),"Chris Godwin Jr. (WR)")</f>
        <v/>
      </c>
      <c r="H12" s="47" t="n"/>
      <c r="I12" s="47" t="n"/>
    </row>
    <row r="13" ht="15.75" customHeight="1" s="54">
      <c r="A13" s="52" t="inlineStr">
        <is>
          <t>101-110</t>
        </is>
      </c>
      <c r="B13" s="47">
        <f>IFERROR(__xludf.DUMMYFUNCTION("TRANSPOSE(
  FILTER(
    IF(
      'ALL PPR Drafts'!C$2:C1000 = """",
      'ALL PPR Drafts'!D$2:D1000 &amp; "" ("" &amp; 'ALL PPR Drafts'!F$2:F1000 &amp; "")"",
      """"
    ),
    VALUE('ALL PPR Drafts'!G$2:G1000) &gt;= 101,
    VALUE('ALL PPR Drafts'!G$2:G1000) &lt;= "&amp;"110
  )
)
"),"J.K. Dobbins (RB)")</f>
        <v/>
      </c>
      <c r="C13" s="47">
        <f>IFERROR(__xludf.DUMMYFUNCTION("""COMPUTED_VALUE"""),"Dalton Kincaid (TE)")</f>
        <v/>
      </c>
      <c r="D13" s="47">
        <f>IFERROR(__xludf.DUMMYFUNCTION("""COMPUTED_VALUE"""),"Jacory Croskey-Merritt (RB)")</f>
        <v/>
      </c>
      <c r="E13" s="47">
        <f>IFERROR(__xludf.DUMMYFUNCTION("""COMPUTED_VALUE"""),"Bo Nix (QB)")</f>
        <v/>
      </c>
      <c r="F13" s="47">
        <f>IFERROR(__xludf.DUMMYFUNCTION("""COMPUTED_VALUE"""),"Matthew Stafford (QB)")</f>
        <v/>
      </c>
      <c r="G13" s="47">
        <f>IFERROR(__xludf.DUMMYFUNCTION("""COMPUTED_VALUE"""),"Ricky Pearsall (WR)")</f>
        <v/>
      </c>
      <c r="H13" s="47">
        <f>IFERROR(__xludf.DUMMYFUNCTION("""COMPUTED_VALUE"""),"Parker Washington (WR)")</f>
        <v/>
      </c>
      <c r="I13" s="47">
        <f>IFERROR(__xludf.DUMMYFUNCTION("""COMPUTED_VALUE"""),"Quentin Johnston (WR)")</f>
        <v/>
      </c>
      <c r="J13">
        <f>IFERROR(__xludf.DUMMYFUNCTION("""COMPUTED_VALUE"""),"Oronde Gadsden II (TE)")</f>
        <v/>
      </c>
      <c r="K13">
        <f>IFERROR(__xludf.DUMMYFUNCTION("""COMPUTED_VALUE"""),"Michael Pittman Jr. (WR)")</f>
        <v/>
      </c>
      <c r="L13">
        <f>IFERROR(__xludf.DUMMYFUNCTION("""COMPUTED_VALUE"""),"Woody Marks (RB)")</f>
        <v/>
      </c>
    </row>
    <row r="14" ht="15.75" customHeight="1" s="54">
      <c r="A14" s="52" t="inlineStr">
        <is>
          <t>111-120</t>
        </is>
      </c>
      <c r="B14" s="47">
        <f>IFERROR(__xludf.DUMMYFUNCTION("TRANSPOSE(
  FILTER(
    IF(
      'ALL PPR Drafts'!C$2:C1000 = """",
      'ALL PPR Drafts'!D$2:D1000 &amp; "" ("" &amp; 'ALL PPR Drafts'!F$2:F1000 &amp; "")"",
      """"
    ),
    VALUE('ALL PPR Drafts'!G$2:G1000) &gt;= 111,
    VALUE('ALL PPR Drafts'!G$2:G1000) &lt;= "&amp;"120
  )
)
"),"Jordan Love (QB)")</f>
        <v/>
      </c>
      <c r="C14" s="47">
        <f>IFERROR(__xludf.DUMMYFUNCTION("""COMPUTED_VALUE"""),"Brandon Aiyuk (WR)")</f>
        <v/>
      </c>
      <c r="D14" s="47">
        <f>IFERROR(__xludf.DUMMYFUNCTION("""COMPUTED_VALUE"""),"Jakobi Meyers (WR)")</f>
        <v/>
      </c>
      <c r="E14" s="47">
        <f>IFERROR(__xludf.DUMMYFUNCTION("""COMPUTED_VALUE"""),"Jared Goff (QB)")</f>
        <v/>
      </c>
      <c r="F14" s="47">
        <f>IFERROR(__xludf.DUMMYFUNCTION("""COMPUTED_VALUE"""),"Aaron Jones Sr. (RB)")</f>
        <v/>
      </c>
      <c r="G14" s="47">
        <f>IFERROR(__xludf.DUMMYFUNCTION("""COMPUTED_VALUE"""),"Jake Ferguson (TE)")</f>
        <v/>
      </c>
      <c r="H14" s="47">
        <f>IFERROR(__xludf.DUMMYFUNCTION("""COMPUTED_VALUE"""),"Wan'Dale Robinson (WR)")</f>
        <v/>
      </c>
      <c r="I14" s="47">
        <f>IFERROR(__xludf.DUMMYFUNCTION("""COMPUTED_VALUE"""),"Denzel Boston (WR)")</f>
        <v/>
      </c>
      <c r="J14">
        <f>IFERROR(__xludf.DUMMYFUNCTION("""COMPUTED_VALUE"""),"Jordan Mason (RB)")</f>
        <v/>
      </c>
    </row>
    <row r="15" ht="15.75" customHeight="1" s="54">
      <c r="A15" s="52" t="inlineStr">
        <is>
          <t>121-130</t>
        </is>
      </c>
      <c r="B15" s="47">
        <f>IFERROR(__xludf.DUMMYFUNCTION("TRANSPOSE(
  FILTER(
    IF(
      'ALL PPR Drafts'!C$2:C1000 = """",
      'ALL PPR Drafts'!D$2:D1000 &amp; "" ("" &amp; 'ALL PPR Drafts'!F$2:F1000 &amp; "")"",
      """"
    ),
    VALUE('ALL PPR Drafts'!G$2:G1000) &gt;= 121,
    VALUE('ALL PPR Drafts'!G$2:G1000) &lt;= "&amp;"130
  )
)
"),"Juwan Johnson (TE)")</f>
        <v/>
      </c>
      <c r="C15" s="47">
        <f>IFERROR(__xludf.DUMMYFUNCTION("""COMPUTED_VALUE"""),"James Conner (RB)")</f>
        <v/>
      </c>
      <c r="D15" s="47">
        <f>IFERROR(__xludf.DUMMYFUNCTION("""COMPUTED_VALUE"""),"Jayden Higgins (WR)")</f>
        <v/>
      </c>
      <c r="E15" s="47">
        <f>IFERROR(__xludf.DUMMYFUNCTION("""COMPUTED_VALUE"""),"Jauan Jennings (WR)")</f>
        <v/>
      </c>
      <c r="F15" s="47">
        <f>IFERROR(__xludf.DUMMYFUNCTION("""COMPUTED_VALUE"""),"Malik Willis (QB)")</f>
        <v/>
      </c>
      <c r="G15" s="47">
        <f>IFERROR(__xludf.DUMMYFUNCTION("""COMPUTED_VALUE"""),"Brenton Strange (TE)")</f>
        <v/>
      </c>
      <c r="H15" s="47">
        <f>IFERROR(__xludf.DUMMYFUNCTION("""COMPUTED_VALUE"""),"Tyler Shough (QB)")</f>
        <v/>
      </c>
      <c r="I15" s="47">
        <f>IFERROR(__xludf.DUMMYFUNCTION("""COMPUTED_VALUE"""),"Kyler Murray (QB)")</f>
        <v/>
      </c>
      <c r="J15">
        <f>IFERROR(__xludf.DUMMYFUNCTION("""COMPUTED_VALUE"""),"Baker Mayfield (QB)")</f>
        <v/>
      </c>
      <c r="K15">
        <f>IFERROR(__xludf.DUMMYFUNCTION("""COMPUTED_VALUE"""),"Travis Kelce (TE)")</f>
        <v/>
      </c>
      <c r="L15">
        <f>IFERROR(__xludf.DUMMYFUNCTION("""COMPUTED_VALUE"""),"K.C. Concepcion (WR)")</f>
        <v/>
      </c>
    </row>
    <row r="16" ht="15.75" customHeight="1" s="54">
      <c r="A16" s="26" t="inlineStr">
        <is>
          <t>131-140</t>
        </is>
      </c>
      <c r="B16" s="47">
        <f>IFERROR(__xludf.DUMMYFUNCTION("TRANSPOSE(
  FILTER(
    IF(
      'ALL PPR Drafts'!C$2:C1000 = """",
      'ALL PPR Drafts'!D$2:D1000 &amp; "" ("" &amp; 'ALL PPR Drafts'!F$2:F1000 &amp; "")"",
      """"
    ),
    VALUE('ALL PPR Drafts'!G$2:G1000) &gt;= 131,
    VALUE('ALL PPR Drafts'!G$2:G1000) &lt;= "&amp;"140
  )
)
"),"Dallas Goedert (TE)")</f>
        <v/>
      </c>
      <c r="C16" s="47">
        <f>IFERROR(__xludf.DUMMYFUNCTION("""COMPUTED_VALUE"""),"Jadarian Price (RB)")</f>
        <v/>
      </c>
      <c r="D16" s="47">
        <f>IFERROR(__xludf.DUMMYFUNCTION("""COMPUTED_VALUE"""),"Braelon Allen (RB)")</f>
        <v/>
      </c>
      <c r="E16" s="47">
        <f>IFERROR(__xludf.DUMMYFUNCTION("""COMPUTED_VALUE"""),"Jayden Reed (WR)")</f>
        <v/>
      </c>
      <c r="F16" s="47">
        <f>IFERROR(__xludf.DUMMYFUNCTION("""COMPUTED_VALUE"""),"Kenneth Gainwell (RB)")</f>
        <v/>
      </c>
      <c r="G16" s="47">
        <f>IFERROR(__xludf.DUMMYFUNCTION("""COMPUTED_VALUE"""),"Romeo Doubs (WR)")</f>
        <v/>
      </c>
      <c r="H16" s="47">
        <f>IFERROR(__xludf.DUMMYFUNCTION("""COMPUTED_VALUE"""),"Tyrone Tracy Jr. (RB)")</f>
        <v/>
      </c>
      <c r="I16" s="47">
        <f>IFERROR(__xludf.DUMMYFUNCTION("""COMPUTED_VALUE"""),"George Kittle (TE)")</f>
        <v/>
      </c>
      <c r="J16">
        <f>IFERROR(__xludf.DUMMYFUNCTION("""COMPUTED_VALUE"""),"Hunter Henry (TE)")</f>
        <v/>
      </c>
      <c r="K16">
        <f>IFERROR(__xludf.DUMMYFUNCTION("""COMPUTED_VALUE"""),"Xavier Worthy (WR)")</f>
        <v/>
      </c>
      <c r="L16">
        <f>IFERROR(__xludf.DUMMYFUNCTION("""COMPUTED_VALUE"""),"Khalil Shakir (WR)")</f>
        <v/>
      </c>
    </row>
    <row r="17" ht="15.75" customHeight="1" s="54">
      <c r="A17" s="26" t="inlineStr">
        <is>
          <t>141-150</t>
        </is>
      </c>
      <c r="B17" s="47">
        <f>IFERROR(__xludf.DUMMYFUNCTION("TRANSPOSE(
  FILTER(
    IF(
      'ALL PPR Drafts'!C$2:C1000 = """",
      'ALL PPR Drafts'!D$2:D1000 &amp; "" ("" &amp; 'ALL PPR Drafts'!F$2:F1000 &amp; "")"",
      """"
    ),
    VALUE('ALL PPR Drafts'!G$2:G1000) &gt;= 141,
    VALUE('ALL PPR Drafts'!G$2:G1000) &lt;= "&amp;"150
  )
)
"),"C.J. Stroud (QB)")</f>
        <v/>
      </c>
      <c r="C17" s="47">
        <f>IFERROR(__xludf.DUMMYFUNCTION("""COMPUTED_VALUE"""),"Josh Downs (WR)")</f>
        <v/>
      </c>
      <c r="D17" s="47">
        <f>IFERROR(__xludf.DUMMYFUNCTION("""COMPUTED_VALUE"""),"Emmett Johnson (RB)")</f>
        <v/>
      </c>
      <c r="E17" s="47">
        <f>IFERROR(__xludf.DUMMYFUNCTION("""COMPUTED_VALUE"""),"Rachaad White (RB)")</f>
        <v/>
      </c>
      <c r="F17" s="47">
        <f>IFERROR(__xludf.DUMMYFUNCTION("""COMPUTED_VALUE"""),"Stefon Diggs (WR)")</f>
        <v/>
      </c>
      <c r="G17" s="47">
        <f>IFERROR(__xludf.DUMMYFUNCTION("""COMPUTED_VALUE"""),"Alvin Kamara (RB)")</f>
        <v/>
      </c>
      <c r="H17" s="47">
        <f>IFERROR(__xludf.DUMMYFUNCTION("""COMPUTED_VALUE"""),"Tank Bigsby (RB)")</f>
        <v/>
      </c>
      <c r="I17" s="47">
        <f>IFERROR(__xludf.DUMMYFUNCTION("""COMPUTED_VALUE"""),"Sam Darnold (QB)")</f>
        <v/>
      </c>
      <c r="J17">
        <f>IFERROR(__xludf.DUMMYFUNCTION("""COMPUTED_VALUE"""),"Houston Texans (DS)")</f>
        <v/>
      </c>
      <c r="K17">
        <f>IFERROR(__xludf.DUMMYFUNCTION("""COMPUTED_VALUE"""),"Jonathon Brooks (RB)")</f>
        <v/>
      </c>
    </row>
  </sheetData>
  <conditionalFormatting sqref="A3:HZ17">
    <cfRule type="containsText" priority="1" operator="containsText" dxfId="3" text="QB">
      <formula>NOT(ISERROR(SEARCH(("QB"),(A3))))</formula>
    </cfRule>
    <cfRule type="containsText" priority="2" operator="containsText" dxfId="2" text="WR">
      <formula>NOT(ISERROR(SEARCH(("WR"),(A3))))</formula>
    </cfRule>
    <cfRule type="containsText" priority="3" operator="containsText" dxfId="1" text="RB">
      <formula>NOT(ISERROR(SEARCH(("RB"),(A3))))</formula>
    </cfRule>
    <cfRule type="containsText" priority="4" operator="containsText" dxfId="0" text="TE">
      <formula>NOT(ISERROR(SEARCH(("TE"),(A3))))</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2026-05-21T17:32:52Z</dcterms:created>
  <dcterms:modified xsi:type="dcterms:W3CDTF">2026-08-28T14:54:54Z</dcterms:modified>
  <cp:lastModifiedBy>Iacob Gagné-Montcalm</cp:lastModifiedBy>
</cp:coreProperties>
</file>